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valen\Documents\GOUJON.M Econométrie de la croissance\reserve\"/>
    </mc:Choice>
  </mc:AlternateContent>
  <xr:revisionPtr revIDLastSave="0" documentId="13_ncr:1_{2EB53E21-9F4F-4EF9-A218-454DAB2A7592}" xr6:coauthVersionLast="47" xr6:coauthVersionMax="47" xr10:uidLastSave="{00000000-0000-0000-0000-000000000000}"/>
  <bookViews>
    <workbookView xWindow="-108" yWindow="-108" windowWidth="23256" windowHeight="12576" firstSheet="1" activeTab="6" xr2:uid="{00000000-000D-0000-FFFF-FFFF00000000}"/>
  </bookViews>
  <sheets>
    <sheet name="Tx_croissance" sheetId="1" state="hidden" r:id="rId1"/>
    <sheet name="DONNEES" sheetId="4" r:id="rId2"/>
    <sheet name="VATtax et trade tax et ipc " sheetId="11" r:id="rId3"/>
    <sheet name="vérification des erreurs " sheetId="10" r:id="rId4"/>
    <sheet name="Notes" sheetId="5" r:id="rId5"/>
    <sheet name="muette gaz naturel" sheetId="7" state="hidden" r:id="rId6"/>
    <sheet name="muette petrol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7" i="10" l="1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45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59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456" i="10"/>
  <c r="AM2" i="11"/>
  <c r="X2" i="4" s="1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AM35" i="11"/>
  <c r="AM36" i="11"/>
  <c r="AM37" i="11"/>
  <c r="AM38" i="11"/>
  <c r="AM39" i="11"/>
  <c r="AM40" i="11"/>
  <c r="AM41" i="11"/>
  <c r="AM42" i="11"/>
  <c r="AM43" i="11"/>
  <c r="AM44" i="11"/>
  <c r="AM45" i="11"/>
  <c r="AM46" i="11"/>
  <c r="AM47" i="11"/>
  <c r="AM48" i="11"/>
  <c r="AM49" i="11"/>
  <c r="AM50" i="11"/>
  <c r="AM51" i="11"/>
  <c r="AM52" i="11"/>
  <c r="AM53" i="11"/>
  <c r="AM54" i="11"/>
  <c r="AM55" i="11"/>
  <c r="AM56" i="11"/>
  <c r="AM57" i="11"/>
  <c r="AM58" i="11"/>
  <c r="AM59" i="11"/>
  <c r="AM60" i="11"/>
  <c r="AM61" i="11"/>
  <c r="AM62" i="11"/>
  <c r="AM63" i="11"/>
  <c r="AM64" i="11"/>
  <c r="AM65" i="11"/>
  <c r="AM66" i="11"/>
  <c r="AM67" i="11"/>
  <c r="AM68" i="11"/>
  <c r="AM69" i="11"/>
  <c r="AM70" i="11"/>
  <c r="AM71" i="11"/>
  <c r="AM72" i="11"/>
  <c r="AM73" i="11"/>
  <c r="AM74" i="11"/>
  <c r="AM75" i="11"/>
  <c r="AM76" i="11"/>
  <c r="AM77" i="11"/>
  <c r="AM78" i="11"/>
  <c r="AM79" i="11"/>
  <c r="AM80" i="11"/>
  <c r="AM81" i="11"/>
  <c r="AM82" i="11"/>
  <c r="AM83" i="11"/>
  <c r="AM84" i="11"/>
  <c r="AM85" i="11"/>
  <c r="AM86" i="11"/>
  <c r="AM87" i="11"/>
  <c r="AM88" i="11"/>
  <c r="AM89" i="11"/>
  <c r="AM90" i="11"/>
  <c r="AM91" i="11"/>
  <c r="AM92" i="11"/>
  <c r="AM93" i="11"/>
  <c r="AM94" i="11"/>
  <c r="AM95" i="11"/>
  <c r="AM96" i="11"/>
  <c r="AM97" i="11"/>
  <c r="AM98" i="11"/>
  <c r="AM99" i="11"/>
  <c r="AM100" i="11"/>
  <c r="AM101" i="11"/>
  <c r="AM102" i="11"/>
  <c r="AM103" i="11"/>
  <c r="AM104" i="11"/>
  <c r="AM105" i="11"/>
  <c r="AM106" i="11"/>
  <c r="AM107" i="11"/>
  <c r="AM108" i="11"/>
  <c r="AM109" i="11"/>
  <c r="AM110" i="11"/>
  <c r="AM111" i="11"/>
  <c r="AM112" i="11"/>
  <c r="AM113" i="11"/>
  <c r="AM114" i="11"/>
  <c r="AM115" i="11"/>
  <c r="AM116" i="11"/>
  <c r="AM117" i="11"/>
  <c r="AM118" i="11"/>
  <c r="AM119" i="11"/>
  <c r="AM120" i="11"/>
  <c r="AM121" i="11"/>
  <c r="AM122" i="11"/>
  <c r="AM123" i="11"/>
  <c r="AM124" i="11"/>
  <c r="AM125" i="11"/>
  <c r="AM126" i="11"/>
  <c r="AM127" i="11"/>
  <c r="AM128" i="11"/>
  <c r="AM129" i="11"/>
  <c r="AM130" i="11"/>
  <c r="AM131" i="11"/>
  <c r="AM132" i="11"/>
  <c r="AM133" i="11"/>
  <c r="AM134" i="11"/>
  <c r="AM135" i="11"/>
  <c r="AM136" i="11"/>
  <c r="AM137" i="11"/>
  <c r="AM138" i="11"/>
  <c r="AM139" i="11"/>
  <c r="AM140" i="11"/>
  <c r="AM141" i="11"/>
  <c r="AM142" i="11"/>
  <c r="AM143" i="11"/>
  <c r="AM144" i="11"/>
  <c r="AM145" i="11"/>
  <c r="AM146" i="11"/>
  <c r="AM147" i="11"/>
  <c r="AM148" i="11"/>
  <c r="AM149" i="11"/>
  <c r="AM150" i="11"/>
  <c r="AM151" i="11"/>
  <c r="AM152" i="11"/>
  <c r="AM153" i="11"/>
  <c r="AM154" i="11"/>
  <c r="AM155" i="11"/>
  <c r="AM156" i="11"/>
  <c r="AM157" i="11"/>
  <c r="AM158" i="11"/>
  <c r="AM159" i="11"/>
  <c r="AM160" i="11"/>
  <c r="AM161" i="11"/>
  <c r="AM162" i="11"/>
  <c r="AM163" i="11"/>
  <c r="AM164" i="11"/>
  <c r="AM165" i="11"/>
  <c r="AM167" i="11"/>
  <c r="AM168" i="11"/>
  <c r="AM169" i="11"/>
  <c r="AM170" i="11"/>
  <c r="AM171" i="11"/>
  <c r="AM172" i="11"/>
  <c r="AM173" i="11"/>
  <c r="AM174" i="11"/>
  <c r="AM175" i="11"/>
  <c r="AM176" i="11"/>
  <c r="AM177" i="11"/>
  <c r="AM178" i="11"/>
  <c r="AM179" i="11"/>
  <c r="AM180" i="11"/>
  <c r="AM181" i="11"/>
  <c r="AM182" i="11"/>
  <c r="AM183" i="11"/>
  <c r="AM184" i="11"/>
  <c r="AM185" i="11"/>
  <c r="AM186" i="11"/>
  <c r="AM187" i="11"/>
  <c r="AM188" i="11"/>
  <c r="AM189" i="11"/>
  <c r="AM190" i="11"/>
  <c r="AM191" i="11"/>
  <c r="AM192" i="11"/>
  <c r="AM193" i="11"/>
  <c r="AM194" i="11"/>
  <c r="AM195" i="11"/>
  <c r="AM196" i="11"/>
  <c r="AM197" i="11"/>
  <c r="AM198" i="11"/>
  <c r="AM199" i="11"/>
  <c r="AM200" i="11"/>
  <c r="AM201" i="11"/>
  <c r="AM202" i="11"/>
  <c r="AM203" i="11"/>
  <c r="AM204" i="11"/>
  <c r="AM205" i="11"/>
  <c r="AM206" i="11"/>
  <c r="AM207" i="11"/>
  <c r="AM208" i="11"/>
  <c r="AM209" i="11"/>
  <c r="AM210" i="11"/>
  <c r="AM211" i="11"/>
  <c r="AM212" i="11"/>
  <c r="AM213" i="11"/>
  <c r="AM214" i="11"/>
  <c r="AM215" i="11"/>
  <c r="AM216" i="11"/>
  <c r="AM217" i="11"/>
  <c r="AM218" i="11"/>
  <c r="AG665" i="11"/>
  <c r="AG666" i="11"/>
  <c r="AG667" i="11"/>
  <c r="AG668" i="11"/>
  <c r="AG669" i="11"/>
  <c r="AG670" i="11"/>
  <c r="AG671" i="11"/>
  <c r="AG672" i="11"/>
  <c r="AG673" i="11"/>
  <c r="AG674" i="11"/>
  <c r="AG675" i="11"/>
  <c r="AG676" i="11"/>
  <c r="AG677" i="11"/>
  <c r="AG678" i="11"/>
  <c r="AG679" i="11"/>
  <c r="AG680" i="11"/>
  <c r="AG681" i="11"/>
  <c r="AG682" i="11"/>
  <c r="AG683" i="11"/>
  <c r="AG684" i="11"/>
  <c r="AG685" i="11"/>
  <c r="AG686" i="11"/>
  <c r="AG687" i="11"/>
  <c r="AG688" i="11"/>
  <c r="AG689" i="11"/>
  <c r="AG690" i="11"/>
  <c r="AG691" i="11"/>
  <c r="AG692" i="11"/>
  <c r="AG693" i="11"/>
  <c r="AG694" i="11"/>
  <c r="AG695" i="11"/>
  <c r="AG696" i="11"/>
  <c r="AG697" i="11"/>
  <c r="AG698" i="11"/>
  <c r="AG699" i="11"/>
  <c r="AG700" i="11"/>
  <c r="AG701" i="11"/>
  <c r="AG702" i="11"/>
  <c r="AG703" i="11"/>
  <c r="AG704" i="11"/>
  <c r="AG705" i="11"/>
  <c r="AG706" i="11"/>
  <c r="AG707" i="11"/>
  <c r="AG708" i="11"/>
  <c r="AG709" i="11"/>
  <c r="AG710" i="11"/>
  <c r="AG711" i="11"/>
  <c r="AG712" i="11"/>
  <c r="AG713" i="11"/>
  <c r="AG714" i="11"/>
  <c r="AG715" i="11"/>
  <c r="AG716" i="11"/>
  <c r="AG717" i="11"/>
  <c r="AG718" i="11"/>
  <c r="AG719" i="11"/>
  <c r="AG720" i="11"/>
  <c r="AG721" i="11"/>
  <c r="AG722" i="11"/>
  <c r="AG723" i="11"/>
  <c r="AG724" i="11"/>
  <c r="AG725" i="11"/>
  <c r="AG726" i="11"/>
  <c r="AG727" i="11"/>
  <c r="AG728" i="11"/>
  <c r="AG729" i="11"/>
  <c r="AG730" i="11"/>
  <c r="AG731" i="11"/>
  <c r="AG732" i="11"/>
  <c r="AG733" i="11"/>
  <c r="AG734" i="11"/>
  <c r="AG735" i="11"/>
  <c r="AG736" i="11"/>
  <c r="AG737" i="11"/>
  <c r="AG738" i="11"/>
  <c r="AG739" i="11"/>
  <c r="AG740" i="11"/>
  <c r="AG741" i="11"/>
  <c r="AG742" i="11"/>
  <c r="AG743" i="11"/>
  <c r="AG744" i="11"/>
  <c r="AG745" i="11"/>
  <c r="AG746" i="11"/>
  <c r="AG747" i="11"/>
  <c r="AG748" i="11"/>
  <c r="AG749" i="11"/>
  <c r="AG750" i="11"/>
  <c r="AG751" i="11"/>
  <c r="AG752" i="11"/>
  <c r="AG753" i="11"/>
  <c r="AG754" i="11"/>
  <c r="AG755" i="11"/>
  <c r="AG756" i="11"/>
  <c r="AG757" i="11"/>
  <c r="AG758" i="11"/>
  <c r="AG759" i="11"/>
  <c r="AG760" i="11"/>
  <c r="AG761" i="11"/>
  <c r="AG762" i="11"/>
  <c r="AG763" i="11"/>
  <c r="AG764" i="11"/>
  <c r="AG765" i="11"/>
  <c r="AG766" i="11"/>
  <c r="AG767" i="11"/>
  <c r="AG768" i="11"/>
  <c r="AG769" i="11"/>
  <c r="AG770" i="11"/>
  <c r="AG771" i="11"/>
  <c r="AG772" i="11"/>
  <c r="AG773" i="11"/>
  <c r="AG774" i="11"/>
  <c r="AG775" i="11"/>
  <c r="AG776" i="11"/>
  <c r="AG777" i="11"/>
  <c r="AG778" i="11"/>
  <c r="AG779" i="11"/>
  <c r="AG780" i="11"/>
  <c r="AG781" i="11"/>
  <c r="AG782" i="11"/>
  <c r="AG783" i="11"/>
  <c r="AG784" i="11"/>
  <c r="AG785" i="11"/>
  <c r="AG786" i="11"/>
  <c r="AG787" i="11"/>
  <c r="AG788" i="11"/>
  <c r="AG789" i="11"/>
  <c r="AG790" i="11"/>
  <c r="AG791" i="11"/>
  <c r="AG792" i="11"/>
  <c r="AG793" i="11"/>
  <c r="AG794" i="11"/>
  <c r="AG795" i="11"/>
  <c r="AG796" i="11"/>
  <c r="AG797" i="11"/>
  <c r="AG798" i="11"/>
  <c r="AG799" i="11"/>
  <c r="AG800" i="11"/>
  <c r="AG801" i="11"/>
  <c r="AG802" i="11"/>
  <c r="AG803" i="11"/>
  <c r="AG804" i="11"/>
  <c r="AG805" i="11"/>
  <c r="AG806" i="11"/>
  <c r="AG807" i="11"/>
  <c r="AG808" i="11"/>
  <c r="AG809" i="11"/>
  <c r="AG810" i="11"/>
  <c r="AG811" i="11"/>
  <c r="AG812" i="11"/>
  <c r="AG813" i="11"/>
  <c r="AG814" i="11"/>
  <c r="AG815" i="11"/>
  <c r="AG816" i="11"/>
  <c r="AG817" i="11"/>
  <c r="AG818" i="11"/>
  <c r="AG819" i="11"/>
  <c r="AG820" i="11"/>
  <c r="AG821" i="11"/>
  <c r="AG822" i="11"/>
  <c r="AG823" i="11"/>
  <c r="AG824" i="11"/>
  <c r="AG825" i="11"/>
  <c r="AG826" i="11"/>
  <c r="AG827" i="11"/>
  <c r="AG828" i="11"/>
  <c r="AG829" i="11"/>
  <c r="AG830" i="11"/>
  <c r="AG831" i="11"/>
  <c r="AG832" i="11"/>
  <c r="AG833" i="11"/>
  <c r="AG834" i="11"/>
  <c r="AG835" i="11"/>
  <c r="AG836" i="11"/>
  <c r="AG837" i="11"/>
  <c r="AG838" i="11"/>
  <c r="AG839" i="11"/>
  <c r="AG840" i="11"/>
  <c r="AG841" i="11"/>
  <c r="AG842" i="11"/>
  <c r="AG843" i="11"/>
  <c r="AG844" i="11"/>
  <c r="AG845" i="11"/>
  <c r="AG846" i="11"/>
  <c r="AG847" i="11"/>
  <c r="AG848" i="11"/>
  <c r="AG849" i="11"/>
  <c r="AG850" i="11"/>
  <c r="AG851" i="11"/>
  <c r="AG852" i="11"/>
  <c r="AG853" i="11"/>
  <c r="AG854" i="11"/>
  <c r="AG855" i="11"/>
  <c r="AG856" i="11"/>
  <c r="AG857" i="11"/>
  <c r="AG858" i="11"/>
  <c r="AG859" i="11"/>
  <c r="AG860" i="11"/>
  <c r="AG861" i="11"/>
  <c r="AG862" i="11"/>
  <c r="AG863" i="11"/>
  <c r="AG864" i="11"/>
  <c r="AG865" i="11"/>
  <c r="AG866" i="11"/>
  <c r="AG867" i="11"/>
  <c r="AG868" i="11"/>
  <c r="AG869" i="11"/>
  <c r="AG870" i="11"/>
  <c r="AG871" i="11"/>
  <c r="AG872" i="11"/>
  <c r="AG873" i="11"/>
  <c r="AG874" i="11"/>
  <c r="AG875" i="11"/>
  <c r="AG876" i="11"/>
  <c r="AG877" i="11"/>
  <c r="AG878" i="11"/>
  <c r="AG879" i="11"/>
  <c r="AG880" i="11"/>
  <c r="AG664" i="11"/>
  <c r="W2" i="4" a="1"/>
  <c r="W2" i="4" s="1"/>
  <c r="AK218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33" i="11"/>
  <c r="AK34" i="11"/>
  <c r="AK35" i="11"/>
  <c r="AK36" i="11"/>
  <c r="AK37" i="11"/>
  <c r="AK38" i="11"/>
  <c r="AK39" i="11"/>
  <c r="AK40" i="11"/>
  <c r="AK41" i="11"/>
  <c r="AK42" i="11"/>
  <c r="AK43" i="11"/>
  <c r="AK44" i="11"/>
  <c r="AK45" i="11"/>
  <c r="AK46" i="11"/>
  <c r="AK47" i="11"/>
  <c r="AK48" i="11"/>
  <c r="AK49" i="11"/>
  <c r="AK50" i="11"/>
  <c r="AK51" i="11"/>
  <c r="AK52" i="11"/>
  <c r="AK53" i="11"/>
  <c r="AK54" i="11"/>
  <c r="AK55" i="11"/>
  <c r="AK56" i="11"/>
  <c r="AK57" i="11"/>
  <c r="AK58" i="11"/>
  <c r="AK59" i="11"/>
  <c r="AK60" i="11"/>
  <c r="AK61" i="11"/>
  <c r="AK62" i="11"/>
  <c r="AK63" i="11"/>
  <c r="AK64" i="11"/>
  <c r="AK65" i="11"/>
  <c r="AK66" i="11"/>
  <c r="AK67" i="11"/>
  <c r="AK68" i="11"/>
  <c r="AK69" i="11"/>
  <c r="AK70" i="11"/>
  <c r="AK71" i="11"/>
  <c r="AK72" i="11"/>
  <c r="AK73" i="11"/>
  <c r="AK74" i="11"/>
  <c r="AK75" i="11"/>
  <c r="AK76" i="11"/>
  <c r="AK77" i="11"/>
  <c r="AK78" i="11"/>
  <c r="AK79" i="11"/>
  <c r="AK80" i="11"/>
  <c r="AK81" i="11"/>
  <c r="AK82" i="11"/>
  <c r="AK83" i="11"/>
  <c r="AK84" i="11"/>
  <c r="AK85" i="11"/>
  <c r="AK86" i="11"/>
  <c r="AK87" i="11"/>
  <c r="AK88" i="11"/>
  <c r="AK89" i="11"/>
  <c r="AK90" i="11"/>
  <c r="AK91" i="11"/>
  <c r="AK92" i="11"/>
  <c r="AK93" i="11"/>
  <c r="AK94" i="11"/>
  <c r="AK95" i="11"/>
  <c r="AK96" i="11"/>
  <c r="AK97" i="11"/>
  <c r="AK98" i="11"/>
  <c r="AK99" i="11"/>
  <c r="AK100" i="11"/>
  <c r="AK101" i="11"/>
  <c r="AK102" i="11"/>
  <c r="AK103" i="11"/>
  <c r="AK104" i="11"/>
  <c r="AK105" i="11"/>
  <c r="AK106" i="11"/>
  <c r="AK107" i="11"/>
  <c r="AK108" i="11"/>
  <c r="AK109" i="11"/>
  <c r="AK110" i="11"/>
  <c r="AK111" i="11"/>
  <c r="AK112" i="11"/>
  <c r="AK113" i="11"/>
  <c r="AK114" i="11"/>
  <c r="AK115" i="11"/>
  <c r="AK116" i="11"/>
  <c r="AK117" i="11"/>
  <c r="AK118" i="11"/>
  <c r="AK119" i="11"/>
  <c r="AK120" i="11"/>
  <c r="AK121" i="11"/>
  <c r="AK122" i="11"/>
  <c r="AK123" i="11"/>
  <c r="AK124" i="11"/>
  <c r="AK125" i="11"/>
  <c r="AK126" i="11"/>
  <c r="AK127" i="11"/>
  <c r="AK128" i="11"/>
  <c r="AK129" i="11"/>
  <c r="AK130" i="11"/>
  <c r="AK131" i="11"/>
  <c r="AK132" i="11"/>
  <c r="AK133" i="11"/>
  <c r="AK134" i="11"/>
  <c r="AK135" i="11"/>
  <c r="AK136" i="11"/>
  <c r="AK137" i="11"/>
  <c r="AK138" i="11"/>
  <c r="AK139" i="11"/>
  <c r="AK140" i="11"/>
  <c r="AK141" i="11"/>
  <c r="AK142" i="11"/>
  <c r="AK143" i="11"/>
  <c r="AK144" i="11"/>
  <c r="AK145" i="11"/>
  <c r="AK146" i="11"/>
  <c r="AK147" i="11"/>
  <c r="AK148" i="11"/>
  <c r="AK149" i="11"/>
  <c r="AK150" i="11"/>
  <c r="AK151" i="11"/>
  <c r="AK152" i="11"/>
  <c r="AK153" i="11"/>
  <c r="AK154" i="11"/>
  <c r="AK155" i="11"/>
  <c r="AK156" i="11"/>
  <c r="AK157" i="11"/>
  <c r="AK158" i="11"/>
  <c r="AK159" i="11"/>
  <c r="AK160" i="11"/>
  <c r="AK161" i="11"/>
  <c r="AK162" i="11"/>
  <c r="AK163" i="11"/>
  <c r="AK164" i="11"/>
  <c r="AK165" i="11"/>
  <c r="AK166" i="11"/>
  <c r="AK167" i="11"/>
  <c r="AK168" i="11"/>
  <c r="AK169" i="11"/>
  <c r="AK170" i="11"/>
  <c r="AK171" i="11"/>
  <c r="AK172" i="11"/>
  <c r="AK173" i="11"/>
  <c r="AK174" i="11"/>
  <c r="AK175" i="11"/>
  <c r="AK176" i="11"/>
  <c r="AK177" i="11"/>
  <c r="AK178" i="11"/>
  <c r="AK179" i="11"/>
  <c r="AK180" i="11"/>
  <c r="AK181" i="11"/>
  <c r="AK182" i="11"/>
  <c r="AK183" i="11"/>
  <c r="AK184" i="11"/>
  <c r="AK185" i="11"/>
  <c r="AK186" i="11"/>
  <c r="AK187" i="11"/>
  <c r="AK188" i="11"/>
  <c r="AK189" i="11"/>
  <c r="AK190" i="11"/>
  <c r="AK191" i="11"/>
  <c r="AK192" i="11"/>
  <c r="AK193" i="11"/>
  <c r="AK194" i="11"/>
  <c r="AK195" i="11"/>
  <c r="AK196" i="11"/>
  <c r="AK197" i="11"/>
  <c r="AK198" i="11"/>
  <c r="AK199" i="11"/>
  <c r="AK200" i="11"/>
  <c r="AK201" i="11"/>
  <c r="AK202" i="11"/>
  <c r="AK203" i="11"/>
  <c r="AK204" i="11"/>
  <c r="AK205" i="11"/>
  <c r="AK206" i="11"/>
  <c r="AK207" i="11"/>
  <c r="AK208" i="11"/>
  <c r="AK209" i="11"/>
  <c r="AK210" i="11"/>
  <c r="AK211" i="11"/>
  <c r="AK212" i="11"/>
  <c r="AK213" i="11"/>
  <c r="AK214" i="11"/>
  <c r="AK215" i="11"/>
  <c r="AK216" i="11"/>
  <c r="AK217" i="11"/>
  <c r="AK3" i="11"/>
  <c r="AK4" i="11"/>
  <c r="AK2" i="11"/>
  <c r="AG444" i="11"/>
  <c r="AG445" i="11"/>
  <c r="AG446" i="11"/>
  <c r="AG447" i="11"/>
  <c r="AG448" i="11"/>
  <c r="AG449" i="11"/>
  <c r="AG450" i="11"/>
  <c r="AG451" i="11"/>
  <c r="AG452" i="11"/>
  <c r="AG453" i="11"/>
  <c r="AG454" i="11"/>
  <c r="AG455" i="11"/>
  <c r="AG456" i="11"/>
  <c r="AG457" i="11"/>
  <c r="AG458" i="11"/>
  <c r="AG459" i="11"/>
  <c r="AG460" i="11"/>
  <c r="AG461" i="11"/>
  <c r="AG462" i="11"/>
  <c r="AG463" i="11"/>
  <c r="AG464" i="11"/>
  <c r="AG465" i="11"/>
  <c r="AG466" i="11"/>
  <c r="AG467" i="11"/>
  <c r="AG468" i="11"/>
  <c r="AG469" i="11"/>
  <c r="AG470" i="11"/>
  <c r="AG471" i="11"/>
  <c r="AG472" i="11"/>
  <c r="AG473" i="11"/>
  <c r="AG474" i="11"/>
  <c r="AG475" i="11"/>
  <c r="AG476" i="11"/>
  <c r="AG477" i="11"/>
  <c r="AG478" i="11"/>
  <c r="AG479" i="11"/>
  <c r="AG480" i="11"/>
  <c r="AG481" i="11"/>
  <c r="AG482" i="11"/>
  <c r="AG483" i="11"/>
  <c r="AG484" i="11"/>
  <c r="AG485" i="11"/>
  <c r="AG486" i="11"/>
  <c r="AG487" i="11"/>
  <c r="AG488" i="11"/>
  <c r="AG489" i="11"/>
  <c r="AG490" i="11"/>
  <c r="AG491" i="11"/>
  <c r="AG492" i="11"/>
  <c r="AG493" i="11"/>
  <c r="AG494" i="11"/>
  <c r="AG495" i="11"/>
  <c r="AG496" i="11"/>
  <c r="AG497" i="11"/>
  <c r="AG498" i="11"/>
  <c r="AG499" i="11"/>
  <c r="AG500" i="11"/>
  <c r="AG501" i="11"/>
  <c r="AG502" i="11"/>
  <c r="AG503" i="11"/>
  <c r="AG504" i="11"/>
  <c r="AG505" i="11"/>
  <c r="AG506" i="11"/>
  <c r="AG507" i="11"/>
  <c r="AG508" i="11"/>
  <c r="AG509" i="11"/>
  <c r="AG510" i="11"/>
  <c r="AG511" i="11"/>
  <c r="AG512" i="11"/>
  <c r="AG513" i="11"/>
  <c r="AG514" i="11"/>
  <c r="AG515" i="11"/>
  <c r="AG516" i="11"/>
  <c r="AG517" i="11"/>
  <c r="AG518" i="11"/>
  <c r="AG519" i="11"/>
  <c r="AG520" i="11"/>
  <c r="AG521" i="11"/>
  <c r="AG522" i="11"/>
  <c r="AG523" i="11"/>
  <c r="AG524" i="11"/>
  <c r="AG525" i="11"/>
  <c r="AG526" i="11"/>
  <c r="AG527" i="11"/>
  <c r="AG528" i="11"/>
  <c r="AG529" i="11"/>
  <c r="AG530" i="11"/>
  <c r="AG531" i="11"/>
  <c r="AG532" i="11"/>
  <c r="AG533" i="11"/>
  <c r="AG534" i="11"/>
  <c r="AG535" i="11"/>
  <c r="AG536" i="11"/>
  <c r="AG537" i="11"/>
  <c r="AG538" i="11"/>
  <c r="AG539" i="11"/>
  <c r="AG540" i="11"/>
  <c r="AG541" i="11"/>
  <c r="AG542" i="11"/>
  <c r="AG543" i="11"/>
  <c r="AG544" i="11"/>
  <c r="AG545" i="11"/>
  <c r="AG546" i="11"/>
  <c r="AG547" i="11"/>
  <c r="AG548" i="11"/>
  <c r="AG549" i="11"/>
  <c r="AG550" i="11"/>
  <c r="AG551" i="11"/>
  <c r="AG552" i="11"/>
  <c r="AG553" i="11"/>
  <c r="AG554" i="11"/>
  <c r="AG555" i="11"/>
  <c r="AG556" i="11"/>
  <c r="AG557" i="11"/>
  <c r="AG558" i="11"/>
  <c r="AG559" i="11"/>
  <c r="AG560" i="11"/>
  <c r="AG561" i="11"/>
  <c r="AG562" i="11"/>
  <c r="AG563" i="11"/>
  <c r="AG564" i="11"/>
  <c r="AG565" i="11"/>
  <c r="AG566" i="11"/>
  <c r="AG567" i="11"/>
  <c r="AG568" i="11"/>
  <c r="AG569" i="11"/>
  <c r="AG570" i="11"/>
  <c r="AG571" i="11"/>
  <c r="AG572" i="11"/>
  <c r="AG573" i="11"/>
  <c r="AG574" i="11"/>
  <c r="AG575" i="11"/>
  <c r="AG576" i="11"/>
  <c r="AG577" i="11"/>
  <c r="AG578" i="11"/>
  <c r="AG579" i="11"/>
  <c r="AG580" i="11"/>
  <c r="AG581" i="11"/>
  <c r="AG582" i="11"/>
  <c r="AG583" i="11"/>
  <c r="AG584" i="11"/>
  <c r="AG585" i="11"/>
  <c r="AG586" i="11"/>
  <c r="AG587" i="11"/>
  <c r="AG588" i="11"/>
  <c r="AG589" i="11"/>
  <c r="AG590" i="11"/>
  <c r="AG591" i="11"/>
  <c r="AG592" i="11"/>
  <c r="AG593" i="11"/>
  <c r="AG594" i="11"/>
  <c r="AG595" i="11"/>
  <c r="AG596" i="11"/>
  <c r="AG597" i="11"/>
  <c r="AG598" i="11"/>
  <c r="AG599" i="11"/>
  <c r="AG600" i="11"/>
  <c r="AG601" i="11"/>
  <c r="AG602" i="11"/>
  <c r="AG603" i="11"/>
  <c r="AG604" i="11"/>
  <c r="AG605" i="11"/>
  <c r="AG606" i="11"/>
  <c r="AG607" i="11"/>
  <c r="AG608" i="11"/>
  <c r="AG609" i="11"/>
  <c r="AG610" i="11"/>
  <c r="AG611" i="11"/>
  <c r="AG612" i="11"/>
  <c r="AG613" i="11"/>
  <c r="AG614" i="11"/>
  <c r="AG615" i="11"/>
  <c r="AG616" i="11"/>
  <c r="AG617" i="11"/>
  <c r="AG618" i="11"/>
  <c r="AG619" i="11"/>
  <c r="AG620" i="11"/>
  <c r="AG621" i="11"/>
  <c r="AG622" i="11"/>
  <c r="AG623" i="11"/>
  <c r="AG624" i="11"/>
  <c r="AG625" i="11"/>
  <c r="AG626" i="11"/>
  <c r="AG627" i="11"/>
  <c r="AG628" i="11"/>
  <c r="AG629" i="11"/>
  <c r="AG630" i="11"/>
  <c r="AG631" i="11"/>
  <c r="AG632" i="11"/>
  <c r="AG633" i="11"/>
  <c r="AG634" i="11"/>
  <c r="AG635" i="11"/>
  <c r="AG636" i="11"/>
  <c r="AG637" i="11"/>
  <c r="AG638" i="11"/>
  <c r="AG639" i="11"/>
  <c r="AG640" i="11"/>
  <c r="AG641" i="11"/>
  <c r="AG642" i="11"/>
  <c r="AG643" i="11"/>
  <c r="AG644" i="11"/>
  <c r="AG645" i="11"/>
  <c r="AG646" i="11"/>
  <c r="AG647" i="11"/>
  <c r="AG648" i="11"/>
  <c r="AG649" i="11"/>
  <c r="AG650" i="11"/>
  <c r="AG651" i="11"/>
  <c r="AG652" i="11"/>
  <c r="AG653" i="11"/>
  <c r="AG654" i="11"/>
  <c r="AG655" i="11"/>
  <c r="AG656" i="11"/>
  <c r="AG657" i="11"/>
  <c r="AG658" i="11"/>
  <c r="AG659" i="11"/>
  <c r="AG443" i="1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" i="4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" i="11"/>
  <c r="AG438" i="11"/>
  <c r="AG437" i="11"/>
  <c r="AG436" i="11"/>
  <c r="AG435" i="11"/>
  <c r="AG434" i="11"/>
  <c r="AG433" i="11"/>
  <c r="AG432" i="11"/>
  <c r="AG431" i="11"/>
  <c r="AG430" i="11"/>
  <c r="AG429" i="11"/>
  <c r="AG428" i="11"/>
  <c r="AG427" i="11"/>
  <c r="AG426" i="11"/>
  <c r="AG425" i="11"/>
  <c r="AG424" i="11"/>
  <c r="AG423" i="11"/>
  <c r="AG422" i="11"/>
  <c r="AG421" i="11"/>
  <c r="AG420" i="11"/>
  <c r="AG419" i="11"/>
  <c r="AG418" i="11"/>
  <c r="AG417" i="11"/>
  <c r="AG416" i="11"/>
  <c r="AG415" i="11"/>
  <c r="AG414" i="11"/>
  <c r="AG413" i="11"/>
  <c r="AG412" i="11"/>
  <c r="AG411" i="11"/>
  <c r="AG410" i="11"/>
  <c r="AG409" i="11"/>
  <c r="AG408" i="11"/>
  <c r="AG407" i="11"/>
  <c r="AG406" i="11"/>
  <c r="AG405" i="11"/>
  <c r="AG404" i="11"/>
  <c r="AG403" i="11"/>
  <c r="AG402" i="11"/>
  <c r="AG401" i="11"/>
  <c r="AG400" i="11"/>
  <c r="AG399" i="11"/>
  <c r="AG398" i="11"/>
  <c r="AG397" i="11"/>
  <c r="AG396" i="11"/>
  <c r="AG395" i="11"/>
  <c r="AG394" i="11"/>
  <c r="AG393" i="11"/>
  <c r="AG392" i="11"/>
  <c r="AG391" i="11"/>
  <c r="AG390" i="11"/>
  <c r="AG389" i="11"/>
  <c r="AG388" i="11"/>
  <c r="AG387" i="11"/>
  <c r="AG386" i="11"/>
  <c r="AG385" i="11"/>
  <c r="AG384" i="11"/>
  <c r="AG383" i="11"/>
  <c r="AG382" i="11"/>
  <c r="AG381" i="11"/>
  <c r="AG380" i="11"/>
  <c r="AG379" i="11"/>
  <c r="AG378" i="11"/>
  <c r="AG377" i="11"/>
  <c r="AG376" i="11"/>
  <c r="AG375" i="11"/>
  <c r="AG374" i="11"/>
  <c r="AG373" i="11"/>
  <c r="AG372" i="11"/>
  <c r="AG371" i="11"/>
  <c r="AG370" i="11"/>
  <c r="AG369" i="11"/>
  <c r="AG368" i="11"/>
  <c r="AG367" i="11"/>
  <c r="AG366" i="11"/>
  <c r="AG365" i="11"/>
  <c r="AG364" i="11"/>
  <c r="AG363" i="11"/>
  <c r="AG362" i="11"/>
  <c r="AG361" i="11"/>
  <c r="AG360" i="11"/>
  <c r="AG359" i="11"/>
  <c r="AG358" i="11"/>
  <c r="AG357" i="11"/>
  <c r="AG356" i="11"/>
  <c r="AG355" i="11"/>
  <c r="AG354" i="11"/>
  <c r="AG353" i="11"/>
  <c r="AG352" i="11"/>
  <c r="AG351" i="11"/>
  <c r="AG350" i="11"/>
  <c r="AG349" i="11"/>
  <c r="AG348" i="11"/>
  <c r="AG347" i="11"/>
  <c r="AG346" i="11"/>
  <c r="AG345" i="11"/>
  <c r="AG344" i="11"/>
  <c r="AG343" i="11"/>
  <c r="AG342" i="11"/>
  <c r="AG341" i="11"/>
  <c r="AG340" i="11"/>
  <c r="AG339" i="11"/>
  <c r="AG338" i="11"/>
  <c r="AG337" i="11"/>
  <c r="AG336" i="11"/>
  <c r="AG335" i="11"/>
  <c r="AG334" i="11"/>
  <c r="AG333" i="11"/>
  <c r="AG332" i="11"/>
  <c r="AG331" i="11"/>
  <c r="AG330" i="11"/>
  <c r="AG329" i="11"/>
  <c r="AG328" i="11"/>
  <c r="AG327" i="11"/>
  <c r="AG326" i="11"/>
  <c r="AG325" i="11"/>
  <c r="AG324" i="11"/>
  <c r="AG323" i="11"/>
  <c r="AG322" i="11"/>
  <c r="AG321" i="11"/>
  <c r="AG320" i="11"/>
  <c r="AG319" i="11"/>
  <c r="AG318" i="11"/>
  <c r="AG317" i="11"/>
  <c r="AG316" i="11"/>
  <c r="AG315" i="11"/>
  <c r="AG314" i="11"/>
  <c r="AG313" i="11"/>
  <c r="AG312" i="11"/>
  <c r="AG311" i="11"/>
  <c r="AG310" i="11"/>
  <c r="AG309" i="11"/>
  <c r="AG308" i="11"/>
  <c r="AG307" i="11"/>
  <c r="AG306" i="11"/>
  <c r="AG305" i="11"/>
  <c r="AG304" i="11"/>
  <c r="AG303" i="11"/>
  <c r="AG302" i="11"/>
  <c r="AG301" i="11"/>
  <c r="AG300" i="11"/>
  <c r="AG299" i="11"/>
  <c r="AG298" i="11"/>
  <c r="AG297" i="11"/>
  <c r="AG296" i="11"/>
  <c r="AG295" i="11"/>
  <c r="AG294" i="11"/>
  <c r="AG293" i="11"/>
  <c r="AG292" i="11"/>
  <c r="AG291" i="11"/>
  <c r="AG290" i="11"/>
  <c r="AG289" i="11"/>
  <c r="AG288" i="11"/>
  <c r="AG287" i="11"/>
  <c r="AG286" i="11"/>
  <c r="AG285" i="11"/>
  <c r="AG284" i="11"/>
  <c r="AG283" i="11"/>
  <c r="AG282" i="11"/>
  <c r="AG281" i="11"/>
  <c r="AG280" i="11"/>
  <c r="AG279" i="11"/>
  <c r="AG278" i="11"/>
  <c r="AG277" i="11"/>
  <c r="AG276" i="11"/>
  <c r="AG275" i="11"/>
  <c r="AG274" i="11"/>
  <c r="AG273" i="11"/>
  <c r="AG272" i="11"/>
  <c r="AG271" i="11"/>
  <c r="AG270" i="11"/>
  <c r="AG269" i="11"/>
  <c r="AG268" i="11"/>
  <c r="AG267" i="11"/>
  <c r="AG266" i="11"/>
  <c r="AG265" i="11"/>
  <c r="AG264" i="11"/>
  <c r="AG263" i="11"/>
  <c r="AG262" i="11"/>
  <c r="AG261" i="11"/>
  <c r="AG260" i="11"/>
  <c r="AG259" i="11"/>
  <c r="AG258" i="11"/>
  <c r="AG257" i="11"/>
  <c r="AG256" i="11"/>
  <c r="AG255" i="11"/>
  <c r="AG254" i="11"/>
  <c r="AG253" i="11"/>
  <c r="AG252" i="11"/>
  <c r="AG251" i="11"/>
  <c r="AG250" i="11"/>
  <c r="AG249" i="11"/>
  <c r="AG248" i="11"/>
  <c r="AG247" i="11"/>
  <c r="AG246" i="11"/>
  <c r="AG245" i="11"/>
  <c r="AG244" i="11"/>
  <c r="AG243" i="11"/>
  <c r="AG242" i="11"/>
  <c r="AG241" i="11"/>
  <c r="AG240" i="11"/>
  <c r="AG239" i="11"/>
  <c r="AG238" i="11"/>
  <c r="AG237" i="11"/>
  <c r="AG236" i="11"/>
  <c r="AG235" i="11"/>
  <c r="AG234" i="11"/>
  <c r="AG233" i="11"/>
  <c r="AG232" i="11"/>
  <c r="AG231" i="11"/>
  <c r="AG230" i="11"/>
  <c r="AG229" i="11"/>
  <c r="AG228" i="11"/>
  <c r="AG227" i="11"/>
  <c r="AG226" i="11"/>
  <c r="AG225" i="11"/>
  <c r="AG224" i="11"/>
  <c r="AG223" i="11"/>
  <c r="AG22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36" i="11"/>
  <c r="AG37" i="11"/>
  <c r="AG38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62" i="11"/>
  <c r="AG63" i="11"/>
  <c r="AG64" i="11"/>
  <c r="AG65" i="11"/>
  <c r="AG66" i="11"/>
  <c r="AG67" i="11"/>
  <c r="AG68" i="11"/>
  <c r="AG69" i="11"/>
  <c r="AG70" i="11"/>
  <c r="AG71" i="11"/>
  <c r="AG72" i="11"/>
  <c r="AG73" i="11"/>
  <c r="AG74" i="11"/>
  <c r="AG75" i="11"/>
  <c r="AG76" i="11"/>
  <c r="AG77" i="11"/>
  <c r="AG78" i="11"/>
  <c r="AG79" i="11"/>
  <c r="AG80" i="11"/>
  <c r="AG81" i="11"/>
  <c r="AG82" i="11"/>
  <c r="AG83" i="11"/>
  <c r="AG84" i="11"/>
  <c r="AG85" i="11"/>
  <c r="AG86" i="11"/>
  <c r="AG87" i="11"/>
  <c r="AG88" i="11"/>
  <c r="AG89" i="11"/>
  <c r="AG90" i="11"/>
  <c r="AG91" i="11"/>
  <c r="AG92" i="11"/>
  <c r="AG93" i="11"/>
  <c r="AG94" i="11"/>
  <c r="AG95" i="11"/>
  <c r="AG96" i="11"/>
  <c r="AG97" i="11"/>
  <c r="AG98" i="11"/>
  <c r="AG99" i="11"/>
  <c r="AG100" i="11"/>
  <c r="AG101" i="11"/>
  <c r="AG102" i="11"/>
  <c r="AG103" i="11"/>
  <c r="AG104" i="11"/>
  <c r="AG105" i="11"/>
  <c r="AG106" i="11"/>
  <c r="AG107" i="11"/>
  <c r="AG108" i="11"/>
  <c r="AG109" i="11"/>
  <c r="AG110" i="11"/>
  <c r="AG111" i="11"/>
  <c r="AG112" i="11"/>
  <c r="AG113" i="11"/>
  <c r="AG114" i="11"/>
  <c r="AG115" i="11"/>
  <c r="AG116" i="11"/>
  <c r="AG117" i="11"/>
  <c r="AG118" i="11"/>
  <c r="AG119" i="11"/>
  <c r="AG120" i="11"/>
  <c r="AG121" i="11"/>
  <c r="AG122" i="11"/>
  <c r="AG123" i="11"/>
  <c r="AG124" i="11"/>
  <c r="AG125" i="11"/>
  <c r="AG126" i="11"/>
  <c r="AG127" i="11"/>
  <c r="AG128" i="11"/>
  <c r="AG129" i="11"/>
  <c r="AG130" i="11"/>
  <c r="AG131" i="11"/>
  <c r="AG132" i="11"/>
  <c r="AG133" i="11"/>
  <c r="AG134" i="11"/>
  <c r="AG135" i="11"/>
  <c r="AG136" i="11"/>
  <c r="AG137" i="11"/>
  <c r="AG138" i="11"/>
  <c r="AG139" i="11"/>
  <c r="AG140" i="11"/>
  <c r="AG141" i="11"/>
  <c r="AG142" i="11"/>
  <c r="AG143" i="11"/>
  <c r="AG144" i="11"/>
  <c r="AG145" i="11"/>
  <c r="AG146" i="11"/>
  <c r="AG147" i="11"/>
  <c r="AG148" i="11"/>
  <c r="AG149" i="11"/>
  <c r="AG150" i="11"/>
  <c r="AG151" i="11"/>
  <c r="AG152" i="11"/>
  <c r="AG153" i="11"/>
  <c r="AG154" i="11"/>
  <c r="AG155" i="11"/>
  <c r="AG156" i="11"/>
  <c r="AG157" i="11"/>
  <c r="AG158" i="11"/>
  <c r="AG159" i="11"/>
  <c r="AG160" i="11"/>
  <c r="AG161" i="11"/>
  <c r="AG162" i="11"/>
  <c r="AG163" i="11"/>
  <c r="AG164" i="11"/>
  <c r="AG165" i="11"/>
  <c r="AG166" i="11"/>
  <c r="AG167" i="11"/>
  <c r="AG168" i="11"/>
  <c r="AG169" i="11"/>
  <c r="AG170" i="11"/>
  <c r="AG171" i="11"/>
  <c r="AG172" i="11"/>
  <c r="AG173" i="11"/>
  <c r="AG174" i="11"/>
  <c r="AG175" i="11"/>
  <c r="AG176" i="11"/>
  <c r="AG177" i="11"/>
  <c r="AG178" i="11"/>
  <c r="AG179" i="11"/>
  <c r="AG180" i="11"/>
  <c r="AG181" i="11"/>
  <c r="AG182" i="11"/>
  <c r="AG183" i="11"/>
  <c r="AG184" i="11"/>
  <c r="AG185" i="11"/>
  <c r="AG186" i="11"/>
  <c r="AG187" i="11"/>
  <c r="AG188" i="11"/>
  <c r="AG189" i="11"/>
  <c r="AG190" i="11"/>
  <c r="AG191" i="11"/>
  <c r="AG192" i="11"/>
  <c r="AG193" i="11"/>
  <c r="AG194" i="11"/>
  <c r="AG195" i="11"/>
  <c r="AG196" i="11"/>
  <c r="AG197" i="11"/>
  <c r="AG198" i="11"/>
  <c r="AG199" i="11"/>
  <c r="AG200" i="11"/>
  <c r="AG201" i="11"/>
  <c r="AG202" i="11"/>
  <c r="AG203" i="11"/>
  <c r="AG204" i="11"/>
  <c r="AG205" i="11"/>
  <c r="AG206" i="11"/>
  <c r="AG207" i="11"/>
  <c r="AG208" i="11"/>
  <c r="AG209" i="11"/>
  <c r="AG210" i="11"/>
  <c r="AG211" i="11"/>
  <c r="AG212" i="11"/>
  <c r="AG213" i="11"/>
  <c r="AG214" i="11"/>
  <c r="AG215" i="11"/>
  <c r="AG216" i="11"/>
  <c r="AG217" i="11"/>
  <c r="AG218" i="11"/>
  <c r="AG2" i="11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AF19" i="7"/>
  <c r="AF2" i="8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1" i="8"/>
  <c r="AF99" i="7"/>
  <c r="AF24" i="7"/>
  <c r="AF121" i="7"/>
  <c r="AF2" i="7"/>
  <c r="AF63" i="7"/>
  <c r="AF122" i="7"/>
  <c r="AF56" i="7"/>
  <c r="AF123" i="7"/>
  <c r="AF124" i="7"/>
  <c r="AF52" i="7"/>
  <c r="AF93" i="7"/>
  <c r="AF29" i="7"/>
  <c r="AF125" i="7"/>
  <c r="AF26" i="7"/>
  <c r="AF49" i="7"/>
  <c r="AF102" i="7"/>
  <c r="AF88" i="7"/>
  <c r="AF120" i="7"/>
  <c r="AF111" i="7"/>
  <c r="AF126" i="7"/>
  <c r="AF127" i="7"/>
  <c r="AF128" i="7"/>
  <c r="AF33" i="7"/>
  <c r="AF84" i="7"/>
  <c r="AF129" i="7"/>
  <c r="AF86" i="7"/>
  <c r="AF3" i="7"/>
  <c r="AF20" i="7"/>
  <c r="AF95" i="7"/>
  <c r="AF130" i="7"/>
  <c r="AF131" i="7"/>
  <c r="AF132" i="7"/>
  <c r="AF133" i="7"/>
  <c r="AF77" i="7"/>
  <c r="AF44" i="7"/>
  <c r="AF134" i="7"/>
  <c r="AF135" i="7"/>
  <c r="AF117" i="7"/>
  <c r="AF4" i="7"/>
  <c r="AF89" i="7"/>
  <c r="AF73" i="7"/>
  <c r="AF72" i="7"/>
  <c r="AF136" i="7"/>
  <c r="AF114" i="7"/>
  <c r="AF61" i="7"/>
  <c r="AF137" i="7"/>
  <c r="AF65" i="7"/>
  <c r="AF62" i="7"/>
  <c r="AF83" i="7"/>
  <c r="AF5" i="7"/>
  <c r="AF138" i="7"/>
  <c r="AF104" i="7"/>
  <c r="AF67" i="7"/>
  <c r="AF139" i="7"/>
  <c r="AF140" i="7"/>
  <c r="AF141" i="7"/>
  <c r="AF97" i="7"/>
  <c r="AF38" i="7"/>
  <c r="AF142" i="7"/>
  <c r="AF31" i="7"/>
  <c r="AF143" i="7"/>
  <c r="AF144" i="7"/>
  <c r="AF145" i="7"/>
  <c r="AF146" i="7"/>
  <c r="AF147" i="7"/>
  <c r="AF148" i="7"/>
  <c r="AF149" i="7"/>
  <c r="AF112" i="7"/>
  <c r="AF150" i="7"/>
  <c r="AF69" i="7"/>
  <c r="AF151" i="7"/>
  <c r="AF98" i="7"/>
  <c r="AF94" i="7"/>
  <c r="AF85" i="7"/>
  <c r="AF6" i="7"/>
  <c r="AF119" i="7"/>
  <c r="AF152" i="7"/>
  <c r="AF153" i="7"/>
  <c r="AF154" i="7"/>
  <c r="AF116" i="7"/>
  <c r="AF155" i="7"/>
  <c r="AF156" i="7"/>
  <c r="AF157" i="7"/>
  <c r="AF158" i="7"/>
  <c r="AF159" i="7"/>
  <c r="AF160" i="7"/>
  <c r="AF70" i="7"/>
  <c r="AF161" i="7"/>
  <c r="AF74" i="7"/>
  <c r="AF40" i="7"/>
  <c r="AF28" i="7"/>
  <c r="AF58" i="7"/>
  <c r="AF90" i="7"/>
  <c r="AF7" i="7"/>
  <c r="AF76" i="7"/>
  <c r="AF87" i="7"/>
  <c r="AF162" i="7"/>
  <c r="AF106" i="7"/>
  <c r="AF80" i="7"/>
  <c r="AF42" i="7"/>
  <c r="AF163" i="7"/>
  <c r="AF164" i="7"/>
  <c r="AF8" i="7"/>
  <c r="AF113" i="7"/>
  <c r="AF165" i="7"/>
  <c r="AF46" i="7"/>
  <c r="AF96" i="7"/>
  <c r="AF166" i="7"/>
  <c r="AF167" i="7"/>
  <c r="AF168" i="7"/>
  <c r="AF169" i="7"/>
  <c r="AF170" i="7"/>
  <c r="AF37" i="7"/>
  <c r="AF9" i="7"/>
  <c r="AF171" i="7"/>
  <c r="AF172" i="7"/>
  <c r="AF173" i="7"/>
  <c r="AF174" i="7"/>
  <c r="AF175" i="7"/>
  <c r="AF32" i="7"/>
  <c r="AF176" i="7"/>
  <c r="AF177" i="7"/>
  <c r="AF178" i="7"/>
  <c r="AF10" i="7"/>
  <c r="AF179" i="7"/>
  <c r="AF180" i="7"/>
  <c r="AF71" i="7"/>
  <c r="AF181" i="7"/>
  <c r="AF109" i="7"/>
  <c r="AF11" i="7"/>
  <c r="AF182" i="7"/>
  <c r="AF183" i="7"/>
  <c r="AF107" i="7"/>
  <c r="AF36" i="7"/>
  <c r="AF25" i="7"/>
  <c r="AF184" i="7"/>
  <c r="AF185" i="7"/>
  <c r="AF186" i="7"/>
  <c r="AF54" i="7"/>
  <c r="AF187" i="7"/>
  <c r="AF60" i="7"/>
  <c r="AF188" i="7"/>
  <c r="AF110" i="7"/>
  <c r="AF50" i="7"/>
  <c r="AF189" i="7"/>
  <c r="AF190" i="7"/>
  <c r="AF35" i="7"/>
  <c r="AF30" i="7"/>
  <c r="AF45" i="7"/>
  <c r="AF12" i="7"/>
  <c r="AF191" i="7"/>
  <c r="AF34" i="7"/>
  <c r="AF192" i="7"/>
  <c r="AF66" i="7"/>
  <c r="AF75" i="7"/>
  <c r="AF81" i="7"/>
  <c r="AF193" i="7"/>
  <c r="AF194" i="7"/>
  <c r="AF22" i="7"/>
  <c r="AF51" i="7"/>
  <c r="AF27" i="7"/>
  <c r="AF101" i="7"/>
  <c r="AF195" i="7"/>
  <c r="AF13" i="7"/>
  <c r="AF196" i="7"/>
  <c r="AF41" i="7"/>
  <c r="AF103" i="7"/>
  <c r="AF79" i="7"/>
  <c r="AF197" i="7"/>
  <c r="AF14" i="7"/>
  <c r="AF198" i="7"/>
  <c r="AF15" i="7"/>
  <c r="AF100" i="7"/>
  <c r="AF115" i="7"/>
  <c r="AF199" i="7"/>
  <c r="AF200" i="7"/>
  <c r="AF92" i="7"/>
  <c r="AF201" i="7"/>
  <c r="AF118" i="7"/>
  <c r="AF202" i="7"/>
  <c r="AF203" i="7"/>
  <c r="AF204" i="7"/>
  <c r="AF16" i="7"/>
  <c r="AF205" i="7"/>
  <c r="AF206" i="7"/>
  <c r="AF108" i="7"/>
  <c r="AF207" i="7"/>
  <c r="AF208" i="7"/>
  <c r="AF47" i="7"/>
  <c r="AF82" i="7"/>
  <c r="AF78" i="7"/>
  <c r="AF48" i="7"/>
  <c r="AF18" i="7"/>
  <c r="AF209" i="7"/>
  <c r="AF210" i="7"/>
  <c r="AF23" i="7"/>
  <c r="AF59" i="7"/>
  <c r="AF105" i="7"/>
  <c r="AF211" i="7"/>
  <c r="AF212" i="7"/>
  <c r="AF213" i="7"/>
  <c r="AF43" i="7"/>
  <c r="AF39" i="7"/>
  <c r="AF68" i="7"/>
  <c r="AF64" i="7"/>
  <c r="AF214" i="7"/>
  <c r="AF21" i="7"/>
  <c r="AF215" i="7"/>
  <c r="AF55" i="7"/>
  <c r="AF57" i="7"/>
  <c r="AF216" i="7"/>
  <c r="AF17" i="7"/>
  <c r="AF53" i="7"/>
  <c r="AF217" i="7"/>
  <c r="AF218" i="7"/>
  <c r="AF91" i="7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362" i="10" s="1"/>
  <c r="B141" i="4"/>
  <c r="B142" i="4"/>
  <c r="B143" i="4"/>
  <c r="B365" i="10" s="1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381" i="10" s="1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421" i="10" s="1"/>
  <c r="B200" i="4"/>
  <c r="B422" i="10" s="1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439" i="10" s="1"/>
  <c r="B218" i="4"/>
  <c r="B369" i="10" l="1"/>
  <c r="B440" i="10"/>
  <c r="B360" i="10"/>
  <c r="B366" i="10"/>
  <c r="B434" i="10"/>
  <c r="B349" i="10"/>
  <c r="B426" i="10"/>
  <c r="B425" i="10"/>
  <c r="B417" i="10"/>
  <c r="B377" i="10"/>
  <c r="B337" i="10"/>
  <c r="B329" i="10"/>
  <c r="B432" i="10"/>
  <c r="B424" i="10"/>
  <c r="B376" i="10"/>
  <c r="B368" i="10"/>
  <c r="B344" i="10"/>
  <c r="B423" i="10"/>
  <c r="B375" i="10"/>
  <c r="B367" i="10"/>
  <c r="B359" i="10"/>
  <c r="B437" i="10"/>
  <c r="B429" i="10"/>
  <c r="B413" i="10"/>
  <c r="B341" i="10"/>
  <c r="B420" i="10"/>
  <c r="B348" i="10"/>
  <c r="B332" i="10"/>
  <c r="B435" i="10"/>
  <c r="B419" i="10"/>
  <c r="B379" i="10"/>
  <c r="B347" i="10"/>
  <c r="B339" i="10"/>
  <c r="C3" i="4"/>
  <c r="C4" i="4"/>
  <c r="C5" i="4"/>
  <c r="C227" i="10" s="1"/>
  <c r="C6" i="4"/>
  <c r="C7" i="4"/>
  <c r="C8" i="4"/>
  <c r="C9" i="4"/>
  <c r="C10" i="4"/>
  <c r="C11" i="4"/>
  <c r="C12" i="4"/>
  <c r="C13" i="4"/>
  <c r="C235" i="10" s="1"/>
  <c r="C14" i="4"/>
  <c r="C15" i="4"/>
  <c r="C16" i="4"/>
  <c r="C17" i="4"/>
  <c r="C18" i="4"/>
  <c r="C19" i="4"/>
  <c r="C20" i="4"/>
  <c r="C21" i="4"/>
  <c r="C243" i="10" s="1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259" i="10" s="1"/>
  <c r="C38" i="4"/>
  <c r="C39" i="4"/>
  <c r="C40" i="4"/>
  <c r="C41" i="4"/>
  <c r="C42" i="4"/>
  <c r="C43" i="4"/>
  <c r="C44" i="4"/>
  <c r="C45" i="4"/>
  <c r="C267" i="10" s="1"/>
  <c r="C46" i="4"/>
  <c r="C268" i="10" s="1"/>
  <c r="C47" i="4"/>
  <c r="C48" i="4"/>
  <c r="C49" i="4"/>
  <c r="C50" i="4"/>
  <c r="C51" i="4"/>
  <c r="C52" i="4"/>
  <c r="C53" i="4"/>
  <c r="C54" i="4"/>
  <c r="C276" i="10" s="1"/>
  <c r="C55" i="4"/>
  <c r="C56" i="4"/>
  <c r="C57" i="4"/>
  <c r="C58" i="4"/>
  <c r="C59" i="4"/>
  <c r="C60" i="4"/>
  <c r="C282" i="10" s="1"/>
  <c r="C61" i="4"/>
  <c r="C283" i="10" s="1"/>
  <c r="C62" i="4"/>
  <c r="C63" i="4"/>
  <c r="C64" i="4"/>
  <c r="C65" i="4"/>
  <c r="C287" i="10" s="1"/>
  <c r="C66" i="4"/>
  <c r="C67" i="4"/>
  <c r="C68" i="4"/>
  <c r="C290" i="10" s="1"/>
  <c r="C69" i="4"/>
  <c r="C291" i="10" s="1"/>
  <c r="C70" i="4"/>
  <c r="C71" i="4"/>
  <c r="C72" i="4"/>
  <c r="C73" i="4"/>
  <c r="C295" i="10" s="1"/>
  <c r="C74" i="4"/>
  <c r="C75" i="4"/>
  <c r="C76" i="4"/>
  <c r="C77" i="4"/>
  <c r="C78" i="4"/>
  <c r="C300" i="10" s="1"/>
  <c r="C79" i="4"/>
  <c r="C80" i="4"/>
  <c r="C81" i="4"/>
  <c r="C303" i="10" s="1"/>
  <c r="C82" i="4"/>
  <c r="C83" i="4"/>
  <c r="C84" i="4"/>
  <c r="C85" i="4"/>
  <c r="C86" i="4"/>
  <c r="C87" i="4"/>
  <c r="C88" i="4"/>
  <c r="C89" i="4"/>
  <c r="C90" i="4"/>
  <c r="C91" i="4"/>
  <c r="C92" i="4"/>
  <c r="C93" i="4"/>
  <c r="C315" i="10" s="1"/>
  <c r="C94" i="4"/>
  <c r="C95" i="4"/>
  <c r="C96" i="4"/>
  <c r="C97" i="4"/>
  <c r="C319" i="10" s="1"/>
  <c r="C98" i="4"/>
  <c r="C99" i="4"/>
  <c r="C100" i="4"/>
  <c r="C322" i="10" s="1"/>
  <c r="C101" i="4"/>
  <c r="C323" i="10" s="1"/>
  <c r="C102" i="4"/>
  <c r="C103" i="4"/>
  <c r="C104" i="4"/>
  <c r="C105" i="4"/>
  <c r="C106" i="4"/>
  <c r="C328" i="10" s="1"/>
  <c r="C107" i="4"/>
  <c r="C108" i="4"/>
  <c r="C109" i="4"/>
  <c r="C331" i="10" s="1"/>
  <c r="C110" i="4"/>
  <c r="C332" i="10" s="1"/>
  <c r="C111" i="4"/>
  <c r="C112" i="4"/>
  <c r="C113" i="4"/>
  <c r="C335" i="10" s="1"/>
  <c r="C114" i="4"/>
  <c r="C336" i="10" s="1"/>
  <c r="C115" i="4"/>
  <c r="C116" i="4"/>
  <c r="C338" i="10" s="1"/>
  <c r="C117" i="4"/>
  <c r="C339" i="10" s="1"/>
  <c r="C118" i="4"/>
  <c r="C119" i="4"/>
  <c r="C120" i="4"/>
  <c r="C121" i="4"/>
  <c r="C343" i="10" s="1"/>
  <c r="C122" i="4"/>
  <c r="C123" i="4"/>
  <c r="C345" i="10" s="1"/>
  <c r="C124" i="4"/>
  <c r="C346" i="10" s="1"/>
  <c r="C125" i="4"/>
  <c r="C126" i="4"/>
  <c r="C348" i="10" s="1"/>
  <c r="C127" i="4"/>
  <c r="C128" i="4"/>
  <c r="C129" i="4"/>
  <c r="C351" i="10" s="1"/>
  <c r="C130" i="4"/>
  <c r="C131" i="4"/>
  <c r="C132" i="4"/>
  <c r="C133" i="4"/>
  <c r="C355" i="10" s="1"/>
  <c r="C134" i="4"/>
  <c r="C135" i="4"/>
  <c r="C136" i="4"/>
  <c r="C137" i="4"/>
  <c r="C138" i="4"/>
  <c r="C139" i="4"/>
  <c r="C140" i="4"/>
  <c r="C362" i="10" s="1"/>
  <c r="C141" i="4"/>
  <c r="C363" i="10" s="1"/>
  <c r="C142" i="4"/>
  <c r="C143" i="4"/>
  <c r="C144" i="4"/>
  <c r="C366" i="10" s="1"/>
  <c r="C145" i="4"/>
  <c r="C146" i="4"/>
  <c r="C147" i="4"/>
  <c r="C148" i="4"/>
  <c r="C149" i="4"/>
  <c r="C371" i="10" s="1"/>
  <c r="C150" i="4"/>
  <c r="C151" i="4"/>
  <c r="C152" i="4"/>
  <c r="C153" i="4"/>
  <c r="C375" i="10" s="1"/>
  <c r="C154" i="4"/>
  <c r="C376" i="10" s="1"/>
  <c r="C155" i="4"/>
  <c r="C156" i="4"/>
  <c r="C157" i="4"/>
  <c r="C379" i="10" s="1"/>
  <c r="C158" i="4"/>
  <c r="C159" i="4"/>
  <c r="C160" i="4"/>
  <c r="C382" i="10" s="1"/>
  <c r="C161" i="4"/>
  <c r="C162" i="4"/>
  <c r="C384" i="10" s="1"/>
  <c r="C163" i="4"/>
  <c r="C164" i="4"/>
  <c r="C386" i="10" s="1"/>
  <c r="C165" i="4"/>
  <c r="C387" i="10" s="1"/>
  <c r="C166" i="4"/>
  <c r="C167" i="4"/>
  <c r="C168" i="4"/>
  <c r="C169" i="4"/>
  <c r="C170" i="4"/>
  <c r="C392" i="10" s="1"/>
  <c r="C171" i="4"/>
  <c r="C172" i="4"/>
  <c r="C173" i="4"/>
  <c r="C395" i="10" s="1"/>
  <c r="C174" i="4"/>
  <c r="C396" i="10" s="1"/>
  <c r="C175" i="4"/>
  <c r="C176" i="4"/>
  <c r="C177" i="4"/>
  <c r="C178" i="4"/>
  <c r="C179" i="4"/>
  <c r="C401" i="10" s="1"/>
  <c r="C180" i="4"/>
  <c r="C402" i="10" s="1"/>
  <c r="C181" i="4"/>
  <c r="C403" i="10" s="1"/>
  <c r="C182" i="4"/>
  <c r="C183" i="4"/>
  <c r="C184" i="4"/>
  <c r="C185" i="4"/>
  <c r="C407" i="10" s="1"/>
  <c r="C186" i="4"/>
  <c r="C187" i="4"/>
  <c r="C188" i="4"/>
  <c r="C410" i="10" s="1"/>
  <c r="C189" i="4"/>
  <c r="C411" i="10" s="1"/>
  <c r="C190" i="4"/>
  <c r="C191" i="4"/>
  <c r="C413" i="10" s="1"/>
  <c r="C192" i="4"/>
  <c r="C193" i="4"/>
  <c r="C415" i="10" s="1"/>
  <c r="C194" i="4"/>
  <c r="C416" i="10" s="1"/>
  <c r="C195" i="4"/>
  <c r="C196" i="4"/>
  <c r="C418" i="10" s="1"/>
  <c r="C197" i="4"/>
  <c r="C419" i="10" s="1"/>
  <c r="C198" i="4"/>
  <c r="C420" i="10" s="1"/>
  <c r="C199" i="4"/>
  <c r="C200" i="4"/>
  <c r="C201" i="4"/>
  <c r="C423" i="10" s="1"/>
  <c r="C202" i="4"/>
  <c r="C424" i="10" s="1"/>
  <c r="C203" i="4"/>
  <c r="C204" i="4"/>
  <c r="C205" i="4"/>
  <c r="C206" i="4"/>
  <c r="C428" i="10" s="1"/>
  <c r="C207" i="4"/>
  <c r="C208" i="4"/>
  <c r="C209" i="4"/>
  <c r="C431" i="10" s="1"/>
  <c r="C210" i="4"/>
  <c r="C432" i="10" s="1"/>
  <c r="C211" i="4"/>
  <c r="C212" i="4"/>
  <c r="C213" i="4"/>
  <c r="C435" i="10" s="1"/>
  <c r="C214" i="4"/>
  <c r="C436" i="10" s="1"/>
  <c r="C215" i="4"/>
  <c r="C216" i="4"/>
  <c r="C217" i="4"/>
  <c r="C218" i="4"/>
  <c r="C440" i="10" s="1"/>
  <c r="C2" i="4"/>
  <c r="B3" i="4"/>
  <c r="B4" i="4"/>
  <c r="B226" i="10" s="1"/>
  <c r="B5" i="4"/>
  <c r="B227" i="10" s="1"/>
  <c r="B6" i="4"/>
  <c r="B384" i="10" s="1"/>
  <c r="B7" i="4"/>
  <c r="B8" i="4"/>
  <c r="B385" i="10" s="1"/>
  <c r="B9" i="4"/>
  <c r="B10" i="4"/>
  <c r="B333" i="10" s="1"/>
  <c r="B11" i="4"/>
  <c r="B233" i="10" s="1"/>
  <c r="B12" i="4"/>
  <c r="B234" i="10" s="1"/>
  <c r="B13" i="4"/>
  <c r="B235" i="10" s="1"/>
  <c r="B14" i="4"/>
  <c r="B15" i="4"/>
  <c r="B16" i="4"/>
  <c r="B17" i="4"/>
  <c r="B18" i="4"/>
  <c r="B371" i="10" s="1"/>
  <c r="B19" i="4"/>
  <c r="B241" i="10" s="1"/>
  <c r="B20" i="4"/>
  <c r="B242" i="10" s="1"/>
  <c r="B21" i="4"/>
  <c r="B243" i="10" s="1"/>
  <c r="B22" i="4"/>
  <c r="B23" i="4"/>
  <c r="B24" i="4"/>
  <c r="B25" i="4"/>
  <c r="B247" i="10" s="1"/>
  <c r="B26" i="4"/>
  <c r="B340" i="10" s="1"/>
  <c r="B27" i="4"/>
  <c r="B28" i="4"/>
  <c r="B29" i="4"/>
  <c r="B251" i="10" s="1"/>
  <c r="B30" i="4"/>
  <c r="B389" i="10" s="1"/>
  <c r="B31" i="4"/>
  <c r="B338" i="10" s="1"/>
  <c r="B32" i="4"/>
  <c r="B33" i="4"/>
  <c r="B255" i="10" s="1"/>
  <c r="B34" i="4"/>
  <c r="B256" i="10" s="1"/>
  <c r="B35" i="4"/>
  <c r="B36" i="4"/>
  <c r="B258" i="10" s="1"/>
  <c r="B37" i="4"/>
  <c r="B259" i="10" s="1"/>
  <c r="B38" i="4"/>
  <c r="B260" i="10" s="1"/>
  <c r="B39" i="4"/>
  <c r="B261" i="10" s="1"/>
  <c r="B40" i="4"/>
  <c r="B262" i="10" s="1"/>
  <c r="B41" i="4"/>
  <c r="B263" i="10" s="1"/>
  <c r="B42" i="4"/>
  <c r="B43" i="4"/>
  <c r="B265" i="10" s="1"/>
  <c r="B44" i="4"/>
  <c r="B266" i="10" s="1"/>
  <c r="B45" i="4"/>
  <c r="B267" i="10" s="1"/>
  <c r="B46" i="4"/>
  <c r="B268" i="10" s="1"/>
  <c r="B47" i="4"/>
  <c r="B48" i="4"/>
  <c r="B270" i="10" s="1"/>
  <c r="B49" i="4"/>
  <c r="B271" i="10" s="1"/>
  <c r="B50" i="4"/>
  <c r="B345" i="10" s="1"/>
  <c r="B51" i="4"/>
  <c r="B273" i="10" s="1"/>
  <c r="B52" i="4"/>
  <c r="B274" i="10" s="1"/>
  <c r="B53" i="4"/>
  <c r="B275" i="10" s="1"/>
  <c r="B54" i="4"/>
  <c r="B55" i="4"/>
  <c r="B378" i="10" s="1"/>
  <c r="B56" i="4"/>
  <c r="B278" i="10" s="1"/>
  <c r="B57" i="4"/>
  <c r="B279" i="10" s="1"/>
  <c r="B58" i="4"/>
  <c r="B59" i="4"/>
  <c r="B281" i="10" s="1"/>
  <c r="B60" i="4"/>
  <c r="B282" i="10" s="1"/>
  <c r="B61" i="4"/>
  <c r="B283" i="10" s="1"/>
  <c r="B62" i="4"/>
  <c r="B63" i="4"/>
  <c r="B285" i="10" s="1"/>
  <c r="B64" i="4"/>
  <c r="B286" i="10" s="1"/>
  <c r="B65" i="4"/>
  <c r="B287" i="10" s="1"/>
  <c r="B66" i="4"/>
  <c r="B67" i="4"/>
  <c r="B289" i="10" s="1"/>
  <c r="B68" i="4"/>
  <c r="B290" i="10" s="1"/>
  <c r="B69" i="4"/>
  <c r="B291" i="10" s="1"/>
  <c r="B70" i="4"/>
  <c r="B346" i="10" s="1"/>
  <c r="B71" i="4"/>
  <c r="B293" i="10" s="1"/>
  <c r="B72" i="4"/>
  <c r="B387" i="10" s="1"/>
  <c r="B73" i="4"/>
  <c r="B295" i="10" s="1"/>
  <c r="B74" i="4"/>
  <c r="B296" i="10" s="1"/>
  <c r="B75" i="4"/>
  <c r="B76" i="4"/>
  <c r="B298" i="10" s="1"/>
  <c r="B77" i="4"/>
  <c r="B299" i="10" s="1"/>
  <c r="B78" i="4"/>
  <c r="B335" i="10" s="1"/>
  <c r="B79" i="4"/>
  <c r="B405" i="10" s="1"/>
  <c r="B80" i="4"/>
  <c r="B302" i="10" s="1"/>
  <c r="B81" i="4"/>
  <c r="B82" i="4"/>
  <c r="B304" i="10" s="1"/>
  <c r="B83" i="4"/>
  <c r="B305" i="10" s="1"/>
  <c r="B84" i="4"/>
  <c r="B85" i="4"/>
  <c r="B307" i="10" s="1"/>
  <c r="B86" i="4"/>
  <c r="B409" i="10" s="1"/>
  <c r="B87" i="4"/>
  <c r="B88" i="4"/>
  <c r="B310" i="10" s="1"/>
  <c r="B89" i="4"/>
  <c r="B90" i="4"/>
  <c r="B91" i="4"/>
  <c r="B92" i="4"/>
  <c r="B314" i="10" s="1"/>
  <c r="B93" i="4"/>
  <c r="B315" i="10" s="1"/>
  <c r="B94" i="4"/>
  <c r="B316" i="10" s="1"/>
  <c r="B95" i="4"/>
  <c r="B317" i="10" s="1"/>
  <c r="B96" i="4"/>
  <c r="B318" i="10" s="1"/>
  <c r="B97" i="4"/>
  <c r="B319" i="10" s="1"/>
  <c r="B98" i="4"/>
  <c r="B320" i="10" s="1"/>
  <c r="B99" i="4"/>
  <c r="B321" i="10" s="1"/>
  <c r="B100" i="4"/>
  <c r="B322" i="10" s="1"/>
  <c r="B101" i="4"/>
  <c r="B102" i="4"/>
  <c r="B324" i="10" s="1"/>
  <c r="B103" i="4"/>
  <c r="B325" i="10" s="1"/>
  <c r="B104" i="4"/>
  <c r="B326" i="10" s="1"/>
  <c r="B105" i="4"/>
  <c r="B327" i="10" s="1"/>
  <c r="B106" i="4"/>
  <c r="B328" i="10" s="1"/>
  <c r="B2" i="4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" i="1"/>
  <c r="C412" i="10" l="1"/>
  <c r="C404" i="10"/>
  <c r="C388" i="10"/>
  <c r="C380" i="10"/>
  <c r="C372" i="10"/>
  <c r="C364" i="10"/>
  <c r="C356" i="10"/>
  <c r="C324" i="10"/>
  <c r="C316" i="10"/>
  <c r="C308" i="10"/>
  <c r="C284" i="10"/>
  <c r="C260" i="10"/>
  <c r="C252" i="10"/>
  <c r="C244" i="10"/>
  <c r="C236" i="10"/>
  <c r="C228" i="10"/>
  <c r="B403" i="10"/>
  <c r="B404" i="10"/>
  <c r="B406" i="10"/>
  <c r="B397" i="10"/>
  <c r="B353" i="10"/>
  <c r="B323" i="10"/>
  <c r="B330" i="10"/>
  <c r="B306" i="10"/>
  <c r="B412" i="10"/>
  <c r="C307" i="10"/>
  <c r="C434" i="10"/>
  <c r="C394" i="10"/>
  <c r="C306" i="10"/>
  <c r="C274" i="10"/>
  <c r="C266" i="10"/>
  <c r="C242" i="10"/>
  <c r="C234" i="10"/>
  <c r="B357" i="10"/>
  <c r="B363" i="10"/>
  <c r="B297" i="10"/>
  <c r="B257" i="10"/>
  <c r="C298" i="10"/>
  <c r="B288" i="10"/>
  <c r="B280" i="10"/>
  <c r="B272" i="10"/>
  <c r="B264" i="10"/>
  <c r="C425" i="10"/>
  <c r="C409" i="10"/>
  <c r="C393" i="10"/>
  <c r="C337" i="10"/>
  <c r="B391" i="10"/>
  <c r="B231" i="10"/>
  <c r="C408" i="10"/>
  <c r="C400" i="10"/>
  <c r="B399" i="10"/>
  <c r="B354" i="10"/>
  <c r="B390" i="10"/>
  <c r="B408" i="10"/>
  <c r="B393" i="10"/>
  <c r="B352" i="10"/>
  <c r="B342" i="10"/>
  <c r="B277" i="10"/>
  <c r="B269" i="10"/>
  <c r="B386" i="10"/>
  <c r="C430" i="10"/>
  <c r="C326" i="10"/>
  <c r="C310" i="10"/>
  <c r="C286" i="10"/>
  <c r="B388" i="10"/>
  <c r="B410" i="10"/>
  <c r="B351" i="10"/>
  <c r="B382" i="10"/>
  <c r="B292" i="10"/>
  <c r="B284" i="10"/>
  <c r="B276" i="10"/>
  <c r="C349" i="10"/>
  <c r="C293" i="10"/>
  <c r="B396" i="10"/>
  <c r="B370" i="10"/>
  <c r="B383" i="10"/>
  <c r="B250" i="10"/>
  <c r="B313" i="10"/>
  <c r="B249" i="10"/>
  <c r="B225" i="10"/>
  <c r="C426" i="10"/>
  <c r="C378" i="10"/>
  <c r="C370" i="10"/>
  <c r="C354" i="10"/>
  <c r="C330" i="10"/>
  <c r="C314" i="10"/>
  <c r="C258" i="10"/>
  <c r="C250" i="10"/>
  <c r="C226" i="10"/>
  <c r="B358" i="10"/>
  <c r="B392" i="10"/>
  <c r="B373" i="10"/>
  <c r="B312" i="10"/>
  <c r="B248" i="10"/>
  <c r="B240" i="10"/>
  <c r="B232" i="10"/>
  <c r="C224" i="10"/>
  <c r="C433" i="10"/>
  <c r="C417" i="10"/>
  <c r="C385" i="10"/>
  <c r="C377" i="10"/>
  <c r="C369" i="10"/>
  <c r="C361" i="10"/>
  <c r="C353" i="10"/>
  <c r="C329" i="10"/>
  <c r="C321" i="10"/>
  <c r="C313" i="10"/>
  <c r="C305" i="10"/>
  <c r="C297" i="10"/>
  <c r="C289" i="10"/>
  <c r="C281" i="10"/>
  <c r="C273" i="10"/>
  <c r="C265" i="10"/>
  <c r="C257" i="10"/>
  <c r="C249" i="10"/>
  <c r="C241" i="10"/>
  <c r="C233" i="10"/>
  <c r="C225" i="10"/>
  <c r="B395" i="10"/>
  <c r="B374" i="10"/>
  <c r="B400" i="10"/>
  <c r="B361" i="10"/>
  <c r="B433" i="10"/>
  <c r="B334" i="10"/>
  <c r="C347" i="10"/>
  <c r="B239" i="10"/>
  <c r="C368" i="10"/>
  <c r="C360" i="10"/>
  <c r="C352" i="10"/>
  <c r="C344" i="10"/>
  <c r="C320" i="10"/>
  <c r="C312" i="10"/>
  <c r="C304" i="10"/>
  <c r="C296" i="10"/>
  <c r="C288" i="10"/>
  <c r="C280" i="10"/>
  <c r="C272" i="10"/>
  <c r="C264" i="10"/>
  <c r="C256" i="10"/>
  <c r="C248" i="10"/>
  <c r="C240" i="10"/>
  <c r="C232" i="10"/>
  <c r="B331" i="10"/>
  <c r="B356" i="10"/>
  <c r="B414" i="10"/>
  <c r="B407" i="10"/>
  <c r="B438" i="10"/>
  <c r="B350" i="10"/>
  <c r="C292" i="10"/>
  <c r="B303" i="10"/>
  <c r="B246" i="10"/>
  <c r="B230" i="10"/>
  <c r="C399" i="10"/>
  <c r="C391" i="10"/>
  <c r="C383" i="10"/>
  <c r="C367" i="10"/>
  <c r="C359" i="10"/>
  <c r="C327" i="10"/>
  <c r="C311" i="10"/>
  <c r="C279" i="10"/>
  <c r="C271" i="10"/>
  <c r="C263" i="10"/>
  <c r="C255" i="10"/>
  <c r="C247" i="10"/>
  <c r="C239" i="10"/>
  <c r="C231" i="10"/>
  <c r="B411" i="10"/>
  <c r="B364" i="10"/>
  <c r="B428" i="10"/>
  <c r="B415" i="10"/>
  <c r="B336" i="10"/>
  <c r="B416" i="10"/>
  <c r="B394" i="10"/>
  <c r="B311" i="10"/>
  <c r="B238" i="10"/>
  <c r="B301" i="10"/>
  <c r="B253" i="10"/>
  <c r="B245" i="10"/>
  <c r="C422" i="10"/>
  <c r="C342" i="10"/>
  <c r="C334" i="10"/>
  <c r="C318" i="10"/>
  <c r="C302" i="10"/>
  <c r="C294" i="10"/>
  <c r="C278" i="10"/>
  <c r="C270" i="10"/>
  <c r="C262" i="10"/>
  <c r="C254" i="10"/>
  <c r="C246" i="10"/>
  <c r="C238" i="10"/>
  <c r="C230" i="10"/>
  <c r="B372" i="10"/>
  <c r="B436" i="10"/>
  <c r="B343" i="10"/>
  <c r="B402" i="10"/>
  <c r="B398" i="10"/>
  <c r="C340" i="10"/>
  <c r="C427" i="10"/>
  <c r="C299" i="10"/>
  <c r="C275" i="10"/>
  <c r="C251" i="10"/>
  <c r="B294" i="10"/>
  <c r="B254" i="10"/>
  <c r="C439" i="10"/>
  <c r="B309" i="10"/>
  <c r="B237" i="10"/>
  <c r="B229" i="10"/>
  <c r="C438" i="10"/>
  <c r="C414" i="10"/>
  <c r="C406" i="10"/>
  <c r="C398" i="10"/>
  <c r="C390" i="10"/>
  <c r="C374" i="10"/>
  <c r="C358" i="10"/>
  <c r="C350" i="10"/>
  <c r="B308" i="10"/>
  <c r="B300" i="10"/>
  <c r="B252" i="10"/>
  <c r="B244" i="10"/>
  <c r="B236" i="10"/>
  <c r="B228" i="10"/>
  <c r="C437" i="10"/>
  <c r="C429" i="10"/>
  <c r="C421" i="10"/>
  <c r="C405" i="10"/>
  <c r="C397" i="10"/>
  <c r="C389" i="10"/>
  <c r="C381" i="10"/>
  <c r="C373" i="10"/>
  <c r="C365" i="10"/>
  <c r="C357" i="10"/>
  <c r="C341" i="10"/>
  <c r="C333" i="10"/>
  <c r="C325" i="10"/>
  <c r="C317" i="10"/>
  <c r="C309" i="10"/>
  <c r="C301" i="10"/>
  <c r="C285" i="10"/>
  <c r="C277" i="10"/>
  <c r="C269" i="10"/>
  <c r="C261" i="10"/>
  <c r="C253" i="10"/>
  <c r="C245" i="10"/>
  <c r="C237" i="10"/>
  <c r="C229" i="10"/>
  <c r="B355" i="10"/>
  <c r="B427" i="10"/>
  <c r="B380" i="10"/>
  <c r="B431" i="10"/>
  <c r="B401" i="10"/>
  <c r="B418" i="10"/>
  <c r="B430" i="10"/>
  <c r="B445" i="10"/>
  <c r="B22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<sst xmlns="http://schemas.openxmlformats.org/spreadsheetml/2006/main" count="20748" uniqueCount="548">
  <si>
    <t>Country Name</t>
  </si>
  <si>
    <t>Country Code</t>
  </si>
  <si>
    <t>Series Name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</si>
  <si>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</si>
  <si>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</si>
  <si>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</si>
  <si>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</si>
  <si>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</si>
  <si>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</si>
  <si>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</si>
  <si>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</si>
  <si>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</si>
  <si>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</si>
  <si>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</si>
  <si>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</si>
  <si>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</si>
  <si>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</si>
  <si>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</si>
  <si>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</si>
  <si>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</si>
  <si>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</si>
  <si>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</si>
  <si>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</si>
  <si>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</si>
  <si>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</si>
  <si>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</si>
  <si>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</si>
  <si>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</si>
  <si>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</si>
  <si>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</si>
  <si>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</si>
  <si>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Afghanistan</t>
  </si>
  <si>
    <t>AFG</t>
  </si>
  <si>
    <t>GDP per capita (constant 2015 US$)</t>
  </si>
  <si>
    <t>..</t>
  </si>
  <si>
    <t>Albania</t>
  </si>
  <si>
    <t>ALB</t>
  </si>
  <si>
    <t>NA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</si>
  <si>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</si>
  <si>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</si>
  <si>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</si>
  <si>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</si>
  <si>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</si>
  <si>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</si>
  <si>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</si>
  <si>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</si>
  <si>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</si>
  <si>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</si>
  <si>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</si>
  <si>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</si>
  <si>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</si>
  <si>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</si>
  <si>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</si>
  <si>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</si>
  <si>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</si>
  <si>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</si>
  <si>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</si>
  <si>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</si>
  <si>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</si>
  <si>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</si>
  <si>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</si>
  <si>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</si>
  <si>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</si>
  <si>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</si>
  <si>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</si>
  <si>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</si>
  <si>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</si>
  <si>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</si>
  <si>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</si>
  <si>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</si>
  <si>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</si>
  <si>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</si>
  <si>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</si>
  <si>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</si>
  <si>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</si>
  <si>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</si>
  <si>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</si>
  <si>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</si>
  <si>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</si>
  <si>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</si>
  <si>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</si>
  <si>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</si>
  <si>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</si>
  <si>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</si>
  <si>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</si>
  <si>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</si>
  <si>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</si>
  <si>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</si>
  <si>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</si>
  <si>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</si>
  <si>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</si>
  <si>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</si>
  <si>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</si>
  <si>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</si>
  <si>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</si>
  <si>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</si>
  <si>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</si>
  <si>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</si>
  <si>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</si>
  <si>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</si>
  <si>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</si>
  <si>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</si>
  <si>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</si>
  <si>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</si>
  <si>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</si>
  <si>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</si>
  <si>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</si>
  <si>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</si>
  <si>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</si>
  <si>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</si>
  <si>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</si>
  <si>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</si>
  <si>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</si>
  <si>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</si>
  <si>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</si>
  <si>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</si>
  <si>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</si>
  <si>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</si>
  <si>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</si>
  <si>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</si>
  <si>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</si>
  <si>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</si>
  <si>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</si>
  <si>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</si>
  <si>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</si>
  <si>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</si>
  <si>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</si>
  <si>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</si>
  <si>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</si>
  <si>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</si>
  <si>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</si>
  <si>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</si>
  <si>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</si>
  <si>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</si>
  <si>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</si>
  <si>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</si>
  <si>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</si>
  <si>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</si>
  <si>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</si>
  <si>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</si>
  <si>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</si>
  <si>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</si>
  <si>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</si>
  <si>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</si>
  <si>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</si>
  <si>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</si>
  <si>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</si>
  <si>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</si>
  <si>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</si>
  <si>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</si>
  <si>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</si>
  <si>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</si>
  <si>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</si>
  <si>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</si>
  <si>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</si>
  <si>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</si>
  <si>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</si>
  <si>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</si>
  <si>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</si>
  <si>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</si>
  <si>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</si>
  <si>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</si>
  <si>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</si>
  <si>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</si>
  <si>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</si>
  <si>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</si>
  <si>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</si>
  <si>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</si>
  <si>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</si>
  <si>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</si>
  <si>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</si>
  <si>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</si>
  <si>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</si>
  <si>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</si>
  <si>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</si>
  <si>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</si>
  <si>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</si>
  <si>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</si>
  <si>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</si>
  <si>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</si>
  <si>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</si>
  <si>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</si>
  <si>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</si>
  <si>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</si>
  <si>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</si>
  <si>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</si>
  <si>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</si>
  <si>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</si>
  <si>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</si>
  <si>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</si>
  <si>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</si>
  <si>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</si>
  <si>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</si>
  <si>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</si>
  <si>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</si>
  <si>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</si>
  <si>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</si>
  <si>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</si>
  <si>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</si>
  <si>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</si>
  <si>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</si>
  <si>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</si>
  <si>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</si>
  <si>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</si>
  <si>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</si>
  <si>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</si>
  <si>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</si>
  <si>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</si>
  <si>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</si>
  <si>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</si>
  <si>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</si>
  <si>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</si>
  <si>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</si>
  <si>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</si>
  <si>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</si>
  <si>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</si>
  <si>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</si>
  <si>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</si>
  <si>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</si>
  <si>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</si>
  <si>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</si>
  <si>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</si>
  <si>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</si>
  <si>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</si>
  <si>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</si>
  <si>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</si>
  <si>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</si>
  <si>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</si>
  <si>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</si>
  <si>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</si>
  <si>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</si>
  <si>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</si>
  <si>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</si>
  <si>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</si>
  <si>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</si>
  <si>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</si>
  <si>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</si>
  <si>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</si>
  <si>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</si>
  <si>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</si>
  <si>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</si>
  <si>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</si>
  <si>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</si>
  <si>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</si>
  <si>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</si>
  <si>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</si>
  <si>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</si>
  <si>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</si>
  <si>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</si>
  <si>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</si>
  <si>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</si>
  <si>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</si>
  <si>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</si>
  <si>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</si>
  <si>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</si>
  <si>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</si>
  <si>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</si>
  <si>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</si>
  <si>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</si>
  <si>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</si>
  <si>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</si>
  <si>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</si>
  <si>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</si>
  <si>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</si>
  <si>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</si>
  <si>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</si>
  <si>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</si>
  <si>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</si>
  <si>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</si>
  <si>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</si>
  <si>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</si>
  <si>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</si>
  <si>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</si>
  <si>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</si>
  <si>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</si>
  <si>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</si>
  <si>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</si>
  <si>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</si>
  <si>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</si>
  <si>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</si>
  <si>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</si>
  <si>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</si>
  <si>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</si>
  <si>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</si>
  <si>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</si>
  <si>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</si>
  <si>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</si>
  <si>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</si>
  <si>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</si>
  <si>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</si>
  <si>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</si>
  <si>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</si>
  <si>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</si>
  <si>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</si>
  <si>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</si>
  <si>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</si>
  <si>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</si>
  <si>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</si>
  <si>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</si>
  <si>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</si>
  <si>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</si>
  <si>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</si>
  <si>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</si>
  <si>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</si>
  <si>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</si>
  <si>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</si>
  <si>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</si>
  <si>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</si>
  <si>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</si>
  <si>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</si>
  <si>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</si>
  <si>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</si>
  <si>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</si>
  <si>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</si>
  <si>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</si>
  <si>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</si>
  <si>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</si>
  <si>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</si>
  <si>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</si>
  <si>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</si>
  <si>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</si>
  <si>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</si>
  <si>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</si>
  <si>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</si>
  <si>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</si>
  <si>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</si>
  <si>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</si>
  <si>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</si>
  <si>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</si>
  <si>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</si>
  <si>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</si>
  <si>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</si>
  <si>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</si>
  <si>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</si>
  <si>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</si>
  <si>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</si>
  <si>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</si>
  <si>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</si>
  <si>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</si>
  <si>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</si>
  <si>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</si>
  <si>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</si>
  <si>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</si>
  <si>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</si>
  <si>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</si>
  <si>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</si>
  <si>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</si>
  <si>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</si>
  <si>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</si>
  <si>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</si>
  <si>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</si>
  <si>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</si>
  <si>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</si>
  <si>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</si>
  <si>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</si>
  <si>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</si>
  <si>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</si>
  <si>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</si>
  <si>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</si>
  <si>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</si>
  <si>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</si>
  <si>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</si>
  <si>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</si>
  <si>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</si>
  <si>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</si>
  <si>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</si>
  <si>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</si>
  <si>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</si>
  <si>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</si>
  <si>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</si>
  <si>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</si>
  <si>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</si>
  <si>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</si>
  <si>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</si>
  <si>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</si>
  <si>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</si>
  <si>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</si>
  <si>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</si>
  <si>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</si>
  <si>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</si>
  <si>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</si>
  <si>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</si>
  <si>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</si>
  <si>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</si>
  <si>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</si>
  <si>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</si>
  <si>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</si>
  <si>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</si>
  <si>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</si>
  <si>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</si>
  <si>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</si>
  <si>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</si>
  <si>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</si>
  <si>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</si>
  <si>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</si>
  <si>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</si>
  <si>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</si>
  <si>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</si>
  <si>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</si>
  <si>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</si>
  <si>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</si>
  <si>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</si>
  <si>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</si>
  <si>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</si>
  <si>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</si>
  <si>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</si>
  <si>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</si>
  <si>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</si>
  <si>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</si>
  <si>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</si>
  <si>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</si>
  <si>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</si>
  <si>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</si>
  <si>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</si>
  <si>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</si>
  <si>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</si>
  <si>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</si>
  <si>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</si>
  <si>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</si>
  <si>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</si>
  <si>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</si>
  <si>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</si>
  <si>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</si>
  <si>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</si>
  <si>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</si>
  <si>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</si>
  <si>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</si>
  <si>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</si>
  <si>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</si>
  <si>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</si>
  <si>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</si>
  <si>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</si>
  <si>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</si>
  <si>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</si>
  <si>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</si>
  <si>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</si>
  <si>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</si>
  <si>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</si>
  <si>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</si>
  <si>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</si>
  <si>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</si>
  <si>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</si>
  <si>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</si>
  <si>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</si>
  <si>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</si>
  <si>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</si>
  <si>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</si>
  <si>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</si>
  <si>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</si>
  <si>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</si>
  <si>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</si>
  <si>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</si>
  <si>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</si>
  <si>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</si>
  <si>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</si>
  <si>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</si>
  <si>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</si>
  <si>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</si>
  <si>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</si>
  <si>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</si>
  <si>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</si>
  <si>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</si>
  <si>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</si>
  <si>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</si>
  <si>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</si>
  <si>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</si>
  <si>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</si>
  <si>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</si>
  <si>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Data from database: World Development Indicators</t>
  </si>
  <si>
    <t>Last Updated: 12/18/2023</t>
  </si>
  <si>
    <t>SCOLPRIM</t>
  </si>
  <si>
    <t>SCOLSEC</t>
  </si>
  <si>
    <t>SCOLTER</t>
  </si>
  <si>
    <t>CONTRCORR</t>
  </si>
  <si>
    <t>GDP 1995</t>
  </si>
  <si>
    <t>tx_ipc (%toltx)</t>
  </si>
  <si>
    <t>profit tx</t>
  </si>
  <si>
    <t>tx_ipc(%rev)</t>
  </si>
  <si>
    <t>Nombre de NA</t>
  </si>
  <si>
    <t>loggdp95</t>
  </si>
  <si>
    <t>INV</t>
  </si>
  <si>
    <t>tx_pop</t>
  </si>
  <si>
    <t>GOVeff</t>
  </si>
  <si>
    <t>Goveff = Governement effectiveness index =&gt; measures the quality of public services, civil service, policy formulation and implementation, and the credibility of a government's commitment to improving or maintaining these aspects.</t>
  </si>
  <si>
    <t xml:space="preserve">ESP VIE </t>
  </si>
  <si>
    <t>POLSTAB</t>
  </si>
  <si>
    <t>RegQual</t>
  </si>
  <si>
    <t>RuLaw</t>
  </si>
  <si>
    <t>VoiceAcc</t>
  </si>
  <si>
    <t>tx croiss</t>
  </si>
  <si>
    <t>RuLaw = 1 | CONSTRAINTS ON GOVERNMENT POWERS 2 | ABSENCE OF CORRUPTION 3 | OPEN GOVERNMENT 4 | FUNDAMENTAL RIGHTS 5 | ORDER AND SECURITY 6 | REGULATORY ENFORCEMENT 7 | CIVIL JUSTICE 8 | CRIMINAL JUSTICE</t>
  </si>
  <si>
    <t xml:space="preserve">verification erreurs </t>
  </si>
  <si>
    <t xml:space="preserve">verif erreurs </t>
  </si>
  <si>
    <t>Oil rents (% of GDP)</t>
  </si>
  <si>
    <t>NY.GDP.PETR.RT.ZS</t>
  </si>
  <si>
    <t>Series Code</t>
  </si>
  <si>
    <t>Natural gas rents (% of GDP)</t>
  </si>
  <si>
    <t>NY.GDP.NGAS.RT.ZS</t>
  </si>
  <si>
    <t>oilrent(%)95-21</t>
  </si>
  <si>
    <t>tx_rev_gdp</t>
  </si>
  <si>
    <t>debt</t>
  </si>
  <si>
    <t>Taxes on goods and services (current LCU)</t>
  </si>
  <si>
    <t>GC.TAX.GSRV.CN</t>
  </si>
  <si>
    <t xml:space="preserve">moyenne </t>
  </si>
  <si>
    <t>moy</t>
  </si>
  <si>
    <t>GDP (current LCU)</t>
  </si>
  <si>
    <t>NY.GDP.MKTP.CN</t>
  </si>
  <si>
    <t>VAT(lcu) / Gdp (lcu) = Vat/gdp</t>
  </si>
  <si>
    <t>VAT_gdp</t>
  </si>
  <si>
    <t>Taxes on international trade (current LCU)</t>
  </si>
  <si>
    <t>GC.TAX.INTT.CN</t>
  </si>
  <si>
    <t>trade_tx_gdp = taxe sur le commerce international (%GDP)</t>
  </si>
  <si>
    <t>trade_tx_gdp</t>
  </si>
  <si>
    <t>Taxes on income, profits and capital gains (current LCU)</t>
  </si>
  <si>
    <t>GC.TAX.YPKG.CN</t>
  </si>
  <si>
    <t xml:space="preserve">incprofitcap_tx = tax on income profit and capital gain  LCU / GDP LCU </t>
  </si>
  <si>
    <t>tx_ipc_gdp</t>
  </si>
  <si>
    <t>tx95_rev_gdp</t>
  </si>
  <si>
    <t>inv95</t>
  </si>
  <si>
    <t>tx_rev_gdp c loggdp95 esp_vie inv tx_pop regqual rulaw scolsec tx95_rev_gdp gnq</t>
  </si>
  <si>
    <t xml:space="preserve">instrumentation equation </t>
  </si>
  <si>
    <t>tx_croiss c loggdp95 esp_vie rulaw inv tx_pop regqual scolsec gnq</t>
  </si>
  <si>
    <t xml:space="preserve">équation de contrôle  </t>
  </si>
  <si>
    <t>FMR</t>
  </si>
  <si>
    <t>customs_txexcise_duty % tac revenu</t>
  </si>
  <si>
    <t>CUS_EX_RT</t>
  </si>
  <si>
    <t xml:space="preserve">ESPERANCE DE VIE </t>
  </si>
  <si>
    <t xml:space="preserve">INVESTISSEMENT </t>
  </si>
  <si>
    <t>POLISTAB</t>
  </si>
  <si>
    <t>GOVSTAB</t>
  </si>
  <si>
    <t>REGEQUAL</t>
  </si>
  <si>
    <t>RULAW</t>
  </si>
  <si>
    <t>VoicACC</t>
  </si>
  <si>
    <t>tx_populatio</t>
  </si>
  <si>
    <t>tx_revenu</t>
  </si>
  <si>
    <t>GDP per capita 2022</t>
  </si>
  <si>
    <t>GR95</t>
  </si>
  <si>
    <t>customs_txexcise_duty(current LCU)</t>
  </si>
  <si>
    <t>depeduc</t>
  </si>
  <si>
    <t>dep de sante</t>
  </si>
  <si>
    <t>taxrevenu 1995</t>
  </si>
  <si>
    <t>investissement95</t>
  </si>
  <si>
    <t>Investissement 22</t>
  </si>
  <si>
    <t xml:space="preserve">verif darnelle </t>
  </si>
  <si>
    <t xml:space="preserve">regqual </t>
  </si>
  <si>
    <t>rule of law darnelle</t>
  </si>
  <si>
    <t>rul donnee</t>
  </si>
  <si>
    <t>scol sec donn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</si>
</sst>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0" borderId="0" xfId="0" applyNumberFormat="1"/>
    <xf numFmtId="0" fontId="0" fillId="3" borderId="0" xfId="0" applyFill="1"/>
    <xf numFmtId="49" fontId="0" fillId="3" borderId="0" xfId="0" applyNumberFormat="1" applyFill="1"/>
    <xf numFmtId="164" fontId="0" fillId="0" borderId="0" xfId="0" applyNumberFormat="1"/>
    <xf numFmtId="0" fontId="1" fillId="0" borderId="0" xfId="0" applyFont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3"/>
  <sheetViews>
    <sheetView topLeftCell="A206" workbookViewId="0">
      <selection activeCell="Y231" sqref="Y231"/>
    </sheetView>
  </sheetViews>
  <sheetFormatPr baseColWidth="10" defaultColWidth="8.88671875" defaultRowHeight="14.4" x14ac:dyDescent="0.3"/>
  <cols>
    <col min="34" max="34" width="9.88671875" bestFit="1" customWidth="1"/>
  </cols>
  <sheetData>
    <row r="1" spans="1:3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8" x14ac:dyDescent="0.3">
      <c r="A2" t="s">
        <v>31</v>
      </c>
      <c r="B2" s="1" t="s">
        <v>32</v>
      </c>
      <c r="C2" t="s">
        <v>33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>
        <v>344.22418262142986</v>
      </c>
      <c r="L2">
        <v>347.41524106164121</v>
      </c>
      <c r="M2">
        <v>338.73939783844253</v>
      </c>
      <c r="N2">
        <v>363.54146919843231</v>
      </c>
      <c r="O2">
        <v>367.48585124382203</v>
      </c>
      <c r="P2">
        <v>410.86161250523696</v>
      </c>
      <c r="Q2">
        <v>418.52317277231447</v>
      </c>
      <c r="R2">
        <v>490.27283655532096</v>
      </c>
      <c r="S2">
        <v>544.68929687605669</v>
      </c>
      <c r="T2">
        <v>527.19733927379821</v>
      </c>
      <c r="U2">
        <v>570.67606433700485</v>
      </c>
      <c r="V2">
        <v>582.10397890287709</v>
      </c>
      <c r="W2">
        <v>576.48782033478165</v>
      </c>
      <c r="X2">
        <v>566.88113266507185</v>
      </c>
      <c r="Y2">
        <v>564.92084355339694</v>
      </c>
      <c r="Z2">
        <v>563.48823942198328</v>
      </c>
      <c r="AA2">
        <v>553.97330890864919</v>
      </c>
      <c r="AB2">
        <v>559.14095689868782</v>
      </c>
      <c r="AC2">
        <v>529.14491247788806</v>
      </c>
      <c r="AD2">
        <v>407.61650736173664</v>
      </c>
      <c r="AE2" t="s">
        <v>34</v>
      </c>
      <c r="AH2" t="str">
        <f>IFERROR(((AE2/D2)^(1/27)-1)*100,"NA")</f>
        <v>NA</v>
      </c>
      <c r="AL2" s="2"/>
    </row>
    <row r="3" spans="1:38" x14ac:dyDescent="0.3">
      <c r="A3" t="s">
        <v>35</v>
      </c>
      <c r="B3" s="1" t="s">
        <v>36</v>
      </c>
      <c r="C3" t="s">
        <v>33</v>
      </c>
      <c r="D3">
        <v>1488.0208811962684</v>
      </c>
      <c r="E3">
        <v>1633.5520000188519</v>
      </c>
      <c r="F3">
        <v>1464.2979625419916</v>
      </c>
      <c r="G3">
        <v>1603.6476502765138</v>
      </c>
      <c r="H3">
        <v>1821.8731310269397</v>
      </c>
      <c r="I3">
        <v>1960.8824597411515</v>
      </c>
      <c r="J3">
        <v>2143.5268394781515</v>
      </c>
      <c r="K3">
        <v>2247.4980801088122</v>
      </c>
      <c r="L3">
        <v>2380.6446207871336</v>
      </c>
      <c r="M3">
        <v>2522.4493744620922</v>
      </c>
      <c r="N3">
        <v>2675.5086370967542</v>
      </c>
      <c r="O3">
        <v>2851.3677591996106</v>
      </c>
      <c r="P3">
        <v>3044.8966168205488</v>
      </c>
      <c r="Q3">
        <v>3298.4789084353192</v>
      </c>
      <c r="R3">
        <v>3432.170871972196</v>
      </c>
      <c r="S3">
        <v>3577.1143249886809</v>
      </c>
      <c r="T3">
        <v>3678.0477014514581</v>
      </c>
      <c r="U3">
        <v>3736.3400795764792</v>
      </c>
      <c r="V3">
        <v>3780.6991925409625</v>
      </c>
      <c r="W3">
        <v>3855.7607440965949</v>
      </c>
      <c r="X3">
        <v>3952.8035736481338</v>
      </c>
      <c r="Y3">
        <v>4090.3727282918317</v>
      </c>
      <c r="Z3">
        <v>4249.8200493984968</v>
      </c>
      <c r="AA3">
        <v>4431.5555950698881</v>
      </c>
      <c r="AB3">
        <v>4543.3877104831163</v>
      </c>
      <c r="AC3">
        <v>4418.6608737829247</v>
      </c>
      <c r="AD3">
        <v>4857.1119420181858</v>
      </c>
      <c r="AE3">
        <v>5155.2908596415109</v>
      </c>
      <c r="AH3">
        <f t="shared" ref="AH3:AH66" si="0">IFERROR(((AE3/D3)^(1/27)-1)*100,"NA")</f>
        <v>4.7096770861785542</v>
      </c>
      <c r="AL3" s="2"/>
    </row>
    <row r="4" spans="1:38" x14ac:dyDescent="0.3">
      <c r="A4" t="s">
        <v>38</v>
      </c>
      <c r="B4" s="1" t="s">
        <v>39</v>
      </c>
      <c r="C4" t="s">
        <v>33</v>
      </c>
      <c r="D4">
        <v>2862.1078682782077</v>
      </c>
      <c r="E4">
        <v>2927.3774371794789</v>
      </c>
      <c r="F4">
        <v>2910.2392430164791</v>
      </c>
      <c r="G4">
        <v>3012.8054436514653</v>
      </c>
      <c r="H4">
        <v>3066.0377003330659</v>
      </c>
      <c r="I4">
        <v>3138.2300191213403</v>
      </c>
      <c r="J4">
        <v>3188.2062259229201</v>
      </c>
      <c r="K4">
        <v>3321.637760801435</v>
      </c>
      <c r="L4">
        <v>3512.89904839883</v>
      </c>
      <c r="M4">
        <v>3612.7529803777607</v>
      </c>
      <c r="N4">
        <v>3774.0712544692624</v>
      </c>
      <c r="O4">
        <v>3783.3129640160309</v>
      </c>
      <c r="P4">
        <v>3848.7782511222749</v>
      </c>
      <c r="Q4">
        <v>3874.3680685796835</v>
      </c>
      <c r="R4">
        <v>3866.2957582841841</v>
      </c>
      <c r="S4">
        <v>3931.7200591003111</v>
      </c>
      <c r="T4">
        <v>3969.6602759382381</v>
      </c>
      <c r="U4">
        <v>4025.6414836719146</v>
      </c>
      <c r="V4">
        <v>4057.7648069552438</v>
      </c>
      <c r="W4">
        <v>4129.4225486820396</v>
      </c>
      <c r="X4">
        <v>4197.4199849139841</v>
      </c>
      <c r="Y4">
        <v>4246.242173853082</v>
      </c>
      <c r="Z4">
        <v>4218.0823188856039</v>
      </c>
      <c r="AA4">
        <v>4188.2203848348272</v>
      </c>
      <c r="AB4">
        <v>4153.0034548162384</v>
      </c>
      <c r="AC4">
        <v>3873.5087456576889</v>
      </c>
      <c r="AD4">
        <v>3939.360864347163</v>
      </c>
      <c r="AE4">
        <v>3999.7576966775414</v>
      </c>
      <c r="AH4">
        <f t="shared" si="0"/>
        <v>1.2472526869412581</v>
      </c>
      <c r="AL4" s="2"/>
    </row>
    <row r="5" spans="1:38" x14ac:dyDescent="0.3">
      <c r="A5" t="s">
        <v>40</v>
      </c>
      <c r="B5" s="1" t="s">
        <v>41</v>
      </c>
      <c r="C5" t="s">
        <v>33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>
        <v>12804.435844442607</v>
      </c>
      <c r="L5">
        <v>12980.722295686151</v>
      </c>
      <c r="M5">
        <v>13105.169077889199</v>
      </c>
      <c r="N5">
        <v>13136.480080594391</v>
      </c>
      <c r="O5">
        <v>12690.529110499063</v>
      </c>
      <c r="P5">
        <v>13029.61628437352</v>
      </c>
      <c r="Q5">
        <v>12795.024557750838</v>
      </c>
      <c r="R5">
        <v>12378.170194566459</v>
      </c>
      <c r="S5">
        <v>12532.311123711053</v>
      </c>
      <c r="T5">
        <v>12656.688138914153</v>
      </c>
      <c r="U5">
        <v>12247.635288214824</v>
      </c>
      <c r="V5">
        <v>12098.275150543515</v>
      </c>
      <c r="W5">
        <v>12494.980211030686</v>
      </c>
      <c r="X5">
        <v>13101.541815916524</v>
      </c>
      <c r="Y5">
        <v>13116.430976920077</v>
      </c>
      <c r="Z5">
        <v>12442.857665371896</v>
      </c>
      <c r="AA5">
        <v>13049.330153617599</v>
      </c>
      <c r="AB5">
        <v>13288.356556511633</v>
      </c>
      <c r="AC5">
        <v>14214.646460055672</v>
      </c>
      <c r="AD5">
        <v>14464.814050479823</v>
      </c>
      <c r="AE5">
        <v>14969.059942621792</v>
      </c>
      <c r="AH5" t="str">
        <f t="shared" si="0"/>
        <v>NA</v>
      </c>
      <c r="AL5" s="2"/>
    </row>
    <row r="6" spans="1:38" x14ac:dyDescent="0.3">
      <c r="A6" t="s">
        <v>42</v>
      </c>
      <c r="B6" s="1" t="s">
        <v>43</v>
      </c>
      <c r="C6" t="s">
        <v>33</v>
      </c>
      <c r="D6">
        <v>28051.403200512588</v>
      </c>
      <c r="E6">
        <v>28797.866729395184</v>
      </c>
      <c r="F6">
        <v>31149.370286020709</v>
      </c>
      <c r="G6">
        <v>31895.99576807081</v>
      </c>
      <c r="H6">
        <v>32966.252332939388</v>
      </c>
      <c r="I6">
        <v>33901.192899197005</v>
      </c>
      <c r="J6">
        <v>35722.545671456828</v>
      </c>
      <c r="K6">
        <v>35749.945706160928</v>
      </c>
      <c r="L6">
        <v>37250.312688532918</v>
      </c>
      <c r="M6">
        <v>38696.51278535161</v>
      </c>
      <c r="N6">
        <v>39307.159320418272</v>
      </c>
      <c r="O6">
        <v>40994.466866713614</v>
      </c>
      <c r="P6">
        <v>42724.587270079988</v>
      </c>
      <c r="Q6">
        <v>41470.457414300996</v>
      </c>
      <c r="R6">
        <v>40442.804105516094</v>
      </c>
      <c r="S6">
        <v>40937.293297942379</v>
      </c>
      <c r="T6">
        <v>41486.218963492887</v>
      </c>
      <c r="U6">
        <v>39174.915689845067</v>
      </c>
      <c r="V6">
        <v>37597.722993519492</v>
      </c>
      <c r="W6">
        <v>38402.667301525289</v>
      </c>
      <c r="X6">
        <v>38885.548589475307</v>
      </c>
      <c r="Y6">
        <v>39886.658821881807</v>
      </c>
      <c r="Z6">
        <v>39321.632781089014</v>
      </c>
      <c r="AA6">
        <v>39320.11091768241</v>
      </c>
      <c r="AB6">
        <v>39413.80939312384</v>
      </c>
      <c r="AC6">
        <v>34394.430197118621</v>
      </c>
      <c r="AD6">
        <v>36616.117961953023</v>
      </c>
      <c r="AE6">
        <v>39447.538246832468</v>
      </c>
      <c r="AH6">
        <f t="shared" si="0"/>
        <v>1.2707206743316268</v>
      </c>
      <c r="AL6" s="2"/>
    </row>
    <row r="7" spans="1:38" x14ac:dyDescent="0.3">
      <c r="A7" t="s">
        <v>44</v>
      </c>
      <c r="B7" s="1" t="s">
        <v>45</v>
      </c>
      <c r="C7" t="s">
        <v>33</v>
      </c>
      <c r="D7">
        <v>1675.7080928898997</v>
      </c>
      <c r="E7">
        <v>1840.3540847701959</v>
      </c>
      <c r="F7">
        <v>1909.4689393102494</v>
      </c>
      <c r="G7">
        <v>1934.5579501926563</v>
      </c>
      <c r="H7">
        <v>1913.9989214130674</v>
      </c>
      <c r="I7">
        <v>1909.5020645368465</v>
      </c>
      <c r="J7">
        <v>1925.5080325567747</v>
      </c>
      <c r="K7">
        <v>2116.8516818536709</v>
      </c>
      <c r="L7">
        <v>2106.9858670706217</v>
      </c>
      <c r="M7">
        <v>2257.1523629424623</v>
      </c>
      <c r="N7">
        <v>2505.6550324282412</v>
      </c>
      <c r="O7">
        <v>2696.4410990724664</v>
      </c>
      <c r="P7">
        <v>2964.3354534913401</v>
      </c>
      <c r="Q7">
        <v>3176.6721659786704</v>
      </c>
      <c r="R7">
        <v>3087.8114336693952</v>
      </c>
      <c r="S7">
        <v>3105.4496592010355</v>
      </c>
      <c r="T7">
        <v>3094.7339189788727</v>
      </c>
      <c r="U7">
        <v>3235.1746085754153</v>
      </c>
      <c r="V7">
        <v>3270.9663492944424</v>
      </c>
      <c r="W7">
        <v>3304.6811518955124</v>
      </c>
      <c r="X7">
        <v>3217.3392443056077</v>
      </c>
      <c r="Y7">
        <v>3023.9163229959427</v>
      </c>
      <c r="Z7">
        <v>2914.1271431031282</v>
      </c>
      <c r="AA7">
        <v>2777.8430453530364</v>
      </c>
      <c r="AB7">
        <v>2666.2539190069024</v>
      </c>
      <c r="AC7">
        <v>2435.0248574910679</v>
      </c>
      <c r="AD7">
        <v>2387.4299101719594</v>
      </c>
      <c r="AE7">
        <v>2385.1199588141799</v>
      </c>
      <c r="AH7">
        <f t="shared" si="0"/>
        <v>1.3160423881662053</v>
      </c>
      <c r="AL7" s="2"/>
    </row>
    <row r="8" spans="1:38" x14ac:dyDescent="0.3">
      <c r="A8" t="s">
        <v>46</v>
      </c>
      <c r="B8" s="1" t="s">
        <v>47</v>
      </c>
      <c r="C8" t="s">
        <v>33</v>
      </c>
      <c r="D8">
        <v>13584.273462779563</v>
      </c>
      <c r="E8">
        <v>14190.974300493048</v>
      </c>
      <c r="F8">
        <v>14669.01619130124</v>
      </c>
      <c r="G8">
        <v>15076.392604457273</v>
      </c>
      <c r="H8">
        <v>15370.828086116455</v>
      </c>
      <c r="I8">
        <v>16055.953741154966</v>
      </c>
      <c r="J8">
        <v>15092.469272731485</v>
      </c>
      <c r="K8">
        <v>15053.966299910884</v>
      </c>
      <c r="L8">
        <v>15788.740204843343</v>
      </c>
      <c r="M8">
        <v>16516.086608415706</v>
      </c>
      <c r="N8">
        <v>17380.986016407041</v>
      </c>
      <c r="O8">
        <v>19341.328150063902</v>
      </c>
      <c r="P8">
        <v>20854.062440672955</v>
      </c>
      <c r="Q8">
        <v>20541.753340940289</v>
      </c>
      <c r="R8">
        <v>17809.932676446839</v>
      </c>
      <c r="S8">
        <v>16191.156760368754</v>
      </c>
      <c r="T8">
        <v>15684.781391203895</v>
      </c>
      <c r="U8">
        <v>15739.034839398942</v>
      </c>
      <c r="V8">
        <v>15668.435510947937</v>
      </c>
      <c r="W8">
        <v>15882.309257207307</v>
      </c>
      <c r="X8">
        <v>15985.541138697094</v>
      </c>
      <c r="Y8">
        <v>16526.43613747276</v>
      </c>
      <c r="Z8">
        <v>16830.396260284826</v>
      </c>
      <c r="AA8">
        <v>17901.040913055916</v>
      </c>
      <c r="AB8">
        <v>18357.678822218335</v>
      </c>
      <c r="AC8">
        <v>14803.769505746439</v>
      </c>
      <c r="AD8">
        <v>15921.095120946031</v>
      </c>
      <c r="AE8">
        <v>17335.047039518002</v>
      </c>
      <c r="AH8">
        <f t="shared" si="0"/>
        <v>0.90711749431502398</v>
      </c>
      <c r="AL8" s="2"/>
    </row>
    <row r="9" spans="1:38" x14ac:dyDescent="0.3">
      <c r="A9" t="s">
        <v>48</v>
      </c>
      <c r="B9" s="1" t="s">
        <v>49</v>
      </c>
      <c r="C9" t="s">
        <v>33</v>
      </c>
      <c r="D9">
        <v>9969.331575797225</v>
      </c>
      <c r="E9">
        <v>10388.538710440795</v>
      </c>
      <c r="F9">
        <v>11097.382063461755</v>
      </c>
      <c r="G9">
        <v>11391.9451576314</v>
      </c>
      <c r="H9">
        <v>10880.206207483703</v>
      </c>
      <c r="I9">
        <v>10672.722035312107</v>
      </c>
      <c r="J9">
        <v>10090.653443428628</v>
      </c>
      <c r="K9">
        <v>8895.3196421075099</v>
      </c>
      <c r="L9">
        <v>9581.9697921946845</v>
      </c>
      <c r="M9">
        <v>10341.643405880495</v>
      </c>
      <c r="N9">
        <v>11141.310671837527</v>
      </c>
      <c r="O9">
        <v>11913.958532263698</v>
      </c>
      <c r="P9">
        <v>12857.092577096109</v>
      </c>
      <c r="Q9">
        <v>13246.634891715215</v>
      </c>
      <c r="R9">
        <v>12336.861938523742</v>
      </c>
      <c r="S9">
        <v>13551.339194022945</v>
      </c>
      <c r="T9">
        <v>14200.269889060848</v>
      </c>
      <c r="U9">
        <v>13895.633707298621</v>
      </c>
      <c r="V9">
        <v>14071.508683155722</v>
      </c>
      <c r="W9">
        <v>13567.948415980865</v>
      </c>
      <c r="X9">
        <v>13789.060424772022</v>
      </c>
      <c r="Y9">
        <v>13360.211834598183</v>
      </c>
      <c r="Z9">
        <v>13595.037355108117</v>
      </c>
      <c r="AA9">
        <v>13105.397163316997</v>
      </c>
      <c r="AB9">
        <v>12716.224203854397</v>
      </c>
      <c r="AC9">
        <v>11346.652112846077</v>
      </c>
      <c r="AD9">
        <v>12444.318266973089</v>
      </c>
      <c r="AE9">
        <v>12940.73843521567</v>
      </c>
      <c r="AH9">
        <f t="shared" si="0"/>
        <v>0.97085591360437373</v>
      </c>
      <c r="AL9" s="2"/>
    </row>
    <row r="10" spans="1:38" x14ac:dyDescent="0.3">
      <c r="A10" t="s">
        <v>50</v>
      </c>
      <c r="B10" s="1" t="s">
        <v>51</v>
      </c>
      <c r="C10" t="s">
        <v>33</v>
      </c>
      <c r="D10">
        <v>928.09249657732209</v>
      </c>
      <c r="E10">
        <v>989.64234322519258</v>
      </c>
      <c r="F10">
        <v>1031.0982588437046</v>
      </c>
      <c r="G10">
        <v>1116.9071922387063</v>
      </c>
      <c r="H10">
        <v>1166.187961650357</v>
      </c>
      <c r="I10">
        <v>1249.612129265681</v>
      </c>
      <c r="J10">
        <v>1385.0447940779134</v>
      </c>
      <c r="K10">
        <v>1582.0576216709233</v>
      </c>
      <c r="L10">
        <v>1815.7882244799939</v>
      </c>
      <c r="M10">
        <v>2018.460140870204</v>
      </c>
      <c r="N10">
        <v>2312.9828613353752</v>
      </c>
      <c r="O10">
        <v>2636.2566481970034</v>
      </c>
      <c r="P10">
        <v>3019.4655606402216</v>
      </c>
      <c r="Q10">
        <v>3250.4986110114528</v>
      </c>
      <c r="R10">
        <v>2810.1928405122962</v>
      </c>
      <c r="S10">
        <v>2889.5662281711489</v>
      </c>
      <c r="T10">
        <v>3043.2627861360907</v>
      </c>
      <c r="U10">
        <v>3278.6704481117581</v>
      </c>
      <c r="V10">
        <v>3402.0838545233314</v>
      </c>
      <c r="W10">
        <v>3538.5293922785772</v>
      </c>
      <c r="X10">
        <v>3666.1418221090494</v>
      </c>
      <c r="Y10">
        <v>3689.8300821339899</v>
      </c>
      <c r="Z10">
        <v>3985.9166983517684</v>
      </c>
      <c r="AA10">
        <v>4215.8993944052427</v>
      </c>
      <c r="AB10">
        <v>4561.9677989475122</v>
      </c>
      <c r="AC10">
        <v>4256.131227854532</v>
      </c>
      <c r="AD10">
        <v>4526.5974887583225</v>
      </c>
      <c r="AE10">
        <v>5116.2057562728023</v>
      </c>
      <c r="AH10">
        <f t="shared" si="0"/>
        <v>6.5264997148175574</v>
      </c>
      <c r="AL10" s="2"/>
    </row>
    <row r="11" spans="1:38" x14ac:dyDescent="0.3">
      <c r="A11" t="s">
        <v>52</v>
      </c>
      <c r="B11" s="1" t="s">
        <v>53</v>
      </c>
      <c r="C11" t="s">
        <v>33</v>
      </c>
      <c r="D11">
        <v>29497.96330754802</v>
      </c>
      <c r="E11">
        <v>28958.143576793351</v>
      </c>
      <c r="F11">
        <v>30074.406009441049</v>
      </c>
      <c r="G11">
        <v>29765.514935300835</v>
      </c>
      <c r="H11">
        <v>29262.615650597316</v>
      </c>
      <c r="I11">
        <v>30703.660950632828</v>
      </c>
      <c r="J11">
        <v>31426.878801041541</v>
      </c>
      <c r="K11">
        <v>30760.207239348707</v>
      </c>
      <c r="L11">
        <v>30793.134774470887</v>
      </c>
      <c r="M11">
        <v>32742.760809613919</v>
      </c>
      <c r="N11">
        <v>32291.768972754191</v>
      </c>
      <c r="O11">
        <v>32272.250837017371</v>
      </c>
      <c r="P11">
        <v>32863.362270795697</v>
      </c>
      <c r="Q11">
        <v>33053.767234437822</v>
      </c>
      <c r="R11">
        <v>28836.016954830546</v>
      </c>
      <c r="S11">
        <v>27732.213712869518</v>
      </c>
      <c r="T11">
        <v>28398.557638085265</v>
      </c>
      <c r="U11">
        <v>27876.20638498168</v>
      </c>
      <c r="V11">
        <v>29447.579771612935</v>
      </c>
      <c r="W11">
        <v>28780.630779393559</v>
      </c>
      <c r="X11">
        <v>28419.2645344661</v>
      </c>
      <c r="Y11">
        <v>28737.896241020946</v>
      </c>
      <c r="Z11">
        <v>30598.648726566171</v>
      </c>
      <c r="AA11">
        <v>31172.802192619674</v>
      </c>
      <c r="AB11">
        <v>30317.60690800858</v>
      </c>
      <c r="AC11">
        <v>23015.741866998385</v>
      </c>
      <c r="AD11">
        <v>29390.3807256369</v>
      </c>
      <c r="AE11">
        <v>32492.17862612156</v>
      </c>
      <c r="AH11">
        <f t="shared" si="0"/>
        <v>0.35870916832234645</v>
      </c>
      <c r="AL11" s="2"/>
    </row>
    <row r="12" spans="1:38" x14ac:dyDescent="0.3">
      <c r="A12" t="s">
        <v>54</v>
      </c>
      <c r="B12" s="1" t="s">
        <v>55</v>
      </c>
      <c r="C12" t="s">
        <v>33</v>
      </c>
      <c r="D12">
        <v>39309.994664562306</v>
      </c>
      <c r="E12">
        <v>40336.299145871846</v>
      </c>
      <c r="F12">
        <v>41463.645661262053</v>
      </c>
      <c r="G12">
        <v>42966.793404781201</v>
      </c>
      <c r="H12">
        <v>44636.024252846</v>
      </c>
      <c r="I12">
        <v>45858.580092802069</v>
      </c>
      <c r="J12">
        <v>46190.381207801373</v>
      </c>
      <c r="K12">
        <v>47485.341090449685</v>
      </c>
      <c r="L12">
        <v>48393.136721712792</v>
      </c>
      <c r="M12">
        <v>49901.015295782563</v>
      </c>
      <c r="N12">
        <v>50852.161201563868</v>
      </c>
      <c r="O12">
        <v>51552.893829606102</v>
      </c>
      <c r="P12">
        <v>52530.701893012454</v>
      </c>
      <c r="Q12">
        <v>53335.005703940325</v>
      </c>
      <c r="R12">
        <v>53235.923582253134</v>
      </c>
      <c r="S12">
        <v>53581.158583018885</v>
      </c>
      <c r="T12">
        <v>54114.726190785761</v>
      </c>
      <c r="U12">
        <v>55261.918378012699</v>
      </c>
      <c r="V12">
        <v>55734.574341148902</v>
      </c>
      <c r="W12">
        <v>56341.134149272351</v>
      </c>
      <c r="X12">
        <v>56758.869202782145</v>
      </c>
      <c r="Y12">
        <v>57432.180285345195</v>
      </c>
      <c r="Z12">
        <v>57804.050906575845</v>
      </c>
      <c r="AA12">
        <v>58600.790356277124</v>
      </c>
      <c r="AB12">
        <v>59000.735444245336</v>
      </c>
      <c r="AC12">
        <v>58082.426579918218</v>
      </c>
      <c r="AD12">
        <v>59225.524540358172</v>
      </c>
      <c r="AE12">
        <v>60993.641250362984</v>
      </c>
      <c r="AH12">
        <f t="shared" si="0"/>
        <v>1.6403107806285844</v>
      </c>
      <c r="AL12" s="2"/>
    </row>
    <row r="13" spans="1:38" x14ac:dyDescent="0.3">
      <c r="A13" t="s">
        <v>56</v>
      </c>
      <c r="B13" s="1" t="s">
        <v>57</v>
      </c>
      <c r="C13" t="s">
        <v>33</v>
      </c>
      <c r="D13">
        <v>33790.484985750394</v>
      </c>
      <c r="E13">
        <v>34537.739574651801</v>
      </c>
      <c r="F13">
        <v>35220.887742625884</v>
      </c>
      <c r="G13">
        <v>36442.288233338419</v>
      </c>
      <c r="H13">
        <v>37664.943279211642</v>
      </c>
      <c r="I13">
        <v>38842.890519583052</v>
      </c>
      <c r="J13">
        <v>39184.808597263633</v>
      </c>
      <c r="K13">
        <v>39636.482611452127</v>
      </c>
      <c r="L13">
        <v>39815.221953306384</v>
      </c>
      <c r="M13">
        <v>40651.22661558113</v>
      </c>
      <c r="N13">
        <v>41281.270755952217</v>
      </c>
      <c r="O13">
        <v>42496.35105168305</v>
      </c>
      <c r="P13">
        <v>43937.712890574352</v>
      </c>
      <c r="Q13">
        <v>44440.055889927993</v>
      </c>
      <c r="R13">
        <v>42655.192130481322</v>
      </c>
      <c r="S13">
        <v>43334.508964469052</v>
      </c>
      <c r="T13">
        <v>44451.00019184727</v>
      </c>
      <c r="U13">
        <v>44549.881698231009</v>
      </c>
      <c r="V13">
        <v>44299.378184544636</v>
      </c>
      <c r="W13">
        <v>44245.168739833825</v>
      </c>
      <c r="X13">
        <v>44195.817594774824</v>
      </c>
      <c r="Y13">
        <v>44590.251627816368</v>
      </c>
      <c r="Z13">
        <v>45281.723399938004</v>
      </c>
      <c r="AA13">
        <v>46154.625095654148</v>
      </c>
      <c r="AB13">
        <v>46616.359174324236</v>
      </c>
      <c r="AC13">
        <v>43343.971895113624</v>
      </c>
      <c r="AD13">
        <v>44984.419736690921</v>
      </c>
      <c r="AE13">
        <v>46697.856519391273</v>
      </c>
      <c r="AH13">
        <f t="shared" si="0"/>
        <v>1.2054259563035741</v>
      </c>
      <c r="AL13" s="2"/>
    </row>
    <row r="14" spans="1:38" x14ac:dyDescent="0.3">
      <c r="A14" t="s">
        <v>58</v>
      </c>
      <c r="B14" s="1" t="s">
        <v>59</v>
      </c>
      <c r="C14" t="s">
        <v>33</v>
      </c>
      <c r="D14">
        <v>1102.4978900740705</v>
      </c>
      <c r="E14">
        <v>1105.5872422942778</v>
      </c>
      <c r="F14">
        <v>1158.481657617604</v>
      </c>
      <c r="G14">
        <v>1262.2918871261254</v>
      </c>
      <c r="H14">
        <v>1343.8559386987813</v>
      </c>
      <c r="I14">
        <v>1480.8086907243637</v>
      </c>
      <c r="J14">
        <v>1614.8488581347481</v>
      </c>
      <c r="K14">
        <v>1754.1352413299062</v>
      </c>
      <c r="L14">
        <v>1918.6110369695309</v>
      </c>
      <c r="M14">
        <v>2077.8852704733913</v>
      </c>
      <c r="N14">
        <v>2631.8514527940824</v>
      </c>
      <c r="O14">
        <v>3501.1648250060261</v>
      </c>
      <c r="P14">
        <v>4327.1136046884812</v>
      </c>
      <c r="Q14">
        <v>4693.0770796811566</v>
      </c>
      <c r="R14">
        <v>5023.9672905028019</v>
      </c>
      <c r="S14">
        <v>5215.2041542949592</v>
      </c>
      <c r="T14">
        <v>5152.838502447441</v>
      </c>
      <c r="U14">
        <v>5194.9209166508335</v>
      </c>
      <c r="V14">
        <v>5426.0959415596126</v>
      </c>
      <c r="W14">
        <v>5506.1816960031856</v>
      </c>
      <c r="X14">
        <v>5500.503646284862</v>
      </c>
      <c r="Y14">
        <v>5270.7381657120031</v>
      </c>
      <c r="Z14">
        <v>5229.7098898585955</v>
      </c>
      <c r="AA14">
        <v>5262.3687047336762</v>
      </c>
      <c r="AB14">
        <v>5348.4531885182314</v>
      </c>
      <c r="AC14">
        <v>5083.5602544572066</v>
      </c>
      <c r="AD14">
        <v>5345.4398644583125</v>
      </c>
      <c r="AE14">
        <v>5590.0043955173096</v>
      </c>
      <c r="AH14">
        <f t="shared" si="0"/>
        <v>6.1970332963708241</v>
      </c>
      <c r="AL14" s="2"/>
    </row>
    <row r="15" spans="1:38" x14ac:dyDescent="0.3">
      <c r="A15" t="s">
        <v>60</v>
      </c>
      <c r="B15" s="1" t="s">
        <v>61</v>
      </c>
      <c r="C15" t="s">
        <v>33</v>
      </c>
      <c r="D15">
        <v>28410.555903393575</v>
      </c>
      <c r="E15">
        <v>29088.157173519419</v>
      </c>
      <c r="F15">
        <v>28965.190026131637</v>
      </c>
      <c r="G15">
        <v>29828.745828738072</v>
      </c>
      <c r="H15">
        <v>31473.36901541967</v>
      </c>
      <c r="I15">
        <v>32300.765871030308</v>
      </c>
      <c r="J15">
        <v>32685.179299653977</v>
      </c>
      <c r="K15">
        <v>33129.483610362353</v>
      </c>
      <c r="L15">
        <v>32276.719505741792</v>
      </c>
      <c r="M15">
        <v>32125.043872089616</v>
      </c>
      <c r="N15">
        <v>32765.744672249097</v>
      </c>
      <c r="O15">
        <v>33127.422546724127</v>
      </c>
      <c r="P15">
        <v>33136.487726418192</v>
      </c>
      <c r="Q15">
        <v>31908.932077025558</v>
      </c>
      <c r="R15">
        <v>30139.453174542625</v>
      </c>
      <c r="S15">
        <v>30175.63897557378</v>
      </c>
      <c r="T15">
        <v>29984.884120438146</v>
      </c>
      <c r="U15">
        <v>30577.733812846171</v>
      </c>
      <c r="V15">
        <v>29426.022691478316</v>
      </c>
      <c r="W15">
        <v>29701.458031932005</v>
      </c>
      <c r="X15">
        <v>29724.953335523318</v>
      </c>
      <c r="Y15">
        <v>29253.891328646809</v>
      </c>
      <c r="Z15">
        <v>29763.504840809324</v>
      </c>
      <c r="AA15">
        <v>30412.132817875125</v>
      </c>
      <c r="AB15">
        <v>29988.165348719471</v>
      </c>
      <c r="AC15">
        <v>22830.503602513345</v>
      </c>
      <c r="AD15">
        <v>26614.189918029948</v>
      </c>
      <c r="AE15">
        <v>30283.896986503489</v>
      </c>
      <c r="AH15">
        <f t="shared" si="0"/>
        <v>0.23678120276600101</v>
      </c>
      <c r="AL15" s="2"/>
    </row>
    <row r="16" spans="1:38" x14ac:dyDescent="0.3">
      <c r="A16" t="s">
        <v>62</v>
      </c>
      <c r="B16" s="1" t="s">
        <v>63</v>
      </c>
      <c r="C16" t="s">
        <v>33</v>
      </c>
      <c r="D16">
        <v>20403.37053278352</v>
      </c>
      <c r="E16">
        <v>20576.51538811874</v>
      </c>
      <c r="F16">
        <v>20566.557014946684</v>
      </c>
      <c r="G16">
        <v>20915.833412856617</v>
      </c>
      <c r="H16">
        <v>21195.900778037765</v>
      </c>
      <c r="I16">
        <v>21713.538050227417</v>
      </c>
      <c r="J16">
        <v>21681.028297864588</v>
      </c>
      <c r="K16">
        <v>21866.04922844316</v>
      </c>
      <c r="L16">
        <v>22348.904809434829</v>
      </c>
      <c r="M16">
        <v>22325.703075054746</v>
      </c>
      <c r="N16">
        <v>22027.331306682023</v>
      </c>
      <c r="O16">
        <v>21783.85153434625</v>
      </c>
      <c r="P16">
        <v>22013.75841577187</v>
      </c>
      <c r="Q16">
        <v>21918.00506103423</v>
      </c>
      <c r="R16">
        <v>21157.793420333579</v>
      </c>
      <c r="S16">
        <v>21452.921519824285</v>
      </c>
      <c r="T16">
        <v>21906.746425380359</v>
      </c>
      <c r="U16">
        <v>22484.854815633797</v>
      </c>
      <c r="V16">
        <v>23012.708341526617</v>
      </c>
      <c r="W16">
        <v>23107.956592584389</v>
      </c>
      <c r="X16">
        <v>22795.448857661198</v>
      </c>
      <c r="Y16">
        <v>22810.774924092402</v>
      </c>
      <c r="Z16">
        <v>23019.255742669473</v>
      </c>
      <c r="AA16">
        <v>23023.119780062454</v>
      </c>
      <c r="AB16">
        <v>23414.219074353339</v>
      </c>
      <c r="AC16">
        <v>22579.362005584564</v>
      </c>
      <c r="AD16">
        <v>23407.195851022043</v>
      </c>
      <c r="AE16">
        <v>24395.472470889126</v>
      </c>
      <c r="AH16">
        <f t="shared" si="0"/>
        <v>0.66403742863350157</v>
      </c>
      <c r="AL16" s="2"/>
    </row>
    <row r="17" spans="1:38" x14ac:dyDescent="0.3">
      <c r="A17" t="s">
        <v>64</v>
      </c>
      <c r="B17" s="1" t="s">
        <v>65</v>
      </c>
      <c r="C17" t="s">
        <v>33</v>
      </c>
      <c r="D17">
        <v>559.68923064433318</v>
      </c>
      <c r="E17">
        <v>574.83581942296178</v>
      </c>
      <c r="F17">
        <v>590.00278866063888</v>
      </c>
      <c r="G17">
        <v>609.01356268267023</v>
      </c>
      <c r="H17">
        <v>625.36385397046001</v>
      </c>
      <c r="I17">
        <v>646.03776346371978</v>
      </c>
      <c r="J17">
        <v>666.0677553251578</v>
      </c>
      <c r="K17">
        <v>678.86750890818178</v>
      </c>
      <c r="L17">
        <v>698.73208558729175</v>
      </c>
      <c r="M17">
        <v>723.22783844338107</v>
      </c>
      <c r="N17">
        <v>758.88997319086081</v>
      </c>
      <c r="O17">
        <v>799.78147475493779</v>
      </c>
      <c r="P17">
        <v>847.28194824008506</v>
      </c>
      <c r="Q17">
        <v>890.29616717858448</v>
      </c>
      <c r="R17">
        <v>927.01808687355276</v>
      </c>
      <c r="S17">
        <v>967.56108073395205</v>
      </c>
      <c r="T17">
        <v>1017.6277308513941</v>
      </c>
      <c r="U17">
        <v>1070.5951638627691</v>
      </c>
      <c r="V17">
        <v>1120.6853344499416</v>
      </c>
      <c r="W17">
        <v>1173.8929999534373</v>
      </c>
      <c r="X17">
        <v>1236.0043923981625</v>
      </c>
      <c r="Y17">
        <v>1307.732327806182</v>
      </c>
      <c r="Z17">
        <v>1376.6035260619794</v>
      </c>
      <c r="AA17">
        <v>1460.3042275817809</v>
      </c>
      <c r="AB17">
        <v>1557.9643274754503</v>
      </c>
      <c r="AC17">
        <v>1593.3473998736119</v>
      </c>
      <c r="AD17">
        <v>1684.4334794648089</v>
      </c>
      <c r="AE17">
        <v>1784.7388796216665</v>
      </c>
      <c r="AH17">
        <f t="shared" si="0"/>
        <v>4.3885533521681896</v>
      </c>
      <c r="AL17" s="2"/>
    </row>
    <row r="18" spans="1:38" x14ac:dyDescent="0.3">
      <c r="A18" t="s">
        <v>66</v>
      </c>
      <c r="B18" s="1" t="s">
        <v>67</v>
      </c>
      <c r="C18" t="s">
        <v>33</v>
      </c>
      <c r="D18">
        <v>14219.104384243399</v>
      </c>
      <c r="E18">
        <v>14756.95681711886</v>
      </c>
      <c r="F18">
        <v>15431.143453854771</v>
      </c>
      <c r="G18">
        <v>15981.110200870824</v>
      </c>
      <c r="H18">
        <v>16002.543307363334</v>
      </c>
      <c r="I18">
        <v>16683.450646995872</v>
      </c>
      <c r="J18">
        <v>16244.616074096184</v>
      </c>
      <c r="K18">
        <v>16306.287921942003</v>
      </c>
      <c r="L18">
        <v>16596.003114100975</v>
      </c>
      <c r="M18">
        <v>16767.21456885658</v>
      </c>
      <c r="N18">
        <v>17367.56328361206</v>
      </c>
      <c r="O18">
        <v>18352.959416487116</v>
      </c>
      <c r="P18">
        <v>18664.218895883692</v>
      </c>
      <c r="Q18">
        <v>18703.93355188072</v>
      </c>
      <c r="R18">
        <v>17687.104676366398</v>
      </c>
      <c r="S18">
        <v>17227.332639567358</v>
      </c>
      <c r="T18">
        <v>17050.344065218349</v>
      </c>
      <c r="U18">
        <v>16954.456289994425</v>
      </c>
      <c r="V18">
        <v>16693.807567588596</v>
      </c>
      <c r="W18">
        <v>16655.839282221259</v>
      </c>
      <c r="X18">
        <v>17023.694364632142</v>
      </c>
      <c r="Y18">
        <v>17419.788878361531</v>
      </c>
      <c r="Z18">
        <v>17466.652539458046</v>
      </c>
      <c r="AA18">
        <v>17283.377920086463</v>
      </c>
      <c r="AB18">
        <v>17298.506798870385</v>
      </c>
      <c r="AC18">
        <v>15067.436983070203</v>
      </c>
      <c r="AD18">
        <v>14922.529078546175</v>
      </c>
      <c r="AE18">
        <v>16588.148807992624</v>
      </c>
      <c r="AH18">
        <f t="shared" si="0"/>
        <v>0.57238029268311674</v>
      </c>
      <c r="AL18" s="2"/>
    </row>
    <row r="19" spans="1:38" x14ac:dyDescent="0.3">
      <c r="A19" t="s">
        <v>68</v>
      </c>
      <c r="B19" s="1" t="s">
        <v>69</v>
      </c>
      <c r="C19" t="s">
        <v>33</v>
      </c>
      <c r="D19">
        <v>1886.487655007038</v>
      </c>
      <c r="E19">
        <v>1945.8494987472372</v>
      </c>
      <c r="F19">
        <v>2176.7041542260636</v>
      </c>
      <c r="G19">
        <v>2370.1993190257595</v>
      </c>
      <c r="H19">
        <v>2461.8402014150915</v>
      </c>
      <c r="I19">
        <v>2616.9271820746153</v>
      </c>
      <c r="J19">
        <v>2754.6794075515886</v>
      </c>
      <c r="K19">
        <v>2912.1391533393016</v>
      </c>
      <c r="L19">
        <v>3139.1380084590037</v>
      </c>
      <c r="M19">
        <v>3522.5089505192368</v>
      </c>
      <c r="N19">
        <v>3880.0354099342358</v>
      </c>
      <c r="O19">
        <v>4294.2519544298375</v>
      </c>
      <c r="P19">
        <v>4685.0056951085808</v>
      </c>
      <c r="Q19">
        <v>5180.7404381471088</v>
      </c>
      <c r="R19">
        <v>5203.8831028070072</v>
      </c>
      <c r="S19">
        <v>5621.9676583316077</v>
      </c>
      <c r="T19">
        <v>5938.2528822009181</v>
      </c>
      <c r="U19">
        <v>6047.9039250858596</v>
      </c>
      <c r="V19">
        <v>6110.9378011915951</v>
      </c>
      <c r="W19">
        <v>6212.9357794809948</v>
      </c>
      <c r="X19">
        <v>5967.068560342268</v>
      </c>
      <c r="Y19">
        <v>5811.2505397285495</v>
      </c>
      <c r="Z19">
        <v>5964.9143628776164</v>
      </c>
      <c r="AA19">
        <v>6165.9578867104838</v>
      </c>
      <c r="AB19">
        <v>6267.7651393204142</v>
      </c>
      <c r="AC19">
        <v>6252.0088191391224</v>
      </c>
      <c r="AD19">
        <v>6457.7512699083363</v>
      </c>
      <c r="AE19">
        <v>6204.0966622438327</v>
      </c>
      <c r="AH19">
        <f t="shared" si="0"/>
        <v>4.5078850277210369</v>
      </c>
      <c r="AL19" s="2"/>
    </row>
    <row r="20" spans="1:38" x14ac:dyDescent="0.3">
      <c r="A20" t="s">
        <v>70</v>
      </c>
      <c r="B20" s="1" t="s">
        <v>71</v>
      </c>
      <c r="C20" t="s">
        <v>33</v>
      </c>
      <c r="D20">
        <v>31329.892072750969</v>
      </c>
      <c r="E20">
        <v>31681.936363450212</v>
      </c>
      <c r="F20">
        <v>32804.360540236128</v>
      </c>
      <c r="G20">
        <v>33376.574839896464</v>
      </c>
      <c r="H20">
        <v>34479.906448469534</v>
      </c>
      <c r="I20">
        <v>35674.791253071257</v>
      </c>
      <c r="J20">
        <v>35943.237960283848</v>
      </c>
      <c r="K20">
        <v>36393.241766570383</v>
      </c>
      <c r="L20">
        <v>36617.380384022712</v>
      </c>
      <c r="M20">
        <v>37761.281318998117</v>
      </c>
      <c r="N20">
        <v>38426.051908373091</v>
      </c>
      <c r="O20">
        <v>39147.763559729086</v>
      </c>
      <c r="P20">
        <v>40290.227756395587</v>
      </c>
      <c r="Q20">
        <v>40151.849874039392</v>
      </c>
      <c r="R20">
        <v>39025.220790829051</v>
      </c>
      <c r="S20">
        <v>39777.925276736612</v>
      </c>
      <c r="T20">
        <v>39929.095143935912</v>
      </c>
      <c r="U20">
        <v>39975.573640245835</v>
      </c>
      <c r="V20">
        <v>39970.317497479351</v>
      </c>
      <c r="W20">
        <v>40421.420791909601</v>
      </c>
      <c r="X20">
        <v>41008.296719471982</v>
      </c>
      <c r="Y20">
        <v>41318.019638847625</v>
      </c>
      <c r="Z20">
        <v>41825.762831643173</v>
      </c>
      <c r="AA20">
        <v>42382.318276324746</v>
      </c>
      <c r="AB20">
        <v>43098.475062696605</v>
      </c>
      <c r="AC20">
        <v>40655.557152297304</v>
      </c>
      <c r="AD20">
        <v>43262.431589898697</v>
      </c>
      <c r="AE20">
        <v>44184.685286806387</v>
      </c>
      <c r="AH20">
        <f t="shared" si="0"/>
        <v>1.2814956810908829</v>
      </c>
      <c r="AL20" s="2"/>
    </row>
    <row r="21" spans="1:38" x14ac:dyDescent="0.3">
      <c r="A21" t="s">
        <v>72</v>
      </c>
      <c r="B21" s="1" t="s">
        <v>73</v>
      </c>
      <c r="C21" t="s">
        <v>33</v>
      </c>
      <c r="D21">
        <v>4968.7931887733002</v>
      </c>
      <c r="E21">
        <v>4873.2703040323422</v>
      </c>
      <c r="F21">
        <v>4909.3830847289364</v>
      </c>
      <c r="G21">
        <v>4923.842543515435</v>
      </c>
      <c r="H21">
        <v>5206.6518428916879</v>
      </c>
      <c r="I21">
        <v>5657.4566841041242</v>
      </c>
      <c r="J21">
        <v>5755.7570073367115</v>
      </c>
      <c r="K21">
        <v>5879.6042067748776</v>
      </c>
      <c r="L21">
        <v>6252.2207180809683</v>
      </c>
      <c r="M21">
        <v>6355.3995926359767</v>
      </c>
      <c r="N21">
        <v>6305.3505602777632</v>
      </c>
      <c r="O21">
        <v>6399.1459107667361</v>
      </c>
      <c r="P21">
        <v>6422.3043270566768</v>
      </c>
      <c r="Q21">
        <v>6147.6909273834945</v>
      </c>
      <c r="R21">
        <v>5954.4055819312034</v>
      </c>
      <c r="S21">
        <v>5879.7333007255193</v>
      </c>
      <c r="T21">
        <v>5729.9920570565928</v>
      </c>
      <c r="U21">
        <v>5807.263052784815</v>
      </c>
      <c r="V21">
        <v>5930.7323907738983</v>
      </c>
      <c r="W21">
        <v>6034.4021955664375</v>
      </c>
      <c r="X21">
        <v>6098.6000795897553</v>
      </c>
      <c r="Y21">
        <v>5974.3791695858299</v>
      </c>
      <c r="Z21">
        <v>5750.5035687435566</v>
      </c>
      <c r="AA21">
        <v>5699.0628015224866</v>
      </c>
      <c r="AB21">
        <v>5833.1735618862785</v>
      </c>
      <c r="AC21">
        <v>4957.9438679114128</v>
      </c>
      <c r="AD21">
        <v>5768.9083878411693</v>
      </c>
      <c r="AE21">
        <v>6191.6628374679558</v>
      </c>
      <c r="AH21">
        <f t="shared" si="0"/>
        <v>0.81824313359040168</v>
      </c>
      <c r="AL21" s="2"/>
    </row>
    <row r="22" spans="1:38" x14ac:dyDescent="0.3">
      <c r="A22" t="s">
        <v>74</v>
      </c>
      <c r="B22" s="1" t="s">
        <v>75</v>
      </c>
      <c r="C22" t="s">
        <v>33</v>
      </c>
      <c r="D22">
        <v>804.3503329733785</v>
      </c>
      <c r="E22">
        <v>817.84973517873595</v>
      </c>
      <c r="F22">
        <v>839.95169666446213</v>
      </c>
      <c r="G22">
        <v>847.07448747291483</v>
      </c>
      <c r="H22">
        <v>865.45256246754445</v>
      </c>
      <c r="I22">
        <v>888.73018463045639</v>
      </c>
      <c r="J22">
        <v>908.34770299392358</v>
      </c>
      <c r="K22">
        <v>922.41763873989669</v>
      </c>
      <c r="L22">
        <v>925.84926113737367</v>
      </c>
      <c r="M22">
        <v>938.0381781100989</v>
      </c>
      <c r="N22">
        <v>924.26952408512796</v>
      </c>
      <c r="O22">
        <v>931.76914087974603</v>
      </c>
      <c r="P22">
        <v>959.55499346647559</v>
      </c>
      <c r="Q22">
        <v>977.30316318121481</v>
      </c>
      <c r="R22">
        <v>970.9659689341363</v>
      </c>
      <c r="S22">
        <v>962.81610952574965</v>
      </c>
      <c r="T22">
        <v>962.7445896995257</v>
      </c>
      <c r="U22">
        <v>980.07461321247547</v>
      </c>
      <c r="V22">
        <v>1020.5282340508014</v>
      </c>
      <c r="W22">
        <v>1054.1087666098806</v>
      </c>
      <c r="X22">
        <v>1041.6525231598348</v>
      </c>
      <c r="Y22">
        <v>1045.150936575817</v>
      </c>
      <c r="Z22">
        <v>1072.3620320012087</v>
      </c>
      <c r="AA22">
        <v>1111.2272474742326</v>
      </c>
      <c r="AB22">
        <v>1153.7262099808258</v>
      </c>
      <c r="AC22">
        <v>1164.7089665845899</v>
      </c>
      <c r="AD22">
        <v>1214.0775898994416</v>
      </c>
      <c r="AE22">
        <v>1255.6072925908081</v>
      </c>
      <c r="AH22">
        <f t="shared" si="0"/>
        <v>1.6630841791481776</v>
      </c>
      <c r="AL22" s="2"/>
    </row>
    <row r="23" spans="1:38" x14ac:dyDescent="0.3">
      <c r="A23" t="s">
        <v>76</v>
      </c>
      <c r="B23" s="1" t="s">
        <v>77</v>
      </c>
      <c r="C23" t="s">
        <v>33</v>
      </c>
      <c r="D23">
        <v>89518.277635025792</v>
      </c>
      <c r="E23">
        <v>91261.151484913091</v>
      </c>
      <c r="F23">
        <v>94878.492249973395</v>
      </c>
      <c r="G23">
        <v>97857.323281353951</v>
      </c>
      <c r="H23">
        <v>100602.92748261732</v>
      </c>
      <c r="I23">
        <v>109001.58602975613</v>
      </c>
      <c r="J23">
        <v>115619.47468372807</v>
      </c>
      <c r="K23">
        <v>113172.12063363926</v>
      </c>
      <c r="L23">
        <v>116268.81686124191</v>
      </c>
      <c r="M23">
        <v>118193.14872098842</v>
      </c>
      <c r="N23">
        <v>119396.44940776506</v>
      </c>
      <c r="O23">
        <v>125294.9593870247</v>
      </c>
      <c r="P23">
        <v>128757.8806880023</v>
      </c>
      <c r="Q23">
        <v>125610.03344269222</v>
      </c>
      <c r="R23">
        <v>117886.73799019332</v>
      </c>
      <c r="S23">
        <v>115839.79601112989</v>
      </c>
      <c r="T23">
        <v>112471.34754244985</v>
      </c>
      <c r="U23">
        <v>106119.79503079795</v>
      </c>
      <c r="V23">
        <v>105492.48070805537</v>
      </c>
      <c r="W23">
        <v>101374.46978779338</v>
      </c>
      <c r="X23">
        <v>102005.62564189034</v>
      </c>
      <c r="Y23">
        <v>102407.39438343846</v>
      </c>
      <c r="Z23">
        <v>107237.03176838644</v>
      </c>
      <c r="AA23">
        <v>106697.73748629633</v>
      </c>
      <c r="AB23">
        <v>107036.23927108473</v>
      </c>
      <c r="AC23">
        <v>99745.241606421449</v>
      </c>
      <c r="AD23">
        <v>102959.25488344225</v>
      </c>
      <c r="AE23">
        <v>106359.97045402438</v>
      </c>
      <c r="AH23">
        <f t="shared" si="0"/>
        <v>0.64051094214159221</v>
      </c>
      <c r="AL23" s="2"/>
    </row>
    <row r="24" spans="1:38" x14ac:dyDescent="0.3">
      <c r="A24" t="s">
        <v>78</v>
      </c>
      <c r="B24" s="1" t="s">
        <v>79</v>
      </c>
      <c r="C24" t="s">
        <v>33</v>
      </c>
      <c r="D24">
        <v>944.40755556375018</v>
      </c>
      <c r="E24">
        <v>978.49497002570558</v>
      </c>
      <c r="F24">
        <v>1013.4093102710816</v>
      </c>
      <c r="G24">
        <v>1053.5419595023786</v>
      </c>
      <c r="H24">
        <v>1110.0673044879468</v>
      </c>
      <c r="I24">
        <v>1115.6253338798881</v>
      </c>
      <c r="J24">
        <v>1176.6532675060323</v>
      </c>
      <c r="K24">
        <v>1272.6318027005254</v>
      </c>
      <c r="L24">
        <v>1338.5086457621342</v>
      </c>
      <c r="M24">
        <v>1385.3964303578434</v>
      </c>
      <c r="N24">
        <v>1456.4797882883615</v>
      </c>
      <c r="O24">
        <v>1535.4278737513509</v>
      </c>
      <c r="P24">
        <v>1795.0717876656115</v>
      </c>
      <c r="Q24">
        <v>1859.0704467975788</v>
      </c>
      <c r="R24">
        <v>1961.9387594801967</v>
      </c>
      <c r="S24">
        <v>2171.9098002396936</v>
      </c>
      <c r="T24">
        <v>2319.5909356714178</v>
      </c>
      <c r="U24">
        <v>2411.8964025058772</v>
      </c>
      <c r="V24">
        <v>2436.8597800821262</v>
      </c>
      <c r="W24">
        <v>2551.4830729731625</v>
      </c>
      <c r="X24">
        <v>2695.6369236380274</v>
      </c>
      <c r="Y24">
        <v>2889.493886507702</v>
      </c>
      <c r="Z24">
        <v>2998.4732069290135</v>
      </c>
      <c r="AA24">
        <v>3079.1439631487974</v>
      </c>
      <c r="AB24">
        <v>3233.5978891064465</v>
      </c>
      <c r="AC24">
        <v>2884.2087369857441</v>
      </c>
      <c r="AD24">
        <v>2992.4392868098471</v>
      </c>
      <c r="AE24" t="s">
        <v>34</v>
      </c>
      <c r="AH24" t="str">
        <f t="shared" si="0"/>
        <v>NA</v>
      </c>
      <c r="AL24" s="2"/>
    </row>
    <row r="25" spans="1:38" x14ac:dyDescent="0.3">
      <c r="A25" t="s">
        <v>80</v>
      </c>
      <c r="B25" s="1" t="s">
        <v>81</v>
      </c>
      <c r="C25" t="s">
        <v>33</v>
      </c>
      <c r="D25">
        <v>1866.6529325816714</v>
      </c>
      <c r="E25">
        <v>1912.0022593162907</v>
      </c>
      <c r="F25">
        <v>1970.1680814491015</v>
      </c>
      <c r="G25">
        <v>2031.9722058534533</v>
      </c>
      <c r="H25">
        <v>2003.8613083436576</v>
      </c>
      <c r="I25">
        <v>2017.3946086199931</v>
      </c>
      <c r="J25">
        <v>2015.3774794424257</v>
      </c>
      <c r="K25">
        <v>2029.6179437532176</v>
      </c>
      <c r="L25">
        <v>2048.5598176104427</v>
      </c>
      <c r="M25">
        <v>2097.2583532318927</v>
      </c>
      <c r="N25">
        <v>2152.3619697961722</v>
      </c>
      <c r="O25">
        <v>2216.5447088382753</v>
      </c>
      <c r="P25">
        <v>2277.5038261828267</v>
      </c>
      <c r="Q25">
        <v>2376.0780894157997</v>
      </c>
      <c r="R25">
        <v>2414.1299453640122</v>
      </c>
      <c r="S25">
        <v>2471.4736328064491</v>
      </c>
      <c r="T25">
        <v>2556.830269475885</v>
      </c>
      <c r="U25">
        <v>2643.6908163642979</v>
      </c>
      <c r="V25">
        <v>2777.7205324093675</v>
      </c>
      <c r="W25">
        <v>2882.806896136382</v>
      </c>
      <c r="X25">
        <v>2975.6488114306262</v>
      </c>
      <c r="Y25">
        <v>3054.8925476129102</v>
      </c>
      <c r="Z25">
        <v>3135.0316457140029</v>
      </c>
      <c r="AA25">
        <v>3219.200891920927</v>
      </c>
      <c r="AB25">
        <v>3242.9488453222407</v>
      </c>
      <c r="AC25">
        <v>2920.1974473339392</v>
      </c>
      <c r="AD25">
        <v>3061.8992959743991</v>
      </c>
      <c r="AE25">
        <v>3134.766320932803</v>
      </c>
      <c r="AH25">
        <f t="shared" si="0"/>
        <v>1.9385795329555311</v>
      </c>
      <c r="AL25" s="2"/>
    </row>
    <row r="26" spans="1:38" x14ac:dyDescent="0.3">
      <c r="A26" t="s">
        <v>82</v>
      </c>
      <c r="B26" s="1" t="s">
        <v>83</v>
      </c>
      <c r="C26" t="s">
        <v>33</v>
      </c>
      <c r="D26">
        <v>784.61870070541556</v>
      </c>
      <c r="E26">
        <v>1422.9465422838105</v>
      </c>
      <c r="F26">
        <v>1846.1525229924466</v>
      </c>
      <c r="G26">
        <v>2099.2434187307449</v>
      </c>
      <c r="H26">
        <v>2279.7437016085155</v>
      </c>
      <c r="I26">
        <v>2554.5641272230232</v>
      </c>
      <c r="J26">
        <v>2606.7503880222457</v>
      </c>
      <c r="K26">
        <v>2735.535288913562</v>
      </c>
      <c r="L26">
        <v>2851.2735529367228</v>
      </c>
      <c r="M26">
        <v>3061.5514269136038</v>
      </c>
      <c r="N26">
        <v>3218.5942034646841</v>
      </c>
      <c r="O26">
        <v>3423.1239843708731</v>
      </c>
      <c r="P26">
        <v>3669.0167946349134</v>
      </c>
      <c r="Q26">
        <v>3932.0153228423637</v>
      </c>
      <c r="R26">
        <v>3878.4404671983948</v>
      </c>
      <c r="S26">
        <v>3980.442306948682</v>
      </c>
      <c r="T26">
        <v>4091.581885099054</v>
      </c>
      <c r="U26">
        <v>4133.9027239172965</v>
      </c>
      <c r="V26">
        <v>4297.4934963878222</v>
      </c>
      <c r="W26">
        <v>4403.6739149267069</v>
      </c>
      <c r="X26">
        <v>4654.6086203889608</v>
      </c>
      <c r="Y26">
        <v>4865.3512906046381</v>
      </c>
      <c r="Z26">
        <v>5082.9972538770025</v>
      </c>
      <c r="AA26">
        <v>5339.4770682698372</v>
      </c>
      <c r="AB26">
        <v>5558.0814399069695</v>
      </c>
      <c r="AC26">
        <v>5459.219629308911</v>
      </c>
      <c r="AD26">
        <v>5947.8193182136229</v>
      </c>
      <c r="AE26">
        <v>6263.7020733680247</v>
      </c>
      <c r="AH26">
        <f t="shared" si="0"/>
        <v>7.9975228122102671</v>
      </c>
      <c r="AL26" s="2"/>
    </row>
    <row r="27" spans="1:38" x14ac:dyDescent="0.3">
      <c r="A27" t="s">
        <v>84</v>
      </c>
      <c r="B27" s="1" t="s">
        <v>85</v>
      </c>
      <c r="C27" t="s">
        <v>33</v>
      </c>
      <c r="D27">
        <v>4271.4708859156899</v>
      </c>
      <c r="E27">
        <v>4410.3889442545869</v>
      </c>
      <c r="F27">
        <v>4667.8859110853009</v>
      </c>
      <c r="G27">
        <v>4585.6741312465219</v>
      </c>
      <c r="H27">
        <v>4922.3738968436001</v>
      </c>
      <c r="I27">
        <v>4917.2320888865361</v>
      </c>
      <c r="J27">
        <v>4831.7837620682212</v>
      </c>
      <c r="K27">
        <v>5030.2652160804992</v>
      </c>
      <c r="L27">
        <v>5171.541252917681</v>
      </c>
      <c r="M27">
        <v>5219.4145044675861</v>
      </c>
      <c r="N27">
        <v>5360.0191759049403</v>
      </c>
      <c r="O27">
        <v>5700.2198560002771</v>
      </c>
      <c r="P27">
        <v>5913.0699307173636</v>
      </c>
      <c r="Q27">
        <v>5982.661964304737</v>
      </c>
      <c r="R27">
        <v>5031.9836136169661</v>
      </c>
      <c r="S27">
        <v>5428.2961584245804</v>
      </c>
      <c r="T27">
        <v>5684.3578917552395</v>
      </c>
      <c r="U27">
        <v>5566.6817854450401</v>
      </c>
      <c r="V27">
        <v>6067.9984368307714</v>
      </c>
      <c r="W27">
        <v>6291.2718114117151</v>
      </c>
      <c r="X27">
        <v>5869.7375789062771</v>
      </c>
      <c r="Y27">
        <v>6166.2399271029808</v>
      </c>
      <c r="Z27">
        <v>6287.8347493672327</v>
      </c>
      <c r="AA27">
        <v>6418.7063542225869</v>
      </c>
      <c r="AB27">
        <v>6485.5681979435903</v>
      </c>
      <c r="AC27">
        <v>5810.8984760674239</v>
      </c>
      <c r="AD27">
        <v>6395.1396631571488</v>
      </c>
      <c r="AE27">
        <v>6657.5850892165081</v>
      </c>
      <c r="AH27">
        <f t="shared" si="0"/>
        <v>1.6572814937970026</v>
      </c>
      <c r="AL27" s="2"/>
    </row>
    <row r="28" spans="1:38" x14ac:dyDescent="0.3">
      <c r="A28" t="s">
        <v>86</v>
      </c>
      <c r="B28" s="1" t="s">
        <v>87</v>
      </c>
      <c r="C28" t="s">
        <v>33</v>
      </c>
      <c r="D28">
        <v>6524.5188533732226</v>
      </c>
      <c r="E28">
        <v>6567.3524607613999</v>
      </c>
      <c r="F28">
        <v>6689.1993765616835</v>
      </c>
      <c r="G28">
        <v>6613.983180829272</v>
      </c>
      <c r="H28">
        <v>6551.2266710997155</v>
      </c>
      <c r="I28">
        <v>6745.8577705638581</v>
      </c>
      <c r="J28">
        <v>6749.8816034653719</v>
      </c>
      <c r="K28">
        <v>6868.6959069521117</v>
      </c>
      <c r="L28">
        <v>6865.1732504765505</v>
      </c>
      <c r="M28">
        <v>7178.3474851671081</v>
      </c>
      <c r="N28">
        <v>7325.9035503482928</v>
      </c>
      <c r="O28">
        <v>7534.5425001795202</v>
      </c>
      <c r="P28">
        <v>7909.8252473639568</v>
      </c>
      <c r="Q28">
        <v>8231.1003727450588</v>
      </c>
      <c r="R28">
        <v>8142.7610483446451</v>
      </c>
      <c r="S28">
        <v>8673.8983834420505</v>
      </c>
      <c r="T28">
        <v>8935.277314019515</v>
      </c>
      <c r="U28">
        <v>9025.313996218516</v>
      </c>
      <c r="V28">
        <v>9216.1322796916811</v>
      </c>
      <c r="W28">
        <v>9183.459726563904</v>
      </c>
      <c r="X28">
        <v>8783.2154236383994</v>
      </c>
      <c r="Y28">
        <v>8426.8432206888519</v>
      </c>
      <c r="Z28">
        <v>8470.9406037872122</v>
      </c>
      <c r="AA28">
        <v>8553.8659020512168</v>
      </c>
      <c r="AB28">
        <v>8592.2112069438826</v>
      </c>
      <c r="AC28">
        <v>8255.5680134282593</v>
      </c>
      <c r="AD28">
        <v>8621.7315820453969</v>
      </c>
      <c r="AE28">
        <v>8831.1277286862096</v>
      </c>
      <c r="AH28">
        <f t="shared" si="0"/>
        <v>1.1274772069382433</v>
      </c>
      <c r="AL28" s="2"/>
    </row>
    <row r="29" spans="1:38" x14ac:dyDescent="0.3">
      <c r="A29" t="s">
        <v>88</v>
      </c>
      <c r="B29" s="1" t="s">
        <v>89</v>
      </c>
      <c r="C29" t="s">
        <v>33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H29" t="str">
        <f t="shared" si="0"/>
        <v>NA</v>
      </c>
      <c r="AL29" s="2"/>
    </row>
    <row r="30" spans="1:38" x14ac:dyDescent="0.3">
      <c r="A30" t="s">
        <v>90</v>
      </c>
      <c r="B30" s="1" t="s">
        <v>91</v>
      </c>
      <c r="C30" t="s">
        <v>33</v>
      </c>
      <c r="D30">
        <v>35515.843252588296</v>
      </c>
      <c r="E30">
        <v>35690.984583171841</v>
      </c>
      <c r="F30">
        <v>34377.857577662413</v>
      </c>
      <c r="G30">
        <v>33445.120828039988</v>
      </c>
      <c r="H30">
        <v>33739.493741286598</v>
      </c>
      <c r="I30">
        <v>33985.815478012264</v>
      </c>
      <c r="J30">
        <v>34219.310595344949</v>
      </c>
      <c r="K30">
        <v>34857.393196450932</v>
      </c>
      <c r="L30">
        <v>35202.789091275328</v>
      </c>
      <c r="M30">
        <v>34750.573629360311</v>
      </c>
      <c r="N30">
        <v>34290.110771252082</v>
      </c>
      <c r="O30">
        <v>35213.218425430357</v>
      </c>
      <c r="P30">
        <v>34714.540218657443</v>
      </c>
      <c r="Q30">
        <v>33526.002637669713</v>
      </c>
      <c r="R30">
        <v>32449.830327073865</v>
      </c>
      <c r="S30">
        <v>32810.503644672302</v>
      </c>
      <c r="T30">
        <v>33577.060427372984</v>
      </c>
      <c r="U30">
        <v>33456.265292304124</v>
      </c>
      <c r="V30">
        <v>32341.889007924179</v>
      </c>
      <c r="W30">
        <v>31155.744105452875</v>
      </c>
      <c r="X30">
        <v>30681.433969865317</v>
      </c>
      <c r="Y30">
        <v>29601.096504049379</v>
      </c>
      <c r="Z30">
        <v>29695.880824991862</v>
      </c>
      <c r="AA30">
        <v>29437.865177968764</v>
      </c>
      <c r="AB30">
        <v>30313.413862757301</v>
      </c>
      <c r="AC30">
        <v>30401.843825383963</v>
      </c>
      <c r="AD30">
        <v>29673.165877063762</v>
      </c>
      <c r="AE30">
        <v>28954.064089609736</v>
      </c>
      <c r="AH30">
        <f t="shared" si="0"/>
        <v>-0.75369466003554209</v>
      </c>
      <c r="AL30" s="2"/>
    </row>
    <row r="31" spans="1:38" x14ac:dyDescent="0.3">
      <c r="A31" t="s">
        <v>92</v>
      </c>
      <c r="B31" s="1" t="s">
        <v>93</v>
      </c>
      <c r="C31" t="s">
        <v>33</v>
      </c>
      <c r="D31">
        <v>4025.6458265701817</v>
      </c>
      <c r="E31">
        <v>4257.0950999777851</v>
      </c>
      <c r="F31">
        <v>3678.516597775807</v>
      </c>
      <c r="G31">
        <v>3843.4621998366501</v>
      </c>
      <c r="H31">
        <v>3540.5560797855464</v>
      </c>
      <c r="I31">
        <v>3721.3034908875266</v>
      </c>
      <c r="J31">
        <v>3941.2756908212864</v>
      </c>
      <c r="K31">
        <v>4264.2717007569327</v>
      </c>
      <c r="L31">
        <v>4523.2862230135233</v>
      </c>
      <c r="M31">
        <v>4854.2733868410478</v>
      </c>
      <c r="N31">
        <v>5236.0863723436933</v>
      </c>
      <c r="O31">
        <v>5634.9112094132151</v>
      </c>
      <c r="P31">
        <v>6054.2324848619328</v>
      </c>
      <c r="Q31">
        <v>6470.5897344518999</v>
      </c>
      <c r="R31">
        <v>6294.4333916340129</v>
      </c>
      <c r="S31">
        <v>6434.5524312167927</v>
      </c>
      <c r="T31">
        <v>6611.3038446511191</v>
      </c>
      <c r="U31">
        <v>6699.5030014244394</v>
      </c>
      <c r="V31">
        <v>6700.5359875246595</v>
      </c>
      <c r="W31">
        <v>6802.7103240488204</v>
      </c>
      <c r="X31">
        <v>7078.8603229896926</v>
      </c>
      <c r="Y31">
        <v>7344.4435027775671</v>
      </c>
      <c r="Z31">
        <v>7601.438474005965</v>
      </c>
      <c r="AA31">
        <v>7862.8618298004676</v>
      </c>
      <c r="AB31">
        <v>8237.9267829048167</v>
      </c>
      <c r="AC31">
        <v>7958.8268395722198</v>
      </c>
      <c r="AD31">
        <v>8638.7183764057991</v>
      </c>
      <c r="AE31">
        <v>9550.942549657073</v>
      </c>
      <c r="AH31">
        <f t="shared" si="0"/>
        <v>3.2515765098376948</v>
      </c>
      <c r="AL31" s="2"/>
    </row>
    <row r="32" spans="1:38" x14ac:dyDescent="0.3">
      <c r="A32" t="s">
        <v>94</v>
      </c>
      <c r="B32" s="1" t="s">
        <v>95</v>
      </c>
      <c r="C32" t="s">
        <v>33</v>
      </c>
      <c r="D32">
        <v>355.9879411088869</v>
      </c>
      <c r="E32">
        <v>385.22919990397378</v>
      </c>
      <c r="F32">
        <v>399.18499977665562</v>
      </c>
      <c r="G32">
        <v>416.7416996956859</v>
      </c>
      <c r="H32">
        <v>434.65839223517747</v>
      </c>
      <c r="I32">
        <v>429.84737222136886</v>
      </c>
      <c r="J32">
        <v>444.54975488518545</v>
      </c>
      <c r="K32">
        <v>449.85393120466603</v>
      </c>
      <c r="L32">
        <v>470.12958254401735</v>
      </c>
      <c r="M32">
        <v>476.00998087081882</v>
      </c>
      <c r="N32">
        <v>501.20725015534236</v>
      </c>
      <c r="O32">
        <v>516.17676766908505</v>
      </c>
      <c r="P32">
        <v>521.34525920612145</v>
      </c>
      <c r="Q32">
        <v>535.58364468345155</v>
      </c>
      <c r="R32">
        <v>535.5168345281071</v>
      </c>
      <c r="S32">
        <v>563.9267767174822</v>
      </c>
      <c r="T32">
        <v>583.67947711158115</v>
      </c>
      <c r="U32">
        <v>602.78675883638778</v>
      </c>
      <c r="V32">
        <v>618.80458323219113</v>
      </c>
      <c r="W32">
        <v>626.62625079678867</v>
      </c>
      <c r="X32">
        <v>632.12668582235005</v>
      </c>
      <c r="Y32">
        <v>650.41726090055124</v>
      </c>
      <c r="Z32">
        <v>671.25179627370562</v>
      </c>
      <c r="AA32">
        <v>696.0445708308074</v>
      </c>
      <c r="AB32">
        <v>714.64600005273655</v>
      </c>
      <c r="AC32">
        <v>709.05775011683386</v>
      </c>
      <c r="AD32">
        <v>738.41866014900029</v>
      </c>
      <c r="AE32">
        <v>732.57032340389344</v>
      </c>
      <c r="AH32">
        <f t="shared" si="0"/>
        <v>2.7088643373257115</v>
      </c>
      <c r="AL32" s="2"/>
    </row>
    <row r="33" spans="1:38" x14ac:dyDescent="0.3">
      <c r="A33" t="s">
        <v>96</v>
      </c>
      <c r="B33" s="1" t="s">
        <v>97</v>
      </c>
      <c r="C33" t="s">
        <v>33</v>
      </c>
      <c r="D33">
        <v>354.11618088360126</v>
      </c>
      <c r="E33">
        <v>325.91191636342745</v>
      </c>
      <c r="F33">
        <v>321.08969069596066</v>
      </c>
      <c r="G33">
        <v>330.12893068730057</v>
      </c>
      <c r="H33">
        <v>319.13580076384</v>
      </c>
      <c r="I33">
        <v>310.00671093707518</v>
      </c>
      <c r="J33">
        <v>308.64519904572666</v>
      </c>
      <c r="K33">
        <v>313.48640587989252</v>
      </c>
      <c r="L33">
        <v>300.08615297338361</v>
      </c>
      <c r="M33">
        <v>303.11967001572748</v>
      </c>
      <c r="N33">
        <v>294.73877338666063</v>
      </c>
      <c r="O33">
        <v>299.76912082071141</v>
      </c>
      <c r="P33">
        <v>298.93666042186493</v>
      </c>
      <c r="Q33">
        <v>300.84134924099504</v>
      </c>
      <c r="R33">
        <v>296.84709487161666</v>
      </c>
      <c r="S33">
        <v>297.79172709311035</v>
      </c>
      <c r="T33">
        <v>299.01717566519153</v>
      </c>
      <c r="U33">
        <v>301.48131929482139</v>
      </c>
      <c r="V33">
        <v>305.29083523866035</v>
      </c>
      <c r="W33">
        <v>307.76553130125473</v>
      </c>
      <c r="X33">
        <v>289.35962720612906</v>
      </c>
      <c r="Y33">
        <v>282.97596658051054</v>
      </c>
      <c r="Z33">
        <v>277.95980305152352</v>
      </c>
      <c r="AA33">
        <v>274.13190847085451</v>
      </c>
      <c r="AB33">
        <v>270.13727739771133</v>
      </c>
      <c r="AC33">
        <v>263.36098868903053</v>
      </c>
      <c r="AD33">
        <v>264.36483292338619</v>
      </c>
      <c r="AE33">
        <v>262.1848046611421</v>
      </c>
      <c r="AH33">
        <f t="shared" si="0"/>
        <v>-1.107068748530704</v>
      </c>
      <c r="AL33" s="2"/>
    </row>
    <row r="34" spans="1:38" x14ac:dyDescent="0.3">
      <c r="A34" t="s">
        <v>98</v>
      </c>
      <c r="B34" s="1" t="s">
        <v>99</v>
      </c>
      <c r="C34" t="s">
        <v>33</v>
      </c>
      <c r="D34">
        <v>1268.6780107411025</v>
      </c>
      <c r="E34">
        <v>1380.3335622046743</v>
      </c>
      <c r="F34">
        <v>1499.446450300386</v>
      </c>
      <c r="G34">
        <v>1650.4973938979979</v>
      </c>
      <c r="H34">
        <v>1797.2957311893435</v>
      </c>
      <c r="I34">
        <v>2015.381363684721</v>
      </c>
      <c r="J34">
        <v>2026.2791551289151</v>
      </c>
      <c r="K34">
        <v>2099.9001507211542</v>
      </c>
      <c r="L34">
        <v>2156.3479225441451</v>
      </c>
      <c r="M34">
        <v>2344.5187813130228</v>
      </c>
      <c r="N34">
        <v>2474.8248547349863</v>
      </c>
      <c r="O34">
        <v>2639.9627168040092</v>
      </c>
      <c r="P34">
        <v>3005.2294077009888</v>
      </c>
      <c r="Q34">
        <v>3181.4508182762606</v>
      </c>
      <c r="R34">
        <v>3101.3938405561353</v>
      </c>
      <c r="S34">
        <v>3124.5720901327686</v>
      </c>
      <c r="T34">
        <v>3208.3671257524657</v>
      </c>
      <c r="U34">
        <v>3204.6018829006207</v>
      </c>
      <c r="V34">
        <v>3188.5696765522471</v>
      </c>
      <c r="W34">
        <v>3174.7053165583106</v>
      </c>
      <c r="X34">
        <v>3169.0789008256347</v>
      </c>
      <c r="Y34">
        <v>3267.8790154488684</v>
      </c>
      <c r="Z34">
        <v>3376.9382829899982</v>
      </c>
      <c r="AA34">
        <v>3463.8128181132679</v>
      </c>
      <c r="AB34">
        <v>3667.0573643095768</v>
      </c>
      <c r="AC34">
        <v>2876.153428736196</v>
      </c>
      <c r="AD34">
        <v>3010.3456334515731</v>
      </c>
      <c r="AE34">
        <v>3494.5692436773984</v>
      </c>
      <c r="AH34">
        <f t="shared" si="0"/>
        <v>3.8240248248575082</v>
      </c>
      <c r="AL34" s="2"/>
    </row>
    <row r="35" spans="1:38" x14ac:dyDescent="0.3">
      <c r="A35" t="s">
        <v>100</v>
      </c>
      <c r="B35" s="1" t="s">
        <v>101</v>
      </c>
      <c r="C35" t="s">
        <v>33</v>
      </c>
      <c r="D35">
        <v>378.92237820650183</v>
      </c>
      <c r="E35">
        <v>391.82901695078561</v>
      </c>
      <c r="F35">
        <v>398.65296317007238</v>
      </c>
      <c r="G35">
        <v>408.82252681146878</v>
      </c>
      <c r="H35">
        <v>451.86145064973465</v>
      </c>
      <c r="I35">
        <v>488.00270230322508</v>
      </c>
      <c r="J35">
        <v>518.38429191132627</v>
      </c>
      <c r="K35">
        <v>542.6547429690969</v>
      </c>
      <c r="L35">
        <v>578.40935545130412</v>
      </c>
      <c r="M35">
        <v>627.00821337200682</v>
      </c>
      <c r="N35">
        <v>697.74675822819268</v>
      </c>
      <c r="O35">
        <v>759.64339495856655</v>
      </c>
      <c r="P35">
        <v>822.75408666966496</v>
      </c>
      <c r="Q35">
        <v>863.38697477088374</v>
      </c>
      <c r="R35">
        <v>851.20302427767012</v>
      </c>
      <c r="S35">
        <v>888.91258829434355</v>
      </c>
      <c r="T35">
        <v>938.01767708630246</v>
      </c>
      <c r="U35">
        <v>992.13460038545077</v>
      </c>
      <c r="V35">
        <v>1049.994506485576</v>
      </c>
      <c r="W35">
        <v>1109.3756527159571</v>
      </c>
      <c r="X35">
        <v>1170.742815786431</v>
      </c>
      <c r="Y35">
        <v>1235.3234039444549</v>
      </c>
      <c r="Z35">
        <v>1304.5493890236189</v>
      </c>
      <c r="AA35">
        <v>1384.9680228353102</v>
      </c>
      <c r="AB35">
        <v>1465.9695353779746</v>
      </c>
      <c r="AC35">
        <v>1404.1986549977344</v>
      </c>
      <c r="AD35">
        <v>1429.9370268218386</v>
      </c>
      <c r="AE35">
        <v>1488.814550841051</v>
      </c>
      <c r="AH35">
        <f t="shared" si="0"/>
        <v>5.1987922136586873</v>
      </c>
      <c r="AL35" s="2"/>
    </row>
    <row r="36" spans="1:38" x14ac:dyDescent="0.3">
      <c r="A36" t="s">
        <v>102</v>
      </c>
      <c r="B36" s="1" t="s">
        <v>103</v>
      </c>
      <c r="C36" t="s">
        <v>33</v>
      </c>
      <c r="D36">
        <v>1049.7066632233832</v>
      </c>
      <c r="E36">
        <v>1064.6460453090458</v>
      </c>
      <c r="F36">
        <v>1083.641609794664</v>
      </c>
      <c r="G36">
        <v>1105.2452040486437</v>
      </c>
      <c r="H36">
        <v>1124.9004767004162</v>
      </c>
      <c r="I36">
        <v>1137.624526910472</v>
      </c>
      <c r="J36">
        <v>1156.0503908100977</v>
      </c>
      <c r="K36">
        <v>1175.8716737250149</v>
      </c>
      <c r="L36">
        <v>1206.6105120183995</v>
      </c>
      <c r="M36">
        <v>1256.6936497385677</v>
      </c>
      <c r="N36">
        <v>1250.0588827887398</v>
      </c>
      <c r="O36">
        <v>1262.871906199279</v>
      </c>
      <c r="P36">
        <v>1281.3924846137422</v>
      </c>
      <c r="Q36">
        <v>1281.0198370903454</v>
      </c>
      <c r="R36">
        <v>1277.1816192093243</v>
      </c>
      <c r="S36">
        <v>1277.2656933838709</v>
      </c>
      <c r="T36">
        <v>1283.5670412593113</v>
      </c>
      <c r="U36">
        <v>1305.6680332218777</v>
      </c>
      <c r="V36">
        <v>1332.8600041506361</v>
      </c>
      <c r="W36">
        <v>1366.9665946015712</v>
      </c>
      <c r="X36">
        <v>1399.6753359199511</v>
      </c>
      <c r="Y36">
        <v>1420.0298719849623</v>
      </c>
      <c r="Z36">
        <v>1429.2346850177159</v>
      </c>
      <c r="AA36">
        <v>1445.2677713172143</v>
      </c>
      <c r="AB36">
        <v>1454.5640689780782</v>
      </c>
      <c r="AC36">
        <v>1419.328208336038</v>
      </c>
      <c r="AD36">
        <v>1428.5625853839706</v>
      </c>
      <c r="AE36">
        <v>1441.7949049337903</v>
      </c>
      <c r="AH36">
        <f t="shared" si="0"/>
        <v>1.1824100790988723</v>
      </c>
      <c r="AL36" s="2"/>
    </row>
    <row r="37" spans="1:38" x14ac:dyDescent="0.3">
      <c r="A37" t="s">
        <v>104</v>
      </c>
      <c r="B37" s="1" t="s">
        <v>105</v>
      </c>
      <c r="C37" t="s">
        <v>33</v>
      </c>
      <c r="D37">
        <v>32612.232026779377</v>
      </c>
      <c r="E37">
        <v>32795.665351002368</v>
      </c>
      <c r="F37">
        <v>33861.147097824782</v>
      </c>
      <c r="G37">
        <v>34889.671311301267</v>
      </c>
      <c r="H37">
        <v>36393.963692769939</v>
      </c>
      <c r="I37">
        <v>37923.486463022491</v>
      </c>
      <c r="J37">
        <v>38185.219671238141</v>
      </c>
      <c r="K37">
        <v>38912.209740228624</v>
      </c>
      <c r="L37">
        <v>39257.761896390068</v>
      </c>
      <c r="M37">
        <v>40093.80734043596</v>
      </c>
      <c r="N37">
        <v>40989.52682394749</v>
      </c>
      <c r="O37">
        <v>41646.414636866517</v>
      </c>
      <c r="P37">
        <v>42098.431219696911</v>
      </c>
      <c r="Q37">
        <v>42063.240117339999</v>
      </c>
      <c r="R37">
        <v>40368.931509462731</v>
      </c>
      <c r="S37">
        <v>41156.14518567187</v>
      </c>
      <c r="T37">
        <v>42037.518741485525</v>
      </c>
      <c r="U37">
        <v>42315.807389155772</v>
      </c>
      <c r="V37">
        <v>42846.284195795757</v>
      </c>
      <c r="W37">
        <v>43635.095481137076</v>
      </c>
      <c r="X37">
        <v>43596.135536554619</v>
      </c>
      <c r="Y37">
        <v>43536.913403246705</v>
      </c>
      <c r="Z37">
        <v>44325.488336746319</v>
      </c>
      <c r="AA37">
        <v>44917.483728232604</v>
      </c>
      <c r="AB37">
        <v>45113.066281780237</v>
      </c>
      <c r="AC37">
        <v>42366.487144597995</v>
      </c>
      <c r="AD37">
        <v>44234.542135573545</v>
      </c>
      <c r="AE37">
        <v>44928.588758557038</v>
      </c>
      <c r="AH37">
        <f t="shared" si="0"/>
        <v>1.1936863136035925</v>
      </c>
      <c r="AL37" s="2"/>
    </row>
    <row r="38" spans="1:38" x14ac:dyDescent="0.3">
      <c r="A38" t="s">
        <v>106</v>
      </c>
      <c r="B38" s="1" t="s">
        <v>107</v>
      </c>
      <c r="C38" t="s">
        <v>33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>
        <v>96176.301013816046</v>
      </c>
      <c r="P38">
        <v>96280.247348314297</v>
      </c>
      <c r="Q38">
        <v>93166.31597844974</v>
      </c>
      <c r="R38">
        <v>84026.972357461666</v>
      </c>
      <c r="S38">
        <v>79519.844654072542</v>
      </c>
      <c r="T38">
        <v>78393.736771083451</v>
      </c>
      <c r="U38">
        <v>77448.510286478704</v>
      </c>
      <c r="V38">
        <v>76617.544153128591</v>
      </c>
      <c r="W38">
        <v>76872.580698402176</v>
      </c>
      <c r="X38">
        <v>77295.845293443403</v>
      </c>
      <c r="Y38">
        <v>78077.433826079374</v>
      </c>
      <c r="Z38">
        <v>78883.281198968369</v>
      </c>
      <c r="AA38">
        <v>80597.709111753764</v>
      </c>
      <c r="AB38">
        <v>82170.592691806145</v>
      </c>
      <c r="AC38">
        <v>76609.769379755846</v>
      </c>
      <c r="AD38">
        <v>78731.147964394593</v>
      </c>
      <c r="AE38">
        <v>80946.966002517729</v>
      </c>
      <c r="AH38" t="str">
        <f t="shared" si="0"/>
        <v>NA</v>
      </c>
      <c r="AL38" s="2"/>
    </row>
    <row r="39" spans="1:38" x14ac:dyDescent="0.3">
      <c r="A39" t="s">
        <v>108</v>
      </c>
      <c r="B39" s="1" t="s">
        <v>109</v>
      </c>
      <c r="C39" t="s">
        <v>33</v>
      </c>
      <c r="D39">
        <v>478.34389484485098</v>
      </c>
      <c r="E39">
        <v>447.35063066455103</v>
      </c>
      <c r="F39">
        <v>458.13383528211324</v>
      </c>
      <c r="G39">
        <v>466.63410853946539</v>
      </c>
      <c r="H39">
        <v>470.168358919745</v>
      </c>
      <c r="I39">
        <v>445.80329298442138</v>
      </c>
      <c r="J39">
        <v>455.33838022521098</v>
      </c>
      <c r="K39">
        <v>461.49808564682252</v>
      </c>
      <c r="L39">
        <v>426.15958084043206</v>
      </c>
      <c r="M39">
        <v>442.01523605063932</v>
      </c>
      <c r="N39">
        <v>436.10026510064574</v>
      </c>
      <c r="O39">
        <v>447.80810650338083</v>
      </c>
      <c r="P39">
        <v>459.74606635342866</v>
      </c>
      <c r="Q39">
        <v>459.56245720012924</v>
      </c>
      <c r="R39">
        <v>488.38802503845807</v>
      </c>
      <c r="S39">
        <v>500.52927735503329</v>
      </c>
      <c r="T39">
        <v>513.59426675032307</v>
      </c>
      <c r="U39">
        <v>534.88356261135527</v>
      </c>
      <c r="V39">
        <v>338.16570577448522</v>
      </c>
      <c r="W39">
        <v>338.70038484305149</v>
      </c>
      <c r="X39">
        <v>351.87975476955432</v>
      </c>
      <c r="Y39">
        <v>362.21833116788395</v>
      </c>
      <c r="Z39">
        <v>371.60313103631319</v>
      </c>
      <c r="AA39">
        <v>378.26307780592617</v>
      </c>
      <c r="AB39">
        <v>381.41404635494791</v>
      </c>
      <c r="AC39">
        <v>375.21692407328078</v>
      </c>
      <c r="AD39">
        <v>370.98037302326009</v>
      </c>
      <c r="AE39">
        <v>364.69075338178459</v>
      </c>
      <c r="AH39">
        <f t="shared" si="0"/>
        <v>-0.99971072743909595</v>
      </c>
      <c r="AL39" s="2"/>
    </row>
    <row r="40" spans="1:38" x14ac:dyDescent="0.3">
      <c r="A40" t="s">
        <v>110</v>
      </c>
      <c r="B40" s="1" t="s">
        <v>111</v>
      </c>
      <c r="C40" t="s">
        <v>33</v>
      </c>
      <c r="D40">
        <v>399.99949199785084</v>
      </c>
      <c r="E40">
        <v>391.17301875114418</v>
      </c>
      <c r="F40">
        <v>399.38814275900711</v>
      </c>
      <c r="G40">
        <v>412.84313431088049</v>
      </c>
      <c r="H40">
        <v>396.01182519806213</v>
      </c>
      <c r="I40">
        <v>379.35154684564719</v>
      </c>
      <c r="J40">
        <v>409.70366868086694</v>
      </c>
      <c r="K40">
        <v>429.42697387854429</v>
      </c>
      <c r="L40">
        <v>473.46802168817948</v>
      </c>
      <c r="M40">
        <v>605.2393549388994</v>
      </c>
      <c r="N40">
        <v>682.35387338560065</v>
      </c>
      <c r="O40">
        <v>662.88550503464</v>
      </c>
      <c r="P40">
        <v>661.77236471304252</v>
      </c>
      <c r="Q40">
        <v>658.87446059964077</v>
      </c>
      <c r="R40">
        <v>662.92325283074899</v>
      </c>
      <c r="S40">
        <v>727.52494507333029</v>
      </c>
      <c r="T40">
        <v>703.12321506275794</v>
      </c>
      <c r="U40">
        <v>739.33836477417105</v>
      </c>
      <c r="V40">
        <v>754.1718132913204</v>
      </c>
      <c r="W40">
        <v>777.93568108027728</v>
      </c>
      <c r="X40">
        <v>774.41160312411864</v>
      </c>
      <c r="Y40">
        <v>703.46600710958273</v>
      </c>
      <c r="Z40">
        <v>660.12613375154569</v>
      </c>
      <c r="AA40">
        <v>653.34976149349643</v>
      </c>
      <c r="AB40">
        <v>652.70321597148768</v>
      </c>
      <c r="AC40">
        <v>622.27850628059264</v>
      </c>
      <c r="AD40">
        <v>595.66378659308498</v>
      </c>
      <c r="AE40">
        <v>590.30517622346542</v>
      </c>
      <c r="AH40">
        <f t="shared" si="0"/>
        <v>1.4518321518682598</v>
      </c>
      <c r="AL40" s="2"/>
    </row>
    <row r="41" spans="1:38" x14ac:dyDescent="0.3">
      <c r="A41" t="s">
        <v>112</v>
      </c>
      <c r="B41" s="1" t="s">
        <v>113</v>
      </c>
      <c r="C41" t="s">
        <v>33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H41" t="str">
        <f t="shared" si="0"/>
        <v>NA</v>
      </c>
      <c r="AL41" s="2"/>
    </row>
    <row r="42" spans="1:38" x14ac:dyDescent="0.3">
      <c r="A42" t="s">
        <v>114</v>
      </c>
      <c r="B42" s="1" t="s">
        <v>115</v>
      </c>
      <c r="C42" t="s">
        <v>33</v>
      </c>
      <c r="D42">
        <v>7277.5618935664934</v>
      </c>
      <c r="E42">
        <v>7666.9847843540902</v>
      </c>
      <c r="F42">
        <v>8125.955528436336</v>
      </c>
      <c r="G42">
        <v>8359.8749022559259</v>
      </c>
      <c r="H42">
        <v>8238.3009519881216</v>
      </c>
      <c r="I42">
        <v>8549.0790727750136</v>
      </c>
      <c r="J42">
        <v>8720.9101345220697</v>
      </c>
      <c r="K42">
        <v>8902.8379747702475</v>
      </c>
      <c r="L42">
        <v>9226.1504532746421</v>
      </c>
      <c r="M42">
        <v>9744.3224385180565</v>
      </c>
      <c r="N42">
        <v>10212.782499868563</v>
      </c>
      <c r="O42">
        <v>10725.05476352925</v>
      </c>
      <c r="P42">
        <v>11169.286780737117</v>
      </c>
      <c r="Q42">
        <v>11477.090093020739</v>
      </c>
      <c r="R42">
        <v>11232.823119001479</v>
      </c>
      <c r="S42">
        <v>11770.756580328389</v>
      </c>
      <c r="T42">
        <v>12380.015295874326</v>
      </c>
      <c r="U42">
        <v>13014.582491330448</v>
      </c>
      <c r="V42">
        <v>13316.052295478738</v>
      </c>
      <c r="W42">
        <v>13418.975768239885</v>
      </c>
      <c r="X42">
        <v>13567.357217433244</v>
      </c>
      <c r="Y42">
        <v>13642.018092698563</v>
      </c>
      <c r="Z42">
        <v>13612.924246061846</v>
      </c>
      <c r="AA42">
        <v>13904.115338403422</v>
      </c>
      <c r="AB42">
        <v>13758.74701432123</v>
      </c>
      <c r="AC42">
        <v>12738.724838045395</v>
      </c>
      <c r="AD42">
        <v>14093.090931653258</v>
      </c>
      <c r="AE42">
        <v>14355.606236597994</v>
      </c>
      <c r="AH42">
        <f t="shared" si="0"/>
        <v>2.5480120028799735</v>
      </c>
      <c r="AL42" s="2"/>
    </row>
    <row r="43" spans="1:38" x14ac:dyDescent="0.3">
      <c r="A43" t="s">
        <v>116</v>
      </c>
      <c r="B43" s="1" t="s">
        <v>117</v>
      </c>
      <c r="C43" t="s">
        <v>33</v>
      </c>
      <c r="D43">
        <v>1520.0294693662854</v>
      </c>
      <c r="E43">
        <v>1653.4337889025235</v>
      </c>
      <c r="F43">
        <v>1787.7669770586651</v>
      </c>
      <c r="G43">
        <v>1909.6223283877518</v>
      </c>
      <c r="H43">
        <v>2038.2064741064773</v>
      </c>
      <c r="I43">
        <v>2193.8968664278555</v>
      </c>
      <c r="J43">
        <v>2359.5723850891823</v>
      </c>
      <c r="K43">
        <v>2557.8916119735045</v>
      </c>
      <c r="L43">
        <v>2797.1766591591245</v>
      </c>
      <c r="M43">
        <v>3061.8331727011687</v>
      </c>
      <c r="N43">
        <v>3390.7161594939939</v>
      </c>
      <c r="O43">
        <v>3800.7657959255707</v>
      </c>
      <c r="P43">
        <v>4319.031397544285</v>
      </c>
      <c r="Q43">
        <v>4711.6434492023545</v>
      </c>
      <c r="R43">
        <v>5128.9041276874023</v>
      </c>
      <c r="S43">
        <v>5647.0687271522529</v>
      </c>
      <c r="T43">
        <v>6152.6968727361282</v>
      </c>
      <c r="U43">
        <v>6591.6624940649817</v>
      </c>
      <c r="V43">
        <v>7056.4230915083344</v>
      </c>
      <c r="W43">
        <v>7532.7853012606529</v>
      </c>
      <c r="X43">
        <v>8016.4455949116218</v>
      </c>
      <c r="Y43">
        <v>8516.5287423269765</v>
      </c>
      <c r="Z43">
        <v>9053.228724575978</v>
      </c>
      <c r="AA43">
        <v>9619.2094750620727</v>
      </c>
      <c r="AB43">
        <v>10155.510883075953</v>
      </c>
      <c r="AC43">
        <v>10358.169997241348</v>
      </c>
      <c r="AD43">
        <v>11223.255347702961</v>
      </c>
      <c r="AE43">
        <v>11560.242122128768</v>
      </c>
      <c r="AH43">
        <f t="shared" si="0"/>
        <v>7.8037544131452918</v>
      </c>
      <c r="AL43" s="2"/>
    </row>
    <row r="44" spans="1:38" x14ac:dyDescent="0.3">
      <c r="A44" t="s">
        <v>118</v>
      </c>
      <c r="B44" s="1" t="s">
        <v>119</v>
      </c>
      <c r="C44" t="s">
        <v>33</v>
      </c>
      <c r="D44">
        <v>4170.4576952960915</v>
      </c>
      <c r="E44">
        <v>4179.2262000778301</v>
      </c>
      <c r="F44">
        <v>4246.1566556548159</v>
      </c>
      <c r="G44">
        <v>4196.9203491881954</v>
      </c>
      <c r="H44">
        <v>3953.7299941416322</v>
      </c>
      <c r="I44">
        <v>4003.9851691959734</v>
      </c>
      <c r="J44">
        <v>4007.5280495314355</v>
      </c>
      <c r="K44">
        <v>4045.3067468977856</v>
      </c>
      <c r="L44">
        <v>4142.0077028105334</v>
      </c>
      <c r="M44">
        <v>4301.0350421909116</v>
      </c>
      <c r="N44">
        <v>4447.5668178444976</v>
      </c>
      <c r="O44">
        <v>4685.054585914675</v>
      </c>
      <c r="P44">
        <v>4939.1179569660981</v>
      </c>
      <c r="Q44">
        <v>5042.0611457849145</v>
      </c>
      <c r="R44">
        <v>5042.1449589291278</v>
      </c>
      <c r="S44">
        <v>5209.7324707570706</v>
      </c>
      <c r="T44">
        <v>5511.0998527823776</v>
      </c>
      <c r="U44">
        <v>5667.4987507284723</v>
      </c>
      <c r="V44">
        <v>5899.7679199032455</v>
      </c>
      <c r="W44">
        <v>6107.0830199851744</v>
      </c>
      <c r="X44">
        <v>6228.6516218608904</v>
      </c>
      <c r="Y44">
        <v>6291.0796982152697</v>
      </c>
      <c r="Z44">
        <v>6280.8910508698045</v>
      </c>
      <c r="AA44">
        <v>6320.9907475759219</v>
      </c>
      <c r="AB44">
        <v>6404.1087657511707</v>
      </c>
      <c r="AC44">
        <v>5852.98323540006</v>
      </c>
      <c r="AD44">
        <v>6423.8598953714245</v>
      </c>
      <c r="AE44">
        <v>6842.5325118340061</v>
      </c>
      <c r="AH44">
        <f t="shared" si="0"/>
        <v>1.8507404674235284</v>
      </c>
      <c r="AL44" s="2"/>
    </row>
    <row r="45" spans="1:38" x14ac:dyDescent="0.3">
      <c r="A45" t="s">
        <v>120</v>
      </c>
      <c r="B45" s="1" t="s">
        <v>121</v>
      </c>
      <c r="C45" t="s">
        <v>33</v>
      </c>
      <c r="D45">
        <v>1135.134901525397</v>
      </c>
      <c r="E45">
        <v>1096.6071837060013</v>
      </c>
      <c r="F45">
        <v>1116.5306175163928</v>
      </c>
      <c r="G45">
        <v>1106.90329864776</v>
      </c>
      <c r="H45">
        <v>1105.736687476357</v>
      </c>
      <c r="I45">
        <v>1202.1313823199628</v>
      </c>
      <c r="J45">
        <v>1205.5091812047644</v>
      </c>
      <c r="K45">
        <v>1208.5899281118902</v>
      </c>
      <c r="L45">
        <v>1210.0285244118541</v>
      </c>
      <c r="M45">
        <v>1209.8631139501213</v>
      </c>
      <c r="N45">
        <v>1219.9912323599456</v>
      </c>
      <c r="O45">
        <v>1227.4828965666636</v>
      </c>
      <c r="P45">
        <v>1212.751725023779</v>
      </c>
      <c r="Q45">
        <v>1235.6528186162693</v>
      </c>
      <c r="R45">
        <v>1249.8394034946753</v>
      </c>
      <c r="S45">
        <v>1270.3026543910109</v>
      </c>
      <c r="T45">
        <v>1295.2043907774664</v>
      </c>
      <c r="U45">
        <v>1307.973030713764</v>
      </c>
      <c r="V45">
        <v>1337.3977251054257</v>
      </c>
      <c r="W45">
        <v>1336.489701786742</v>
      </c>
      <c r="X45">
        <v>1322.9367745998829</v>
      </c>
      <c r="Y45">
        <v>1337.5278685979656</v>
      </c>
      <c r="Z45">
        <v>1360.4311853243116</v>
      </c>
      <c r="AA45">
        <v>1383.3778719468839</v>
      </c>
      <c r="AB45">
        <v>1381.6222379874962</v>
      </c>
      <c r="AC45">
        <v>1352.9554915275924</v>
      </c>
      <c r="AD45">
        <v>1355.5388112731164</v>
      </c>
      <c r="AE45">
        <v>1362.778020623841</v>
      </c>
      <c r="AH45">
        <f t="shared" si="0"/>
        <v>0.67923633838355979</v>
      </c>
      <c r="AL45" s="2"/>
    </row>
    <row r="46" spans="1:38" x14ac:dyDescent="0.3">
      <c r="A46" t="s">
        <v>122</v>
      </c>
      <c r="B46" s="1" t="s">
        <v>123</v>
      </c>
      <c r="C46" t="s">
        <v>33</v>
      </c>
      <c r="D46">
        <v>466.24575741029645</v>
      </c>
      <c r="E46">
        <v>452.76305763466911</v>
      </c>
      <c r="F46">
        <v>420.62413949496971</v>
      </c>
      <c r="G46">
        <v>404.11548312300363</v>
      </c>
      <c r="H46">
        <v>375.95052482592746</v>
      </c>
      <c r="I46">
        <v>339.96944928440888</v>
      </c>
      <c r="J46">
        <v>322.93003714483007</v>
      </c>
      <c r="K46">
        <v>322.4400519617659</v>
      </c>
      <c r="L46">
        <v>330.54898718377444</v>
      </c>
      <c r="M46">
        <v>342.4599973885405</v>
      </c>
      <c r="N46">
        <v>352.32122980940079</v>
      </c>
      <c r="O46">
        <v>359.42807168836663</v>
      </c>
      <c r="P46">
        <v>369.84075415409058</v>
      </c>
      <c r="Q46">
        <v>380.49491045693611</v>
      </c>
      <c r="R46">
        <v>379.05488104966219</v>
      </c>
      <c r="S46">
        <v>393.02745089116002</v>
      </c>
      <c r="T46">
        <v>406.20102874386856</v>
      </c>
      <c r="U46">
        <v>420.62936551699062</v>
      </c>
      <c r="V46">
        <v>441.01297826986553</v>
      </c>
      <c r="W46">
        <v>466.42494675623084</v>
      </c>
      <c r="X46">
        <v>482.0645686382378</v>
      </c>
      <c r="Y46">
        <v>476.81490465324543</v>
      </c>
      <c r="Z46">
        <v>477.84789121823763</v>
      </c>
      <c r="AA46">
        <v>489.38237463589661</v>
      </c>
      <c r="AB46">
        <v>494.81924776865026</v>
      </c>
      <c r="AC46">
        <v>487.43313317262533</v>
      </c>
      <c r="AD46">
        <v>501.23908845848467</v>
      </c>
      <c r="AE46">
        <v>528.78883450489752</v>
      </c>
      <c r="AH46">
        <f t="shared" si="0"/>
        <v>0.46729696871419257</v>
      </c>
      <c r="AL46" s="2"/>
    </row>
    <row r="47" spans="1:38" x14ac:dyDescent="0.3">
      <c r="A47" t="s">
        <v>124</v>
      </c>
      <c r="B47" s="1" t="s">
        <v>125</v>
      </c>
      <c r="C47" t="s">
        <v>33</v>
      </c>
      <c r="D47">
        <v>2098.0068021575994</v>
      </c>
      <c r="E47">
        <v>2130.3136480297376</v>
      </c>
      <c r="F47">
        <v>2073.970038806794</v>
      </c>
      <c r="G47">
        <v>2105.9760241182362</v>
      </c>
      <c r="H47">
        <v>1997.5332382682993</v>
      </c>
      <c r="I47">
        <v>2068.3898534706382</v>
      </c>
      <c r="J47">
        <v>2067.8201322786836</v>
      </c>
      <c r="K47">
        <v>2112.5400870766457</v>
      </c>
      <c r="L47">
        <v>2071.5780168364467</v>
      </c>
      <c r="M47">
        <v>2071.9893895073005</v>
      </c>
      <c r="N47">
        <v>2153.7671528120272</v>
      </c>
      <c r="O47">
        <v>2240.0899660002933</v>
      </c>
      <c r="P47">
        <v>2016.3153297440663</v>
      </c>
      <c r="Q47">
        <v>2073.6197469985887</v>
      </c>
      <c r="R47">
        <v>2223.7826197140471</v>
      </c>
      <c r="S47">
        <v>2345.1181425153641</v>
      </c>
      <c r="T47">
        <v>2320.3401197801772</v>
      </c>
      <c r="U47">
        <v>2481.3017928188569</v>
      </c>
      <c r="V47">
        <v>2405.0403913364689</v>
      </c>
      <c r="W47">
        <v>2504.2998181869939</v>
      </c>
      <c r="X47">
        <v>2455.3479100978352</v>
      </c>
      <c r="Y47">
        <v>2189.1690099132852</v>
      </c>
      <c r="Z47">
        <v>2017.8597514484795</v>
      </c>
      <c r="AA47">
        <v>1924.7243295855546</v>
      </c>
      <c r="AB47">
        <v>1901.0614529726329</v>
      </c>
      <c r="AC47">
        <v>1740.832341540523</v>
      </c>
      <c r="AD47">
        <v>1718.2357037331321</v>
      </c>
      <c r="AE47">
        <v>1704.2723518754365</v>
      </c>
      <c r="AH47">
        <f t="shared" si="0"/>
        <v>-0.76685751239843336</v>
      </c>
      <c r="AL47" s="2"/>
    </row>
    <row r="48" spans="1:38" x14ac:dyDescent="0.3">
      <c r="A48" t="s">
        <v>126</v>
      </c>
      <c r="B48" s="1" t="s">
        <v>127</v>
      </c>
      <c r="C48" t="s">
        <v>33</v>
      </c>
      <c r="D48">
        <v>6867.6376721881124</v>
      </c>
      <c r="E48">
        <v>6801.6554207236077</v>
      </c>
      <c r="F48">
        <v>7014.5300606540195</v>
      </c>
      <c r="G48">
        <v>7355.1536356415527</v>
      </c>
      <c r="H48">
        <v>7507.9653810202162</v>
      </c>
      <c r="I48">
        <v>7646.0273717760765</v>
      </c>
      <c r="J48">
        <v>7768.4389549840535</v>
      </c>
      <c r="K48">
        <v>7898.6331378940904</v>
      </c>
      <c r="L48">
        <v>8109.8248971948351</v>
      </c>
      <c r="M48">
        <v>8340.8298521455145</v>
      </c>
      <c r="N48">
        <v>8545.7472739558216</v>
      </c>
      <c r="O48">
        <v>9041.386795793509</v>
      </c>
      <c r="P48">
        <v>9647.8608947490193</v>
      </c>
      <c r="Q48">
        <v>9966.048440478904</v>
      </c>
      <c r="R48">
        <v>9746.490696017263</v>
      </c>
      <c r="S48">
        <v>10137.58217028953</v>
      </c>
      <c r="T48">
        <v>10453.522566168171</v>
      </c>
      <c r="U48">
        <v>10832.756761768549</v>
      </c>
      <c r="V48">
        <v>10975.69637264413</v>
      </c>
      <c r="W48">
        <v>11240.711586777174</v>
      </c>
      <c r="X48">
        <v>11529.955173019154</v>
      </c>
      <c r="Y48">
        <v>11893.323254212961</v>
      </c>
      <c r="Z48">
        <v>12267.162038650287</v>
      </c>
      <c r="AA48">
        <v>12470.957420810835</v>
      </c>
      <c r="AB48">
        <v>12662.422853571472</v>
      </c>
      <c r="AC48">
        <v>12030.048593401074</v>
      </c>
      <c r="AD48">
        <v>12906.997044731292</v>
      </c>
      <c r="AE48">
        <v>13424.46470137313</v>
      </c>
      <c r="AH48">
        <f t="shared" si="0"/>
        <v>2.513508266730291</v>
      </c>
      <c r="AL48" s="2"/>
    </row>
    <row r="49" spans="1:38" x14ac:dyDescent="0.3">
      <c r="A49" t="s">
        <v>128</v>
      </c>
      <c r="B49" s="1" t="s">
        <v>129</v>
      </c>
      <c r="C49" t="s">
        <v>33</v>
      </c>
      <c r="D49">
        <v>1711.110949179965</v>
      </c>
      <c r="E49">
        <v>1779.7420700066389</v>
      </c>
      <c r="F49">
        <v>1884.7219889470327</v>
      </c>
      <c r="G49">
        <v>1900.2133809689444</v>
      </c>
      <c r="H49">
        <v>1865.1230509760906</v>
      </c>
      <c r="I49">
        <v>1809.9208007809298</v>
      </c>
      <c r="J49">
        <v>1725.1559416398984</v>
      </c>
      <c r="K49">
        <v>1636.4469514385378</v>
      </c>
      <c r="L49">
        <v>1521.884842527325</v>
      </c>
      <c r="M49">
        <v>1534.0767171128616</v>
      </c>
      <c r="N49">
        <v>1514.6205582350478</v>
      </c>
      <c r="O49">
        <v>1523.2330581289032</v>
      </c>
      <c r="P49">
        <v>1507.0895960294833</v>
      </c>
      <c r="Q49">
        <v>1545.8800929539238</v>
      </c>
      <c r="R49">
        <v>1568.0211363192334</v>
      </c>
      <c r="S49">
        <v>1640.3150344164837</v>
      </c>
      <c r="T49">
        <v>1520.3423028286497</v>
      </c>
      <c r="U49">
        <v>1602.9109236509953</v>
      </c>
      <c r="V49">
        <v>1739.1551949501593</v>
      </c>
      <c r="W49">
        <v>1858.6153535294993</v>
      </c>
      <c r="X49">
        <v>1941.5818977211713</v>
      </c>
      <c r="Y49">
        <v>2027.8339758740365</v>
      </c>
      <c r="Z49">
        <v>2122.5026194855454</v>
      </c>
      <c r="AA49">
        <v>2168.9134421072822</v>
      </c>
      <c r="AB49">
        <v>2252.543316233036</v>
      </c>
      <c r="AC49">
        <v>2234.9094729700832</v>
      </c>
      <c r="AD49">
        <v>2333.3531222100578</v>
      </c>
      <c r="AE49">
        <v>2430.3069210478839</v>
      </c>
      <c r="AH49">
        <f t="shared" si="0"/>
        <v>1.3080166540101912</v>
      </c>
      <c r="AL49" s="2"/>
    </row>
    <row r="50" spans="1:38" x14ac:dyDescent="0.3">
      <c r="A50" t="s">
        <v>130</v>
      </c>
      <c r="B50" s="1" t="s">
        <v>131</v>
      </c>
      <c r="C50" t="s">
        <v>33</v>
      </c>
      <c r="D50">
        <v>7305.9397758080377</v>
      </c>
      <c r="E50">
        <v>7854.7450941472543</v>
      </c>
      <c r="F50">
        <v>8380.115880805839</v>
      </c>
      <c r="G50">
        <v>8573.6803547633863</v>
      </c>
      <c r="H50">
        <v>8537.103905762664</v>
      </c>
      <c r="I50">
        <v>8876.6157238421474</v>
      </c>
      <c r="J50">
        <v>9512.7084327828179</v>
      </c>
      <c r="K50">
        <v>10060.478553004208</v>
      </c>
      <c r="L50">
        <v>10620.804310501575</v>
      </c>
      <c r="M50">
        <v>11061.661376079892</v>
      </c>
      <c r="N50">
        <v>11523.297833621671</v>
      </c>
      <c r="O50">
        <v>12105.468778542172</v>
      </c>
      <c r="P50">
        <v>12722.603883155245</v>
      </c>
      <c r="Q50">
        <v>12980.08045072704</v>
      </c>
      <c r="R50">
        <v>12055.845590532324</v>
      </c>
      <c r="S50">
        <v>11933.018780098484</v>
      </c>
      <c r="T50">
        <v>11964.3584426587</v>
      </c>
      <c r="U50">
        <v>11720.172317084105</v>
      </c>
      <c r="V50">
        <v>11706.224959705782</v>
      </c>
      <c r="W50">
        <v>11703.978874740031</v>
      </c>
      <c r="X50">
        <v>12098.512025463075</v>
      </c>
      <c r="Y50">
        <v>12617.306042141463</v>
      </c>
      <c r="Z50">
        <v>13203.819243795429</v>
      </c>
      <c r="AA50">
        <v>13698.054796057142</v>
      </c>
      <c r="AB50">
        <v>14242.45566990344</v>
      </c>
      <c r="AC50">
        <v>13075.347173551238</v>
      </c>
      <c r="AD50">
        <v>15524.743391767357</v>
      </c>
      <c r="AE50">
        <v>16610.318091975063</v>
      </c>
      <c r="AH50">
        <f t="shared" si="0"/>
        <v>3.0887277879133146</v>
      </c>
      <c r="AL50" s="2"/>
    </row>
    <row r="51" spans="1:38" x14ac:dyDescent="0.3">
      <c r="A51" t="s">
        <v>132</v>
      </c>
      <c r="B51" s="1" t="s">
        <v>133</v>
      </c>
      <c r="C51" t="s">
        <v>33</v>
      </c>
      <c r="D51">
        <v>3348.4766336695207</v>
      </c>
      <c r="E51">
        <v>3598.9897807973821</v>
      </c>
      <c r="F51">
        <v>3687.3599297807223</v>
      </c>
      <c r="G51">
        <v>3681.3024503628035</v>
      </c>
      <c r="H51">
        <v>3896.2980935472378</v>
      </c>
      <c r="I51">
        <v>4113.4902753526967</v>
      </c>
      <c r="J51">
        <v>4231.8036620339835</v>
      </c>
      <c r="K51">
        <v>4280.2167334089027</v>
      </c>
      <c r="L51">
        <v>4430.9845390284891</v>
      </c>
      <c r="M51">
        <v>4675.7887718945585</v>
      </c>
      <c r="N51">
        <v>5189.9286040623201</v>
      </c>
      <c r="O51">
        <v>5808.6407345722764</v>
      </c>
      <c r="P51">
        <v>6225.3545178505983</v>
      </c>
      <c r="Q51">
        <v>6477.7779440530394</v>
      </c>
      <c r="R51">
        <v>6567.9601547034581</v>
      </c>
      <c r="S51">
        <v>6720.649915173286</v>
      </c>
      <c r="T51">
        <v>6903.9117054198723</v>
      </c>
      <c r="U51">
        <v>7105.4043292251035</v>
      </c>
      <c r="V51">
        <v>7292.7081341103494</v>
      </c>
      <c r="W51">
        <v>7362.3112592005182</v>
      </c>
      <c r="X51">
        <v>7683.7402536566924</v>
      </c>
      <c r="Y51">
        <v>7721.7035697802767</v>
      </c>
      <c r="Z51">
        <v>7865.3386087538465</v>
      </c>
      <c r="AA51">
        <v>8047.9410306461614</v>
      </c>
      <c r="AB51">
        <v>8043.0141972651072</v>
      </c>
      <c r="AC51">
        <v>7172.5179276765657</v>
      </c>
      <c r="AD51">
        <v>7291.0377716217008</v>
      </c>
      <c r="AE51">
        <v>7449.6828799407704</v>
      </c>
      <c r="AH51">
        <f t="shared" si="0"/>
        <v>3.006021091786315</v>
      </c>
      <c r="AL51" s="2"/>
    </row>
    <row r="52" spans="1:38" x14ac:dyDescent="0.3">
      <c r="A52" t="s">
        <v>134</v>
      </c>
      <c r="B52" s="1" t="s">
        <v>135</v>
      </c>
      <c r="C52" t="s">
        <v>33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>
        <v>21523.645846077965</v>
      </c>
      <c r="J52">
        <v>22171.06549320705</v>
      </c>
      <c r="K52">
        <v>22231.879256182416</v>
      </c>
      <c r="L52">
        <v>21840.891264791357</v>
      </c>
      <c r="M52">
        <v>21512.1115522523</v>
      </c>
      <c r="N52">
        <v>21112.321871701548</v>
      </c>
      <c r="O52">
        <v>20913.66298960206</v>
      </c>
      <c r="P52">
        <v>21011.15701213009</v>
      </c>
      <c r="Q52">
        <v>21202.430461030668</v>
      </c>
      <c r="R52">
        <v>20952.899795254256</v>
      </c>
      <c r="S52">
        <v>20706.437408421018</v>
      </c>
      <c r="T52">
        <v>20518.098578264133</v>
      </c>
      <c r="U52">
        <v>20277.511256622322</v>
      </c>
      <c r="V52">
        <v>19921.477179297508</v>
      </c>
      <c r="W52">
        <v>19529.528593090534</v>
      </c>
      <c r="X52">
        <v>19361.812963022618</v>
      </c>
      <c r="Y52">
        <v>18953.053855220252</v>
      </c>
      <c r="Z52">
        <v>18651.479696699258</v>
      </c>
      <c r="AA52">
        <v>18355.176579361494</v>
      </c>
      <c r="AB52">
        <v>17980.529794792903</v>
      </c>
      <c r="AC52">
        <v>14974.325478531251</v>
      </c>
      <c r="AD52">
        <v>15864.765246107605</v>
      </c>
      <c r="AE52">
        <v>17387.285399540953</v>
      </c>
      <c r="AH52" t="str">
        <f t="shared" si="0"/>
        <v>NA</v>
      </c>
      <c r="AL52" s="2"/>
    </row>
    <row r="53" spans="1:38" x14ac:dyDescent="0.3">
      <c r="A53" t="s">
        <v>136</v>
      </c>
      <c r="B53" s="1" t="s">
        <v>137</v>
      </c>
      <c r="C53" t="s">
        <v>33</v>
      </c>
      <c r="D53">
        <v>19452.57421875</v>
      </c>
      <c r="E53">
        <v>19384.025390625</v>
      </c>
      <c r="F53">
        <v>19615.90234375</v>
      </c>
      <c r="G53">
        <v>20560.9453125</v>
      </c>
      <c r="H53">
        <v>21348.34765625</v>
      </c>
      <c r="I53">
        <v>22382.49609375</v>
      </c>
      <c r="J53">
        <v>23017.740234375</v>
      </c>
      <c r="K53">
        <v>23602.634765625</v>
      </c>
      <c r="L53">
        <v>23929.205078125</v>
      </c>
      <c r="M53">
        <v>24798.029296875</v>
      </c>
      <c r="N53">
        <v>25629.697265625</v>
      </c>
      <c r="O53">
        <v>26393.794921875</v>
      </c>
      <c r="P53">
        <v>27155.021484375</v>
      </c>
      <c r="Q53">
        <v>27447.36328125</v>
      </c>
      <c r="R53">
        <v>26181.859375</v>
      </c>
      <c r="S53">
        <v>26019.87890625</v>
      </c>
      <c r="T53">
        <v>25466.220703125</v>
      </c>
      <c r="U53">
        <v>24216.63671875</v>
      </c>
      <c r="V53">
        <v>22682.3671875</v>
      </c>
      <c r="W53">
        <v>22513.87890625</v>
      </c>
      <c r="X53">
        <v>23408.44140625</v>
      </c>
      <c r="Y53">
        <v>24805.3125</v>
      </c>
      <c r="Z53">
        <v>26013.94921875</v>
      </c>
      <c r="AA53">
        <v>27161.5234375</v>
      </c>
      <c r="AB53">
        <v>28360.359375</v>
      </c>
      <c r="AC53">
        <v>27089.8828125</v>
      </c>
      <c r="AD53">
        <v>29498.708984375</v>
      </c>
      <c r="AE53">
        <v>30571.55078125</v>
      </c>
      <c r="AH53">
        <f t="shared" si="0"/>
        <v>1.688505878251112</v>
      </c>
      <c r="AL53" s="2"/>
    </row>
    <row r="54" spans="1:38" x14ac:dyDescent="0.3">
      <c r="A54" t="s">
        <v>138</v>
      </c>
      <c r="B54" s="1" t="s">
        <v>139</v>
      </c>
      <c r="C54" t="s">
        <v>33</v>
      </c>
      <c r="D54">
        <v>11219.15006524568</v>
      </c>
      <c r="E54">
        <v>11711.315412461056</v>
      </c>
      <c r="F54">
        <v>11663.17381616997</v>
      </c>
      <c r="G54">
        <v>11632.60289561609</v>
      </c>
      <c r="H54">
        <v>11805.671840776191</v>
      </c>
      <c r="I54">
        <v>12312.497769842013</v>
      </c>
      <c r="J54">
        <v>12734.922028654793</v>
      </c>
      <c r="K54">
        <v>12959.817481307809</v>
      </c>
      <c r="L54">
        <v>13428.099616179019</v>
      </c>
      <c r="M54">
        <v>14070.280458981822</v>
      </c>
      <c r="N54">
        <v>14978.413186915343</v>
      </c>
      <c r="O54">
        <v>15948.745289720424</v>
      </c>
      <c r="P54">
        <v>16739.178715812068</v>
      </c>
      <c r="Q54">
        <v>17046.88502689264</v>
      </c>
      <c r="R54">
        <v>16160.620556594216</v>
      </c>
      <c r="S54">
        <v>16505.953703437204</v>
      </c>
      <c r="T54">
        <v>16761.827312512301</v>
      </c>
      <c r="U54">
        <v>16606.992539150371</v>
      </c>
      <c r="V54">
        <v>16593.864230728468</v>
      </c>
      <c r="W54">
        <v>16951.379115044481</v>
      </c>
      <c r="X54">
        <v>17829.698322366781</v>
      </c>
      <c r="Y54">
        <v>18247.011729545648</v>
      </c>
      <c r="Z54">
        <v>19139.239884138271</v>
      </c>
      <c r="AA54">
        <v>19689.582703297896</v>
      </c>
      <c r="AB54">
        <v>20206.425638490462</v>
      </c>
      <c r="AC54">
        <v>19048.08685438288</v>
      </c>
      <c r="AD54">
        <v>20085.516069632475</v>
      </c>
      <c r="AE54">
        <v>20237.443112385416</v>
      </c>
      <c r="AH54">
        <f t="shared" si="0"/>
        <v>2.2089034629583892</v>
      </c>
      <c r="AL54" s="2"/>
    </row>
    <row r="55" spans="1:38" x14ac:dyDescent="0.3">
      <c r="A55" t="s">
        <v>140</v>
      </c>
      <c r="B55" s="1" t="s">
        <v>141</v>
      </c>
      <c r="C55" t="s">
        <v>33</v>
      </c>
      <c r="D55">
        <v>43310.250090105415</v>
      </c>
      <c r="E55">
        <v>44314.790498713737</v>
      </c>
      <c r="F55">
        <v>45570.079822124193</v>
      </c>
      <c r="G55">
        <v>46412.03897145603</v>
      </c>
      <c r="H55">
        <v>47622.4390779319</v>
      </c>
      <c r="I55">
        <v>49241.928004134526</v>
      </c>
      <c r="J55">
        <v>49469.688808827494</v>
      </c>
      <c r="K55">
        <v>49541.855550328553</v>
      </c>
      <c r="L55">
        <v>49599.996964075348</v>
      </c>
      <c r="M55">
        <v>50792.000953449962</v>
      </c>
      <c r="N55">
        <v>51835.832706244466</v>
      </c>
      <c r="O55">
        <v>53687.441547497765</v>
      </c>
      <c r="P55">
        <v>53935.870247963125</v>
      </c>
      <c r="Q55">
        <v>53345.357618297647</v>
      </c>
      <c r="R55">
        <v>50457.232489286289</v>
      </c>
      <c r="S55">
        <v>51173.466158711104</v>
      </c>
      <c r="T55">
        <v>51644.46350977751</v>
      </c>
      <c r="U55">
        <v>51567.040150251931</v>
      </c>
      <c r="V55">
        <v>51831.797930923189</v>
      </c>
      <c r="W55">
        <v>52404.763971338216</v>
      </c>
      <c r="X55">
        <v>53254.856370091584</v>
      </c>
      <c r="Y55">
        <v>54556.06895456944</v>
      </c>
      <c r="Z55">
        <v>55735.764901148505</v>
      </c>
      <c r="AA55">
        <v>56563.488472966921</v>
      </c>
      <c r="AB55">
        <v>57203.027794344722</v>
      </c>
      <c r="AC55">
        <v>55653.587445314988</v>
      </c>
      <c r="AD55">
        <v>59205.646688147513</v>
      </c>
      <c r="AE55">
        <v>60345.557317680294</v>
      </c>
      <c r="AH55">
        <f t="shared" si="0"/>
        <v>1.2360883056694583</v>
      </c>
      <c r="AL55" s="2"/>
    </row>
    <row r="56" spans="1:38" x14ac:dyDescent="0.3">
      <c r="A56" t="s">
        <v>142</v>
      </c>
      <c r="B56" s="1" t="s">
        <v>143</v>
      </c>
      <c r="C56" t="s">
        <v>33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>
        <v>2167.2024569242576</v>
      </c>
      <c r="W56">
        <v>2279.5775954141182</v>
      </c>
      <c r="X56">
        <v>2409.3119022428364</v>
      </c>
      <c r="Y56">
        <v>2538.0540193220195</v>
      </c>
      <c r="Z56">
        <v>2632.9133331691623</v>
      </c>
      <c r="AA56">
        <v>2714.3516484597453</v>
      </c>
      <c r="AB56">
        <v>2820.0628656554081</v>
      </c>
      <c r="AC56">
        <v>2814.8262208405731</v>
      </c>
      <c r="AD56">
        <v>2901.1371125122182</v>
      </c>
      <c r="AE56">
        <v>2950.9464746477879</v>
      </c>
      <c r="AH56" t="str">
        <f t="shared" si="0"/>
        <v>NA</v>
      </c>
      <c r="AL56" s="2"/>
    </row>
    <row r="57" spans="1:38" x14ac:dyDescent="0.3">
      <c r="A57" t="s">
        <v>144</v>
      </c>
      <c r="B57" s="1" t="s">
        <v>145</v>
      </c>
      <c r="C57" t="s">
        <v>33</v>
      </c>
      <c r="D57">
        <v>5498.5211803644333</v>
      </c>
      <c r="E57">
        <v>5672.0751819749757</v>
      </c>
      <c r="F57">
        <v>5803.1773126403787</v>
      </c>
      <c r="G57">
        <v>6034.6944092688327</v>
      </c>
      <c r="H57">
        <v>6077.2191600003598</v>
      </c>
      <c r="I57">
        <v>6251.4711770285221</v>
      </c>
      <c r="J57">
        <v>6265.1719532047</v>
      </c>
      <c r="K57">
        <v>6078.2717205110812</v>
      </c>
      <c r="L57">
        <v>6447.4314320050153</v>
      </c>
      <c r="M57">
        <v>6631.3331405617246</v>
      </c>
      <c r="N57">
        <v>6665.105970834139</v>
      </c>
      <c r="O57">
        <v>6968.7632482436229</v>
      </c>
      <c r="P57">
        <v>7407.9306362549278</v>
      </c>
      <c r="Q57">
        <v>7934.6460748424943</v>
      </c>
      <c r="R57">
        <v>7841.2731876738389</v>
      </c>
      <c r="S57">
        <v>7897.6903271276087</v>
      </c>
      <c r="T57">
        <v>7881.5252024328465</v>
      </c>
      <c r="U57">
        <v>7781.5327622705991</v>
      </c>
      <c r="V57">
        <v>7711.4460379708926</v>
      </c>
      <c r="W57">
        <v>8013.7530852429427</v>
      </c>
      <c r="X57">
        <v>7724.0424105737575</v>
      </c>
      <c r="Y57">
        <v>7929.8052835881608</v>
      </c>
      <c r="Z57">
        <v>7370.4331167080791</v>
      </c>
      <c r="AA57">
        <v>7586.6461410005468</v>
      </c>
      <c r="AB57">
        <v>7936.3048182003022</v>
      </c>
      <c r="AC57">
        <v>6566.4273567419523</v>
      </c>
      <c r="AD57">
        <v>6978.4704967822108</v>
      </c>
      <c r="AE57">
        <v>7339.6951070872447</v>
      </c>
      <c r="AH57">
        <f t="shared" si="0"/>
        <v>1.0754384638753889</v>
      </c>
      <c r="AL57" s="2"/>
    </row>
    <row r="58" spans="1:38" x14ac:dyDescent="0.3">
      <c r="A58" t="s">
        <v>146</v>
      </c>
      <c r="B58" s="1" t="s">
        <v>147</v>
      </c>
      <c r="C58" t="s">
        <v>33</v>
      </c>
      <c r="D58">
        <v>3318.6050897086166</v>
      </c>
      <c r="E58">
        <v>3454.4086983450229</v>
      </c>
      <c r="F58">
        <v>3697.7636545419109</v>
      </c>
      <c r="G58">
        <v>3883.1334663420967</v>
      </c>
      <c r="H58">
        <v>4050.5815249428274</v>
      </c>
      <c r="I58">
        <v>4175.1710239488775</v>
      </c>
      <c r="J58">
        <v>4214.5737610482374</v>
      </c>
      <c r="K58">
        <v>4340.8999356515023</v>
      </c>
      <c r="L58">
        <v>4222.5903372883377</v>
      </c>
      <c r="M58">
        <v>4272.0752323414108</v>
      </c>
      <c r="N58">
        <v>4612.8087487923367</v>
      </c>
      <c r="O58">
        <v>4971.2381660165574</v>
      </c>
      <c r="P58">
        <v>5272.864111656545</v>
      </c>
      <c r="Q58">
        <v>5373.0962533914553</v>
      </c>
      <c r="R58">
        <v>5353.598221580276</v>
      </c>
      <c r="S58">
        <v>5724.3072905966756</v>
      </c>
      <c r="T58">
        <v>5827.3832526433989</v>
      </c>
      <c r="U58">
        <v>5909.8633764013257</v>
      </c>
      <c r="V58">
        <v>6120.991164364701</v>
      </c>
      <c r="W58">
        <v>6472.8490858272535</v>
      </c>
      <c r="X58">
        <v>6838.9367459063442</v>
      </c>
      <c r="Y58">
        <v>7209.9902021443477</v>
      </c>
      <c r="Z58">
        <v>7461.6532689981623</v>
      </c>
      <c r="AA58">
        <v>7894.9551922374822</v>
      </c>
      <c r="AB58">
        <v>8205.1425916104654</v>
      </c>
      <c r="AC58">
        <v>7571.7828202561222</v>
      </c>
      <c r="AD58">
        <v>8410.6058434977167</v>
      </c>
      <c r="AE58">
        <v>8732.0807388478224</v>
      </c>
      <c r="AH58">
        <f t="shared" si="0"/>
        <v>3.6481516525041169</v>
      </c>
      <c r="AL58" s="2"/>
    </row>
    <row r="59" spans="1:38" x14ac:dyDescent="0.3">
      <c r="A59" t="s">
        <v>148</v>
      </c>
      <c r="B59" s="1" t="s">
        <v>149</v>
      </c>
      <c r="C59" t="s">
        <v>33</v>
      </c>
      <c r="D59">
        <v>4374.2687163592509</v>
      </c>
      <c r="E59">
        <v>4369.3210220470573</v>
      </c>
      <c r="F59">
        <v>4477.5709336496284</v>
      </c>
      <c r="G59">
        <v>4543.5364817125046</v>
      </c>
      <c r="H59">
        <v>4254.1512097019695</v>
      </c>
      <c r="I59">
        <v>4227.5525158527162</v>
      </c>
      <c r="J59">
        <v>4322.341881684878</v>
      </c>
      <c r="K59">
        <v>4421.9344173692161</v>
      </c>
      <c r="L59">
        <v>4463.5971835214114</v>
      </c>
      <c r="M59">
        <v>4746.807172764712</v>
      </c>
      <c r="N59">
        <v>4912.5274908359643</v>
      </c>
      <c r="O59">
        <v>5041.3337999673968</v>
      </c>
      <c r="P59">
        <v>5063.9844784737606</v>
      </c>
      <c r="Q59">
        <v>5294.8993134965167</v>
      </c>
      <c r="R59">
        <v>5236.0536835698958</v>
      </c>
      <c r="S59">
        <v>5331.3837741885764</v>
      </c>
      <c r="T59">
        <v>5657.2130164540422</v>
      </c>
      <c r="U59">
        <v>5881.3811672497786</v>
      </c>
      <c r="V59">
        <v>6078.4395629566907</v>
      </c>
      <c r="W59">
        <v>6215.8380921067655</v>
      </c>
      <c r="X59">
        <v>6130.5866755676834</v>
      </c>
      <c r="Y59">
        <v>5965.6432731805071</v>
      </c>
      <c r="Z59">
        <v>6012.8033174278653</v>
      </c>
      <c r="AA59">
        <v>5976.2453452655782</v>
      </c>
      <c r="AB59">
        <v>5863.910566299076</v>
      </c>
      <c r="AC59">
        <v>5331.9766109675747</v>
      </c>
      <c r="AD59">
        <v>5492.4892705154489</v>
      </c>
      <c r="AE59">
        <v>5590.5416341235923</v>
      </c>
      <c r="AH59">
        <f t="shared" si="0"/>
        <v>0.91279569196918153</v>
      </c>
      <c r="AL59" s="2"/>
    </row>
    <row r="60" spans="1:38" x14ac:dyDescent="0.3">
      <c r="A60" t="s">
        <v>150</v>
      </c>
      <c r="B60" s="1" t="s">
        <v>151</v>
      </c>
      <c r="C60" t="s">
        <v>33</v>
      </c>
      <c r="D60">
        <v>2122.8805417109147</v>
      </c>
      <c r="E60">
        <v>2181.2527723168641</v>
      </c>
      <c r="F60">
        <v>2251.9886344649763</v>
      </c>
      <c r="G60">
        <v>2327.1015407934065</v>
      </c>
      <c r="H60">
        <v>2416.3623261721555</v>
      </c>
      <c r="I60">
        <v>2517.5805056602549</v>
      </c>
      <c r="J60">
        <v>2553.5284090630967</v>
      </c>
      <c r="K60">
        <v>2560.4574088973814</v>
      </c>
      <c r="L60">
        <v>2587.6305080738011</v>
      </c>
      <c r="M60">
        <v>2639.3470686013975</v>
      </c>
      <c r="N60">
        <v>2703.2225834540009</v>
      </c>
      <c r="O60">
        <v>2832.5482001989262</v>
      </c>
      <c r="P60">
        <v>2974.6878714715403</v>
      </c>
      <c r="Q60">
        <v>3125.7475301406835</v>
      </c>
      <c r="R60">
        <v>3208.4522674267096</v>
      </c>
      <c r="S60">
        <v>3305.8832471273759</v>
      </c>
      <c r="T60">
        <v>3290.7618277518841</v>
      </c>
      <c r="U60">
        <v>3288.794354952141</v>
      </c>
      <c r="V60">
        <v>3283.7407199518289</v>
      </c>
      <c r="W60">
        <v>3301.2044434820104</v>
      </c>
      <c r="X60">
        <v>3370.3824471601538</v>
      </c>
      <c r="Y60">
        <v>3444.2682619203847</v>
      </c>
      <c r="Z60">
        <v>3517.5878945671461</v>
      </c>
      <c r="AA60">
        <v>3635.4205822818963</v>
      </c>
      <c r="AB60">
        <v>3769.0357699449978</v>
      </c>
      <c r="AC60">
        <v>3835.7842148978957</v>
      </c>
      <c r="AD60">
        <v>3896.842852812219</v>
      </c>
      <c r="AE60">
        <v>4088.8970453933616</v>
      </c>
      <c r="AH60">
        <f t="shared" si="0"/>
        <v>2.4574933733261695</v>
      </c>
      <c r="AL60" s="2"/>
    </row>
    <row r="61" spans="1:38" x14ac:dyDescent="0.3">
      <c r="A61" t="s">
        <v>152</v>
      </c>
      <c r="B61" s="1" t="s">
        <v>153</v>
      </c>
      <c r="C61" t="s">
        <v>33</v>
      </c>
      <c r="D61">
        <v>2780.0489767971371</v>
      </c>
      <c r="E61">
        <v>2778.9457178773114</v>
      </c>
      <c r="F61">
        <v>2843.8288306829309</v>
      </c>
      <c r="G61">
        <v>2898.2005060888032</v>
      </c>
      <c r="H61">
        <v>2941.4830515150834</v>
      </c>
      <c r="I61">
        <v>2957.3718668901843</v>
      </c>
      <c r="J61">
        <v>2968.6315416456687</v>
      </c>
      <c r="K61">
        <v>3003.6983362823826</v>
      </c>
      <c r="L61">
        <v>3042.8346504175483</v>
      </c>
      <c r="M61">
        <v>3065.4187879618189</v>
      </c>
      <c r="N61">
        <v>3146.4703768419972</v>
      </c>
      <c r="O61">
        <v>3284.7721289405072</v>
      </c>
      <c r="P61">
        <v>3340.0954123826778</v>
      </c>
      <c r="Q61">
        <v>3398.5774644451631</v>
      </c>
      <c r="R61">
        <v>3314.2985071300009</v>
      </c>
      <c r="S61">
        <v>3373.0438060079859</v>
      </c>
      <c r="T61">
        <v>3487.0311799523679</v>
      </c>
      <c r="U61">
        <v>3573.7859064012814</v>
      </c>
      <c r="V61">
        <v>3637.4227322401989</v>
      </c>
      <c r="W61">
        <v>3686.0955619178271</v>
      </c>
      <c r="X61">
        <v>3761.5136800027476</v>
      </c>
      <c r="Y61">
        <v>3845.0224928404282</v>
      </c>
      <c r="Z61">
        <v>3922.7768617049337</v>
      </c>
      <c r="AA61">
        <v>4011.5399787383631</v>
      </c>
      <c r="AB61">
        <v>4103.8245008028734</v>
      </c>
      <c r="AC61">
        <v>3775.5760904898862</v>
      </c>
      <c r="AD61">
        <v>4183.2592976916412</v>
      </c>
      <c r="AE61">
        <v>4276.9552446935322</v>
      </c>
      <c r="AH61">
        <f t="shared" si="0"/>
        <v>1.6082502274383792</v>
      </c>
      <c r="AL61" s="2"/>
    </row>
    <row r="62" spans="1:38" x14ac:dyDescent="0.3">
      <c r="A62" t="s">
        <v>154</v>
      </c>
      <c r="B62" s="1" t="s">
        <v>155</v>
      </c>
      <c r="C62" t="s">
        <v>33</v>
      </c>
      <c r="D62">
        <v>628.88025031921165</v>
      </c>
      <c r="E62">
        <v>1008.3283804871891</v>
      </c>
      <c r="F62">
        <v>2424.8285166255491</v>
      </c>
      <c r="G62">
        <v>2886.1530627578086</v>
      </c>
      <c r="H62">
        <v>3486.7989501591996</v>
      </c>
      <c r="I62">
        <v>3941.6635356146435</v>
      </c>
      <c r="J62">
        <v>6132.8473173449775</v>
      </c>
      <c r="K62">
        <v>6987.9426711846872</v>
      </c>
      <c r="L62">
        <v>7604.4807233639294</v>
      </c>
      <c r="M62">
        <v>10028.354383210592</v>
      </c>
      <c r="N62">
        <v>11188.448580781607</v>
      </c>
      <c r="O62">
        <v>11508.925962267105</v>
      </c>
      <c r="P62">
        <v>12660.905512569027</v>
      </c>
      <c r="Q62">
        <v>14222.548886667431</v>
      </c>
      <c r="R62">
        <v>13740.840017839057</v>
      </c>
      <c r="S62">
        <v>11933.311075429347</v>
      </c>
      <c r="T62">
        <v>12155.818780763822</v>
      </c>
      <c r="U62">
        <v>12625.295966147725</v>
      </c>
      <c r="V62">
        <v>11614.002947333634</v>
      </c>
      <c r="W62">
        <v>11200.810717031698</v>
      </c>
      <c r="X62">
        <v>9788.9838039852784</v>
      </c>
      <c r="Y62">
        <v>8594.4502194913366</v>
      </c>
      <c r="Z62">
        <v>7818.0535902583024</v>
      </c>
      <c r="AA62">
        <v>7079.6505264292755</v>
      </c>
      <c r="AB62">
        <v>6472.0708828274292</v>
      </c>
      <c r="AC62">
        <v>5995.9058446383087</v>
      </c>
      <c r="AD62">
        <v>5870.4013896114711</v>
      </c>
      <c r="AE62">
        <v>5945.201681139737</v>
      </c>
      <c r="AH62">
        <f t="shared" si="0"/>
        <v>8.6759093381620911</v>
      </c>
      <c r="AL62" s="2"/>
    </row>
    <row r="63" spans="1:38" x14ac:dyDescent="0.3">
      <c r="A63" t="s">
        <v>156</v>
      </c>
      <c r="B63" s="1" t="s">
        <v>157</v>
      </c>
      <c r="C63" t="s">
        <v>33</v>
      </c>
      <c r="D63">
        <v>757.35852404524758</v>
      </c>
      <c r="E63">
        <v>788.42812801240882</v>
      </c>
      <c r="F63">
        <v>840.57701716351187</v>
      </c>
      <c r="G63">
        <v>843.98883545526894</v>
      </c>
      <c r="H63">
        <v>832.02248963213367</v>
      </c>
      <c r="I63">
        <v>793.62056160416455</v>
      </c>
      <c r="J63">
        <v>838.8989131544165</v>
      </c>
      <c r="K63">
        <v>835.10999763977554</v>
      </c>
      <c r="L63">
        <v>780.46813918971429</v>
      </c>
      <c r="M63">
        <v>760.34878782939074</v>
      </c>
      <c r="N63">
        <v>761.03178242196248</v>
      </c>
      <c r="O63">
        <v>741.00074329744075</v>
      </c>
      <c r="P63">
        <v>739.7393434080044</v>
      </c>
      <c r="Q63">
        <v>649.69446230552865</v>
      </c>
      <c r="R63">
        <v>657.78645819783094</v>
      </c>
      <c r="S63">
        <v>658.58627153676457</v>
      </c>
      <c r="T63">
        <v>702.39663246969349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H63" t="str">
        <f t="shared" si="0"/>
        <v>NA</v>
      </c>
      <c r="AL63" s="2"/>
    </row>
    <row r="64" spans="1:38" x14ac:dyDescent="0.3">
      <c r="A64" t="s">
        <v>158</v>
      </c>
      <c r="B64" s="1" t="s">
        <v>159</v>
      </c>
      <c r="C64" t="s">
        <v>33</v>
      </c>
      <c r="D64">
        <v>7137.5307757640303</v>
      </c>
      <c r="E64">
        <v>7601.6690186736523</v>
      </c>
      <c r="F64">
        <v>8692.2964376144882</v>
      </c>
      <c r="G64">
        <v>9157.0648470685283</v>
      </c>
      <c r="H64">
        <v>9091.3331942877448</v>
      </c>
      <c r="I64">
        <v>9960.1390387745178</v>
      </c>
      <c r="J64">
        <v>10625.579268675221</v>
      </c>
      <c r="K64">
        <v>11417.167968772654</v>
      </c>
      <c r="L64">
        <v>12362.248284302395</v>
      </c>
      <c r="M64">
        <v>13282.545519845025</v>
      </c>
      <c r="N64">
        <v>14631.387325713673</v>
      </c>
      <c r="O64">
        <v>16155.207430039251</v>
      </c>
      <c r="P64">
        <v>17459.098314427825</v>
      </c>
      <c r="Q64">
        <v>16607.568064398471</v>
      </c>
      <c r="R64">
        <v>14205.394882976556</v>
      </c>
      <c r="S64">
        <v>14585.838660342904</v>
      </c>
      <c r="T64">
        <v>15692.788829336028</v>
      </c>
      <c r="U64">
        <v>16257.472204351581</v>
      </c>
      <c r="V64">
        <v>16553.383261103001</v>
      </c>
      <c r="W64">
        <v>17096.644577158222</v>
      </c>
      <c r="X64">
        <v>17402.037612807875</v>
      </c>
      <c r="Y64">
        <v>17945.944964174912</v>
      </c>
      <c r="Z64">
        <v>18962.41030064482</v>
      </c>
      <c r="AA64">
        <v>19611.610993628052</v>
      </c>
      <c r="AB64">
        <v>20269.575137378968</v>
      </c>
      <c r="AC64">
        <v>20118.105072998325</v>
      </c>
      <c r="AD64">
        <v>21707.240750804103</v>
      </c>
      <c r="AE64">
        <v>21143.291362651766</v>
      </c>
      <c r="AH64">
        <f t="shared" si="0"/>
        <v>4.1040385993609263</v>
      </c>
      <c r="AL64" s="2"/>
    </row>
    <row r="65" spans="1:38" x14ac:dyDescent="0.3">
      <c r="A65" t="s">
        <v>160</v>
      </c>
      <c r="B65" s="1" t="s">
        <v>161</v>
      </c>
      <c r="C65" t="s">
        <v>33</v>
      </c>
      <c r="D65">
        <v>2264.4024685456234</v>
      </c>
      <c r="E65">
        <v>2303.0643220397201</v>
      </c>
      <c r="F65">
        <v>2333.4271606856814</v>
      </c>
      <c r="G65">
        <v>2359.8339305481204</v>
      </c>
      <c r="H65">
        <v>2397.9505382840293</v>
      </c>
      <c r="I65">
        <v>2411.4449241498392</v>
      </c>
      <c r="J65">
        <v>2411.373859114683</v>
      </c>
      <c r="K65">
        <v>2494.4475396383464</v>
      </c>
      <c r="L65">
        <v>2571.6880711289286</v>
      </c>
      <c r="M65">
        <v>2647.4632434427349</v>
      </c>
      <c r="N65">
        <v>2790.2507884621773</v>
      </c>
      <c r="O65">
        <v>2941.3968419108755</v>
      </c>
      <c r="P65">
        <v>3054.082429197766</v>
      </c>
      <c r="Q65">
        <v>3062.6149912493524</v>
      </c>
      <c r="R65">
        <v>3096.2960692465163</v>
      </c>
      <c r="S65">
        <v>3199.0535421557584</v>
      </c>
      <c r="T65">
        <v>3254.8133725964462</v>
      </c>
      <c r="U65">
        <v>3411.7193609008123</v>
      </c>
      <c r="V65">
        <v>3521.6693370060966</v>
      </c>
      <c r="W65">
        <v>3530.3609038952095</v>
      </c>
      <c r="X65">
        <v>3583.3112903134265</v>
      </c>
      <c r="Y65">
        <v>3594.1670669325517</v>
      </c>
      <c r="Z65">
        <v>3638.7687820201336</v>
      </c>
      <c r="AA65">
        <v>3696.3598501209235</v>
      </c>
      <c r="AB65">
        <v>3766.0629993515768</v>
      </c>
      <c r="AC65">
        <v>3672.6533460768674</v>
      </c>
      <c r="AD65">
        <v>4025.4108517836198</v>
      </c>
      <c r="AE65">
        <v>4012.9544951872222</v>
      </c>
      <c r="AH65">
        <f t="shared" si="0"/>
        <v>2.1419387388291744</v>
      </c>
      <c r="AL65" s="2"/>
    </row>
    <row r="66" spans="1:38" x14ac:dyDescent="0.3">
      <c r="A66" t="s">
        <v>162</v>
      </c>
      <c r="B66" s="1" t="s">
        <v>163</v>
      </c>
      <c r="C66" t="s">
        <v>33</v>
      </c>
      <c r="D66">
        <v>241.78178893542369</v>
      </c>
      <c r="E66">
        <v>263.25588213905729</v>
      </c>
      <c r="F66">
        <v>263.14439936334571</v>
      </c>
      <c r="G66">
        <v>246.38728040210461</v>
      </c>
      <c r="H66">
        <v>251.37772404294319</v>
      </c>
      <c r="I66">
        <v>258.87052502592911</v>
      </c>
      <c r="J66">
        <v>272.28855085896652</v>
      </c>
      <c r="K66">
        <v>268.42360180710097</v>
      </c>
      <c r="L66">
        <v>255.10026584819983</v>
      </c>
      <c r="M66">
        <v>281.52032533697349</v>
      </c>
      <c r="N66">
        <v>305.9793549514049</v>
      </c>
      <c r="O66">
        <v>329.6792787690552</v>
      </c>
      <c r="P66">
        <v>357.1179314732621</v>
      </c>
      <c r="Q66">
        <v>384.57265836536641</v>
      </c>
      <c r="R66">
        <v>406.85692793866099</v>
      </c>
      <c r="S66">
        <v>445.18233558589543</v>
      </c>
      <c r="T66">
        <v>481.03785725284564</v>
      </c>
      <c r="U66">
        <v>508.06570967288383</v>
      </c>
      <c r="V66">
        <v>546.59283503696474</v>
      </c>
      <c r="W66">
        <v>586.57361350370741</v>
      </c>
      <c r="X66">
        <v>630.3126193830542</v>
      </c>
      <c r="Y66">
        <v>671.29057585957582</v>
      </c>
      <c r="Z66">
        <v>715.74873474893172</v>
      </c>
      <c r="AA66">
        <v>744.36752029009119</v>
      </c>
      <c r="AB66">
        <v>785.48497203794989</v>
      </c>
      <c r="AC66">
        <v>811.25553990926767</v>
      </c>
      <c r="AD66">
        <v>834.99129137040927</v>
      </c>
      <c r="AE66">
        <v>857.31548556594203</v>
      </c>
      <c r="AH66">
        <f t="shared" si="0"/>
        <v>4.799664402473014</v>
      </c>
      <c r="AL66" s="2"/>
    </row>
    <row r="67" spans="1:38" x14ac:dyDescent="0.3">
      <c r="A67" t="s">
        <v>164</v>
      </c>
      <c r="B67" s="1" t="s">
        <v>165</v>
      </c>
      <c r="C67" t="s">
        <v>33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>
        <v>44678.669584726238</v>
      </c>
      <c r="R67">
        <v>42740.253942479532</v>
      </c>
      <c r="S67">
        <v>42510.346652924942</v>
      </c>
      <c r="T67">
        <v>44108.580354904094</v>
      </c>
      <c r="U67">
        <v>47197.674090031644</v>
      </c>
      <c r="V67">
        <v>49933.350321801663</v>
      </c>
      <c r="W67">
        <v>52595.025427996261</v>
      </c>
      <c r="X67">
        <v>52726.68737820784</v>
      </c>
      <c r="Y67">
        <v>52762.428721532517</v>
      </c>
      <c r="Z67">
        <v>53822.90990002334</v>
      </c>
      <c r="AA67">
        <v>54506.387071933015</v>
      </c>
      <c r="AB67">
        <v>56099.968963999498</v>
      </c>
      <c r="AC67">
        <v>54248.549798530323</v>
      </c>
      <c r="AD67">
        <v>56856.685386292418</v>
      </c>
      <c r="AE67">
        <v>59699.200826559623</v>
      </c>
      <c r="AH67" t="str">
        <f t="shared" ref="AH67:AH130" si="1">IFERROR(((AE67/D67)^(1/27)-1)*100,"NA")</f>
        <v>NA</v>
      </c>
      <c r="AL67" s="2"/>
    </row>
    <row r="68" spans="1:38" x14ac:dyDescent="0.3">
      <c r="A68" t="s">
        <v>166</v>
      </c>
      <c r="B68" s="1" t="s">
        <v>167</v>
      </c>
      <c r="C68" t="s">
        <v>33</v>
      </c>
      <c r="D68">
        <v>3786.0785527735911</v>
      </c>
      <c r="E68">
        <v>3946.4305159359883</v>
      </c>
      <c r="F68">
        <v>3821.0692007688558</v>
      </c>
      <c r="G68">
        <v>3826.1600959764742</v>
      </c>
      <c r="H68">
        <v>4114.9606720958045</v>
      </c>
      <c r="I68">
        <v>4000.854362795958</v>
      </c>
      <c r="J68">
        <v>4038.1331893918823</v>
      </c>
      <c r="K68">
        <v>4125.3263955804232</v>
      </c>
      <c r="L68">
        <v>4125.7296703618349</v>
      </c>
      <c r="M68">
        <v>4302.3476130020754</v>
      </c>
      <c r="N68">
        <v>4291.7155099865013</v>
      </c>
      <c r="O68">
        <v>4330.8272357575925</v>
      </c>
      <c r="P68">
        <v>4257.5145339816527</v>
      </c>
      <c r="Q68">
        <v>4272.306647250467</v>
      </c>
      <c r="R68">
        <v>4191.3472802116066</v>
      </c>
      <c r="S68">
        <v>4297.138966300854</v>
      </c>
      <c r="T68">
        <v>4397.9030496144978</v>
      </c>
      <c r="U68">
        <v>4446.7342062098951</v>
      </c>
      <c r="V68">
        <v>4645.0465225623057</v>
      </c>
      <c r="W68">
        <v>4894.0436378916165</v>
      </c>
      <c r="X68">
        <v>5105.1896119189214</v>
      </c>
      <c r="Y68">
        <v>5223.3760386938056</v>
      </c>
      <c r="Z68">
        <v>5499.1222548519499</v>
      </c>
      <c r="AA68">
        <v>5708.9109706248819</v>
      </c>
      <c r="AB68">
        <v>5679.0518808925826</v>
      </c>
      <c r="AC68">
        <v>4701.3315082286599</v>
      </c>
      <c r="AD68">
        <v>4451.6026437462897</v>
      </c>
      <c r="AE68">
        <v>5313.0284706459288</v>
      </c>
      <c r="AH68">
        <f t="shared" si="1"/>
        <v>1.2628376839420197</v>
      </c>
      <c r="AL68" s="2"/>
    </row>
    <row r="69" spans="1:38" x14ac:dyDescent="0.3">
      <c r="A69" t="s">
        <v>168</v>
      </c>
      <c r="B69" s="1" t="s">
        <v>169</v>
      </c>
      <c r="C69" t="s">
        <v>33</v>
      </c>
      <c r="D69">
        <v>29912.897973915817</v>
      </c>
      <c r="E69">
        <v>30908.300309087947</v>
      </c>
      <c r="F69">
        <v>32768.378128261895</v>
      </c>
      <c r="G69">
        <v>34464.9908824671</v>
      </c>
      <c r="H69">
        <v>35891.005638395298</v>
      </c>
      <c r="I69">
        <v>37884.391320915303</v>
      </c>
      <c r="J69">
        <v>38784.772552258364</v>
      </c>
      <c r="K69">
        <v>39351.390395618313</v>
      </c>
      <c r="L69">
        <v>40044.30485558293</v>
      </c>
      <c r="M69">
        <v>41522.175084122362</v>
      </c>
      <c r="N69">
        <v>42530.619677187671</v>
      </c>
      <c r="O69">
        <v>44074.030920414116</v>
      </c>
      <c r="P69">
        <v>46212.640974121554</v>
      </c>
      <c r="Q69">
        <v>46358.620411297088</v>
      </c>
      <c r="R69">
        <v>42412.097849418307</v>
      </c>
      <c r="S69">
        <v>43563.572197436515</v>
      </c>
      <c r="T69">
        <v>44466.817697857237</v>
      </c>
      <c r="U69">
        <v>43637.248671365691</v>
      </c>
      <c r="V69">
        <v>43044.997120147404</v>
      </c>
      <c r="W69">
        <v>42710.921288972932</v>
      </c>
      <c r="X69">
        <v>42801.908116728511</v>
      </c>
      <c r="Y69">
        <v>43878.966727357867</v>
      </c>
      <c r="Z69">
        <v>45173.629406719876</v>
      </c>
      <c r="AA69">
        <v>45627.919894723287</v>
      </c>
      <c r="AB69">
        <v>46135.881424263142</v>
      </c>
      <c r="AC69">
        <v>44984.73445054872</v>
      </c>
      <c r="AD69">
        <v>46315.062853505711</v>
      </c>
      <c r="AE69">
        <v>46929.143520139696</v>
      </c>
      <c r="AH69">
        <f t="shared" si="1"/>
        <v>1.6819478219038508</v>
      </c>
      <c r="AL69" s="2"/>
    </row>
    <row r="70" spans="1:38" x14ac:dyDescent="0.3">
      <c r="A70" t="s">
        <v>170</v>
      </c>
      <c r="B70" s="1" t="s">
        <v>171</v>
      </c>
      <c r="C70" t="s">
        <v>33</v>
      </c>
      <c r="D70">
        <v>29745.128728949428</v>
      </c>
      <c r="E70">
        <v>30057.965553334529</v>
      </c>
      <c r="F70">
        <v>30650.744476525339</v>
      </c>
      <c r="G70">
        <v>31633.147749576889</v>
      </c>
      <c r="H70">
        <v>32546.934052218705</v>
      </c>
      <c r="I70">
        <v>33592.466830057296</v>
      </c>
      <c r="J70">
        <v>34009.862397736768</v>
      </c>
      <c r="K70">
        <v>34146.306268324319</v>
      </c>
      <c r="L70">
        <v>34183.663344453824</v>
      </c>
      <c r="M70">
        <v>34893.52981199741</v>
      </c>
      <c r="N70">
        <v>35208.855797142962</v>
      </c>
      <c r="O70">
        <v>35821.871994777262</v>
      </c>
      <c r="P70">
        <v>36464.95926821576</v>
      </c>
      <c r="Q70">
        <v>36354.65866410805</v>
      </c>
      <c r="R70">
        <v>35129.362236085843</v>
      </c>
      <c r="S70">
        <v>35638.121560345076</v>
      </c>
      <c r="T70">
        <v>36244.187162591843</v>
      </c>
      <c r="U70">
        <v>36182.151127581645</v>
      </c>
      <c r="V70">
        <v>36203.190869377409</v>
      </c>
      <c r="W70">
        <v>36378.618661469911</v>
      </c>
      <c r="X70">
        <v>36652.922305217762</v>
      </c>
      <c r="Y70">
        <v>36956.795800329317</v>
      </c>
      <c r="Z70">
        <v>37694.083302730432</v>
      </c>
      <c r="AA70">
        <v>38259.697769847415</v>
      </c>
      <c r="AB70">
        <v>38832.024201430271</v>
      </c>
      <c r="AC70">
        <v>35806.617891777249</v>
      </c>
      <c r="AD70">
        <v>38002.194236225216</v>
      </c>
      <c r="AE70">
        <v>38816.479279564308</v>
      </c>
      <c r="AH70">
        <f t="shared" si="1"/>
        <v>0.99072551633061501</v>
      </c>
      <c r="AL70" s="2"/>
    </row>
    <row r="71" spans="1:38" x14ac:dyDescent="0.3">
      <c r="A71" t="s">
        <v>172</v>
      </c>
      <c r="B71" s="1" t="s">
        <v>173</v>
      </c>
      <c r="C71" t="s">
        <v>33</v>
      </c>
      <c r="D71">
        <v>22034.32785841214</v>
      </c>
      <c r="E71">
        <v>21538.691456921992</v>
      </c>
      <c r="F71">
        <v>21166.024901385917</v>
      </c>
      <c r="G71">
        <v>21191.940940432993</v>
      </c>
      <c r="H71">
        <v>21247.9869529184</v>
      </c>
      <c r="I71">
        <v>21578.599854580814</v>
      </c>
      <c r="J71">
        <v>21157.334901846003</v>
      </c>
      <c r="K71">
        <v>20999.773832466079</v>
      </c>
      <c r="L71">
        <v>21117.523442338275</v>
      </c>
      <c r="M71">
        <v>21006.619668141619</v>
      </c>
      <c r="N71">
        <v>20766.378705095703</v>
      </c>
      <c r="O71">
        <v>20658.377816376797</v>
      </c>
      <c r="P71">
        <v>20763.088509008983</v>
      </c>
      <c r="Q71">
        <v>20588.346501545937</v>
      </c>
      <c r="R71">
        <v>19596.683440241341</v>
      </c>
      <c r="S71">
        <v>19012.053333878172</v>
      </c>
      <c r="T71">
        <v>18353.402480020319</v>
      </c>
      <c r="U71">
        <v>18099.479902374864</v>
      </c>
      <c r="V71">
        <v>18080.307961760722</v>
      </c>
      <c r="W71">
        <v>18072.113791890457</v>
      </c>
      <c r="X71">
        <v>18252.514203209405</v>
      </c>
      <c r="Y71">
        <v>18573.384925396822</v>
      </c>
      <c r="Z71">
        <v>19260.619532475466</v>
      </c>
      <c r="AA71">
        <v>19471.390106180821</v>
      </c>
      <c r="AB71">
        <v>19856.259059083797</v>
      </c>
      <c r="AC71">
        <v>18321.527964577148</v>
      </c>
      <c r="AD71">
        <v>18575.386202645004</v>
      </c>
      <c r="AE71">
        <v>19262.613199834108</v>
      </c>
      <c r="AH71">
        <f t="shared" si="1"/>
        <v>-0.49667180903275598</v>
      </c>
      <c r="AL71" s="2"/>
    </row>
    <row r="72" spans="1:38" x14ac:dyDescent="0.3">
      <c r="A72" t="s">
        <v>174</v>
      </c>
      <c r="B72" s="1" t="s">
        <v>175</v>
      </c>
      <c r="C72" t="s">
        <v>33</v>
      </c>
      <c r="D72">
        <v>8524.4191555286543</v>
      </c>
      <c r="E72">
        <v>8613.5805683240069</v>
      </c>
      <c r="F72">
        <v>8882.4028787803727</v>
      </c>
      <c r="G72">
        <v>8963.2049790741312</v>
      </c>
      <c r="H72">
        <v>7959.0647957815863</v>
      </c>
      <c r="I72">
        <v>7611.8357141772694</v>
      </c>
      <c r="J72">
        <v>7574.1149145289783</v>
      </c>
      <c r="K72">
        <v>7357.5667135780504</v>
      </c>
      <c r="L72">
        <v>7322.6061409263666</v>
      </c>
      <c r="M72">
        <v>7171.6835328618299</v>
      </c>
      <c r="N72">
        <v>7155.3654847929984</v>
      </c>
      <c r="O72">
        <v>6750.050848792338</v>
      </c>
      <c r="P72">
        <v>6937.485134421072</v>
      </c>
      <c r="Q72">
        <v>6497.4812389749468</v>
      </c>
      <c r="R72">
        <v>6295.1990548562935</v>
      </c>
      <c r="S72">
        <v>6514.7311629822016</v>
      </c>
      <c r="T72">
        <v>6735.0828791982231</v>
      </c>
      <c r="U72">
        <v>6840.9486124671375</v>
      </c>
      <c r="V72">
        <v>6977.7702694523905</v>
      </c>
      <c r="W72">
        <v>7039.6821485931196</v>
      </c>
      <c r="X72">
        <v>7090.4546339494236</v>
      </c>
      <c r="Y72">
        <v>7038.5772782308331</v>
      </c>
      <c r="Z72">
        <v>6893.3843268889987</v>
      </c>
      <c r="AA72">
        <v>6786.8903499123762</v>
      </c>
      <c r="AB72">
        <v>6893.3231054808757</v>
      </c>
      <c r="AC72">
        <v>6619.6886029597717</v>
      </c>
      <c r="AD72">
        <v>6581.227409577722</v>
      </c>
      <c r="AE72">
        <v>6637.0661064348324</v>
      </c>
      <c r="AH72">
        <f t="shared" si="1"/>
        <v>-0.92262439367560845</v>
      </c>
      <c r="AL72" s="2"/>
    </row>
    <row r="73" spans="1:38" x14ac:dyDescent="0.3">
      <c r="A73" t="s">
        <v>176</v>
      </c>
      <c r="B73" s="1" t="s">
        <v>177</v>
      </c>
      <c r="C73" t="s">
        <v>33</v>
      </c>
      <c r="D73">
        <v>620.49308159635086</v>
      </c>
      <c r="E73">
        <v>615.98390259146402</v>
      </c>
      <c r="F73">
        <v>627.55634635296246</v>
      </c>
      <c r="G73">
        <v>630.75294538312005</v>
      </c>
      <c r="H73">
        <v>651.749189451799</v>
      </c>
      <c r="I73">
        <v>667.96537924315237</v>
      </c>
      <c r="J73">
        <v>686.68768580701476</v>
      </c>
      <c r="K73">
        <v>645.70173209251607</v>
      </c>
      <c r="L73">
        <v>670.66094090449371</v>
      </c>
      <c r="M73">
        <v>697.47245238969469</v>
      </c>
      <c r="N73">
        <v>661.32191108006032</v>
      </c>
      <c r="O73">
        <v>638.07694648383324</v>
      </c>
      <c r="P73">
        <v>637.53100066653337</v>
      </c>
      <c r="Q73">
        <v>656.70390947912733</v>
      </c>
      <c r="R73">
        <v>679.00361243612861</v>
      </c>
      <c r="S73">
        <v>697.16256778871173</v>
      </c>
      <c r="T73">
        <v>620.9482229492229</v>
      </c>
      <c r="U73">
        <v>633.58272085886961</v>
      </c>
      <c r="V73">
        <v>632.19715161990803</v>
      </c>
      <c r="W73">
        <v>605.03369401100269</v>
      </c>
      <c r="X73">
        <v>611.67121911225001</v>
      </c>
      <c r="Y73">
        <v>606.31620025226437</v>
      </c>
      <c r="Z73">
        <v>618.48076871350179</v>
      </c>
      <c r="AA73">
        <v>645.93818715158841</v>
      </c>
      <c r="AB73">
        <v>668.63512259133995</v>
      </c>
      <c r="AC73">
        <v>655.57611920642273</v>
      </c>
      <c r="AD73">
        <v>666.47108682030398</v>
      </c>
      <c r="AE73">
        <v>678.3617221290998</v>
      </c>
      <c r="AH73">
        <f t="shared" si="1"/>
        <v>0.3307911112786055</v>
      </c>
      <c r="AL73" s="2"/>
    </row>
    <row r="74" spans="1:38" x14ac:dyDescent="0.3">
      <c r="A74" t="s">
        <v>178</v>
      </c>
      <c r="B74" s="1" t="s">
        <v>179</v>
      </c>
      <c r="C74" t="s">
        <v>33</v>
      </c>
      <c r="D74">
        <v>1033.0040609249816</v>
      </c>
      <c r="E74">
        <v>1191.1590158212698</v>
      </c>
      <c r="F74">
        <v>1359.3676339738111</v>
      </c>
      <c r="G74">
        <v>1436.6853259858349</v>
      </c>
      <c r="H74">
        <v>1508.6285889774676</v>
      </c>
      <c r="I74">
        <v>1566.5312638957241</v>
      </c>
      <c r="J74">
        <v>1667.4771450064925</v>
      </c>
      <c r="K74">
        <v>1774.6035982631693</v>
      </c>
      <c r="L74">
        <v>1984.2076076424444</v>
      </c>
      <c r="M74">
        <v>2112.2222263185668</v>
      </c>
      <c r="N74">
        <v>2329.5277394765581</v>
      </c>
      <c r="O74">
        <v>2563.4956460728804</v>
      </c>
      <c r="P74">
        <v>2901.0504018125862</v>
      </c>
      <c r="Q74">
        <v>2980.2543769201025</v>
      </c>
      <c r="R74">
        <v>2897.0772578523556</v>
      </c>
      <c r="S74">
        <v>3100.1647485973999</v>
      </c>
      <c r="T74">
        <v>3355.1636427478115</v>
      </c>
      <c r="U74">
        <v>3596.8528480829173</v>
      </c>
      <c r="V74">
        <v>3738.1328195596857</v>
      </c>
      <c r="W74">
        <v>3902.331071285048</v>
      </c>
      <c r="X74">
        <v>4014.1116513764096</v>
      </c>
      <c r="Y74">
        <v>4128.309196216569</v>
      </c>
      <c r="Z74">
        <v>4327.6474895902275</v>
      </c>
      <c r="AA74">
        <v>4539.0035148365432</v>
      </c>
      <c r="AB74">
        <v>4773.334964395408</v>
      </c>
      <c r="AC74">
        <v>4447.58193544814</v>
      </c>
      <c r="AD74">
        <v>4931.732444913996</v>
      </c>
      <c r="AE74">
        <v>5438.6041773996903</v>
      </c>
      <c r="AH74">
        <f t="shared" si="1"/>
        <v>6.345221127582712</v>
      </c>
      <c r="AL74" s="2"/>
    </row>
    <row r="75" spans="1:38" x14ac:dyDescent="0.3">
      <c r="A75" t="s">
        <v>180</v>
      </c>
      <c r="B75" s="1" t="s">
        <v>181</v>
      </c>
      <c r="C75" t="s">
        <v>33</v>
      </c>
      <c r="D75">
        <v>31628.159813094277</v>
      </c>
      <c r="E75">
        <v>31790.866859605634</v>
      </c>
      <c r="F75">
        <v>32313.297070434404</v>
      </c>
      <c r="G75">
        <v>32959.073569141772</v>
      </c>
      <c r="H75">
        <v>33559.399373749926</v>
      </c>
      <c r="I75">
        <v>34490.075768861861</v>
      </c>
      <c r="J75">
        <v>35011.068457502981</v>
      </c>
      <c r="K75">
        <v>34883.058073544526</v>
      </c>
      <c r="L75">
        <v>34619.664067018464</v>
      </c>
      <c r="M75">
        <v>35034.080608618147</v>
      </c>
      <c r="N75">
        <v>35310.470466927203</v>
      </c>
      <c r="O75">
        <v>36699.446781035993</v>
      </c>
      <c r="P75">
        <v>37842.357791356335</v>
      </c>
      <c r="Q75">
        <v>38278.31300825307</v>
      </c>
      <c r="R75">
        <v>36190.392886069814</v>
      </c>
      <c r="S75">
        <v>37760.913628399619</v>
      </c>
      <c r="T75">
        <v>39977.341709535707</v>
      </c>
      <c r="U75">
        <v>40069.353956074236</v>
      </c>
      <c r="V75">
        <v>40135.015831983706</v>
      </c>
      <c r="W75">
        <v>40851.161730485488</v>
      </c>
      <c r="X75">
        <v>41103.256436376832</v>
      </c>
      <c r="Y75">
        <v>41682.032243351117</v>
      </c>
      <c r="Z75">
        <v>42639.554408728553</v>
      </c>
      <c r="AA75">
        <v>42928.741236801245</v>
      </c>
      <c r="AB75">
        <v>43292.683891738467</v>
      </c>
      <c r="AC75">
        <v>41601.973156351647</v>
      </c>
      <c r="AD75">
        <v>42900.022518738311</v>
      </c>
      <c r="AE75">
        <v>43361.177120432076</v>
      </c>
      <c r="AH75">
        <f t="shared" si="1"/>
        <v>1.1754347476069515</v>
      </c>
      <c r="AL75" s="2"/>
    </row>
    <row r="76" spans="1:38" x14ac:dyDescent="0.3">
      <c r="A76" t="s">
        <v>182</v>
      </c>
      <c r="B76" s="1" t="s">
        <v>183</v>
      </c>
      <c r="C76" t="s">
        <v>33</v>
      </c>
      <c r="D76">
        <v>931.18043373344699</v>
      </c>
      <c r="E76">
        <v>951.92279512861489</v>
      </c>
      <c r="F76">
        <v>968.84603825583827</v>
      </c>
      <c r="G76">
        <v>990.17502703124558</v>
      </c>
      <c r="H76">
        <v>1008.8336842958839</v>
      </c>
      <c r="I76">
        <v>1020.162204038562</v>
      </c>
      <c r="J76">
        <v>1033.1213593993273</v>
      </c>
      <c r="K76">
        <v>1050.3440190922108</v>
      </c>
      <c r="L76">
        <v>1075.3718783574304</v>
      </c>
      <c r="M76">
        <v>1105.6856359915998</v>
      </c>
      <c r="N76">
        <v>1140.1864269914124</v>
      </c>
      <c r="O76">
        <v>1181.5589805019888</v>
      </c>
      <c r="P76">
        <v>1201.2108175251028</v>
      </c>
      <c r="Q76">
        <v>1277.8229957710828</v>
      </c>
      <c r="R76">
        <v>1306.1851463791277</v>
      </c>
      <c r="S76">
        <v>1374.9850271376379</v>
      </c>
      <c r="T76">
        <v>1530.3593347411334</v>
      </c>
      <c r="U76">
        <v>1631.9193624958787</v>
      </c>
      <c r="V76">
        <v>1708.8280049617731</v>
      </c>
      <c r="W76">
        <v>1715.823962998689</v>
      </c>
      <c r="X76">
        <v>1711.2713172225497</v>
      </c>
      <c r="Y76">
        <v>1728.0970771419438</v>
      </c>
      <c r="Z76">
        <v>1827.2739182669916</v>
      </c>
      <c r="AA76">
        <v>1899.8084222169414</v>
      </c>
      <c r="AB76">
        <v>1981.6137501718911</v>
      </c>
      <c r="AC76">
        <v>1951.064468787338</v>
      </c>
      <c r="AD76">
        <v>2009.3590834156855</v>
      </c>
      <c r="AE76">
        <v>2031.4283392647574</v>
      </c>
      <c r="AH76">
        <f t="shared" si="1"/>
        <v>2.9311797648163607</v>
      </c>
      <c r="AL76" s="2"/>
    </row>
    <row r="77" spans="1:38" x14ac:dyDescent="0.3">
      <c r="A77" t="s">
        <v>184</v>
      </c>
      <c r="B77" s="1" t="s">
        <v>185</v>
      </c>
      <c r="C77" t="s">
        <v>33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H77" t="str">
        <f t="shared" si="1"/>
        <v>NA</v>
      </c>
      <c r="AL77" s="2"/>
    </row>
    <row r="78" spans="1:38" x14ac:dyDescent="0.3">
      <c r="A78" t="s">
        <v>186</v>
      </c>
      <c r="B78" s="1" t="s">
        <v>187</v>
      </c>
      <c r="C78" t="s">
        <v>33</v>
      </c>
      <c r="D78">
        <v>15946.755124636547</v>
      </c>
      <c r="E78">
        <v>16331.046867662117</v>
      </c>
      <c r="F78">
        <v>16979.402828084392</v>
      </c>
      <c r="G78">
        <v>17543.237763165846</v>
      </c>
      <c r="H78">
        <v>18013.063226014645</v>
      </c>
      <c r="I78">
        <v>18642.721266698947</v>
      </c>
      <c r="J78">
        <v>19312.303070634702</v>
      </c>
      <c r="K78">
        <v>19996.465104214691</v>
      </c>
      <c r="L78">
        <v>21104.74143642194</v>
      </c>
      <c r="M78">
        <v>22118.059988224893</v>
      </c>
      <c r="N78">
        <v>22185.424546108959</v>
      </c>
      <c r="O78">
        <v>23369.150433320181</v>
      </c>
      <c r="P78">
        <v>24072.791818869089</v>
      </c>
      <c r="Q78">
        <v>23928.501962501679</v>
      </c>
      <c r="R78">
        <v>22839.24853864175</v>
      </c>
      <c r="S78">
        <v>21560.353353365761</v>
      </c>
      <c r="T78">
        <v>19400.807732658261</v>
      </c>
      <c r="U78">
        <v>18123.671097191414</v>
      </c>
      <c r="V78">
        <v>17796.257668072198</v>
      </c>
      <c r="W78">
        <v>18000.418463906502</v>
      </c>
      <c r="X78">
        <v>18083.877905654695</v>
      </c>
      <c r="Y78">
        <v>18070.78073228537</v>
      </c>
      <c r="Z78">
        <v>18304.307677064462</v>
      </c>
      <c r="AA78">
        <v>18647.49572075146</v>
      </c>
      <c r="AB78">
        <v>19017.996429543775</v>
      </c>
      <c r="AC78">
        <v>17283.245723491338</v>
      </c>
      <c r="AD78">
        <v>18960.890581287546</v>
      </c>
      <c r="AE78">
        <v>20287.725303076728</v>
      </c>
      <c r="AH78">
        <f t="shared" si="1"/>
        <v>0.89569372918330004</v>
      </c>
      <c r="AL78" s="2"/>
    </row>
    <row r="79" spans="1:38" x14ac:dyDescent="0.3">
      <c r="A79" t="s">
        <v>188</v>
      </c>
      <c r="B79" s="1" t="s">
        <v>189</v>
      </c>
      <c r="C79" t="s">
        <v>33</v>
      </c>
      <c r="D79">
        <v>26416.51650283677</v>
      </c>
      <c r="E79">
        <v>26772.613814176158</v>
      </c>
      <c r="F79">
        <v>27117.373294579575</v>
      </c>
      <c r="G79">
        <v>29169.046581268412</v>
      </c>
      <c r="H79">
        <v>29570.962336936536</v>
      </c>
      <c r="I79">
        <v>31614.618831915799</v>
      </c>
      <c r="J79">
        <v>31930.595425850035</v>
      </c>
      <c r="K79">
        <v>31475.821251354744</v>
      </c>
      <c r="L79">
        <v>32779.881511210595</v>
      </c>
      <c r="M79">
        <v>34953.949365187262</v>
      </c>
      <c r="N79">
        <v>36681.805589061871</v>
      </c>
      <c r="O79">
        <v>38829.536413942005</v>
      </c>
      <c r="P79">
        <v>39896.875364093961</v>
      </c>
      <c r="Q79">
        <v>42527.666846976572</v>
      </c>
      <c r="R79">
        <v>42899.744198586246</v>
      </c>
      <c r="S79">
        <v>43198.032364358041</v>
      </c>
      <c r="T79">
        <v>42994.87908747395</v>
      </c>
      <c r="U79">
        <v>43655.700466425464</v>
      </c>
      <c r="V79">
        <v>43338.383924690716</v>
      </c>
      <c r="W79">
        <v>45545.142941491664</v>
      </c>
      <c r="X79">
        <v>44536.35497053773</v>
      </c>
      <c r="Y79">
        <v>46561.783143401328</v>
      </c>
      <c r="Z79">
        <v>46597.945247034848</v>
      </c>
      <c r="AA79">
        <v>47012.986035027599</v>
      </c>
      <c r="AB79">
        <v>48170.789695551197</v>
      </c>
      <c r="AC79">
        <v>48139.582595762797</v>
      </c>
      <c r="AD79">
        <v>48514.527128631082</v>
      </c>
      <c r="AE79" t="s">
        <v>34</v>
      </c>
      <c r="AH79" t="str">
        <f t="shared" si="1"/>
        <v>NA</v>
      </c>
      <c r="AL79" s="2"/>
    </row>
    <row r="80" spans="1:38" x14ac:dyDescent="0.3">
      <c r="A80" t="s">
        <v>190</v>
      </c>
      <c r="B80" s="1" t="s">
        <v>191</v>
      </c>
      <c r="C80" t="s">
        <v>33</v>
      </c>
      <c r="D80">
        <v>5017.0165911424347</v>
      </c>
      <c r="E80">
        <v>5200.4031778661938</v>
      </c>
      <c r="F80">
        <v>5424.8550739658231</v>
      </c>
      <c r="G80">
        <v>6025.303005914443</v>
      </c>
      <c r="H80">
        <v>6403.3861248791372</v>
      </c>
      <c r="I80">
        <v>6678.3074133664122</v>
      </c>
      <c r="J80">
        <v>6512.5923642028929</v>
      </c>
      <c r="K80">
        <v>6718.0900147321117</v>
      </c>
      <c r="L80">
        <v>7319.4655252755301</v>
      </c>
      <c r="M80">
        <v>7220.547711760235</v>
      </c>
      <c r="N80">
        <v>8124.4129071031284</v>
      </c>
      <c r="O80">
        <v>7748.2332057475978</v>
      </c>
      <c r="P80">
        <v>8168.4510301993405</v>
      </c>
      <c r="Q80">
        <v>8190.6475636619389</v>
      </c>
      <c r="R80">
        <v>7596.902706091787</v>
      </c>
      <c r="S80">
        <v>7505.7132305654741</v>
      </c>
      <c r="T80">
        <v>7505.2651860980486</v>
      </c>
      <c r="U80">
        <v>7354.9736026279779</v>
      </c>
      <c r="V80">
        <v>7461.4007362633938</v>
      </c>
      <c r="W80">
        <v>7939.5020664738086</v>
      </c>
      <c r="X80">
        <v>8379.6218474315629</v>
      </c>
      <c r="Y80">
        <v>8621.5389014814409</v>
      </c>
      <c r="Z80">
        <v>8933.1082492588575</v>
      </c>
      <c r="AA80">
        <v>9252.5540342755394</v>
      </c>
      <c r="AB80">
        <v>9247.898381990819</v>
      </c>
      <c r="AC80">
        <v>7915.1387141221512</v>
      </c>
      <c r="AD80">
        <v>8223.1866980407758</v>
      </c>
      <c r="AE80">
        <v>8688.5478018577378</v>
      </c>
      <c r="AH80">
        <f t="shared" si="1"/>
        <v>2.0547903136987955</v>
      </c>
      <c r="AL80" s="2"/>
    </row>
    <row r="81" spans="1:38" x14ac:dyDescent="0.3">
      <c r="A81" t="s">
        <v>192</v>
      </c>
      <c r="B81" s="1" t="s">
        <v>193</v>
      </c>
      <c r="C81" t="s">
        <v>33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>
        <v>29531.101309658425</v>
      </c>
      <c r="L81">
        <v>29640.893246253494</v>
      </c>
      <c r="M81">
        <v>31446.572054801749</v>
      </c>
      <c r="N81">
        <v>32507.517490731083</v>
      </c>
      <c r="O81">
        <v>31273.57730152853</v>
      </c>
      <c r="P81">
        <v>31481.052468464972</v>
      </c>
      <c r="Q81">
        <v>32128.972226161819</v>
      </c>
      <c r="R81">
        <v>32298.347651081083</v>
      </c>
      <c r="S81">
        <v>32964.245358240987</v>
      </c>
      <c r="T81">
        <v>32841.672288299</v>
      </c>
      <c r="U81">
        <v>33392.685376619876</v>
      </c>
      <c r="V81">
        <v>33822.593018120708</v>
      </c>
      <c r="W81">
        <v>34328.563199048811</v>
      </c>
      <c r="X81">
        <v>34522.377930443276</v>
      </c>
      <c r="Y81">
        <v>34509.6006451551</v>
      </c>
      <c r="Z81">
        <v>34763.081137294983</v>
      </c>
      <c r="AA81">
        <v>34472.959397870029</v>
      </c>
      <c r="AB81">
        <v>35378.95576730858</v>
      </c>
      <c r="AC81">
        <v>31236.079747971322</v>
      </c>
      <c r="AD81">
        <v>31325.396295976901</v>
      </c>
      <c r="AE81" t="s">
        <v>34</v>
      </c>
      <c r="AH81" t="str">
        <f t="shared" si="1"/>
        <v>NA</v>
      </c>
      <c r="AL81" s="2"/>
    </row>
    <row r="82" spans="1:38" x14ac:dyDescent="0.3">
      <c r="A82" t="s">
        <v>194</v>
      </c>
      <c r="B82" s="1" t="s">
        <v>195</v>
      </c>
      <c r="C82" t="s">
        <v>33</v>
      </c>
      <c r="D82">
        <v>2965.8859792360372</v>
      </c>
      <c r="E82">
        <v>2981.1150409980105</v>
      </c>
      <c r="F82">
        <v>3038.7075509350361</v>
      </c>
      <c r="G82">
        <v>3115.9713228267656</v>
      </c>
      <c r="H82">
        <v>3160.0733381216364</v>
      </c>
      <c r="I82">
        <v>3195.3880782809201</v>
      </c>
      <c r="J82">
        <v>3192.3023518880568</v>
      </c>
      <c r="K82">
        <v>3239.5608294193394</v>
      </c>
      <c r="L82">
        <v>3250.8347557157163</v>
      </c>
      <c r="M82">
        <v>3282.3146403598348</v>
      </c>
      <c r="N82">
        <v>3320.157564868076</v>
      </c>
      <c r="O82">
        <v>3427.6715502670536</v>
      </c>
      <c r="P82">
        <v>3573.5926329909676</v>
      </c>
      <c r="Q82">
        <v>3620.8233696472371</v>
      </c>
      <c r="R82">
        <v>3570.2958420246496</v>
      </c>
      <c r="S82">
        <v>3606.4234821490968</v>
      </c>
      <c r="T82">
        <v>3688.8589359130483</v>
      </c>
      <c r="U82">
        <v>3731.668471792143</v>
      </c>
      <c r="V82">
        <v>3802.1463515149271</v>
      </c>
      <c r="W82">
        <v>3903.0519663491636</v>
      </c>
      <c r="X82">
        <v>3994.6290851901904</v>
      </c>
      <c r="Y82">
        <v>4034.1505771744928</v>
      </c>
      <c r="Z82">
        <v>4091.2599830726567</v>
      </c>
      <c r="AA82">
        <v>4163.4763022138923</v>
      </c>
      <c r="AB82">
        <v>4263.7084436643527</v>
      </c>
      <c r="AC82">
        <v>4124.1435385354544</v>
      </c>
      <c r="AD82">
        <v>4388.7240720734408</v>
      </c>
      <c r="AE82">
        <v>4504.1292228391494</v>
      </c>
      <c r="AH82">
        <f t="shared" si="1"/>
        <v>1.5595123921651854</v>
      </c>
      <c r="AL82" s="2"/>
    </row>
    <row r="83" spans="1:38" x14ac:dyDescent="0.3">
      <c r="A83" t="s">
        <v>196</v>
      </c>
      <c r="B83" s="1" t="s">
        <v>197</v>
      </c>
      <c r="C83" t="s">
        <v>33</v>
      </c>
      <c r="D83">
        <v>571.98275138881627</v>
      </c>
      <c r="E83">
        <v>580.80006586005743</v>
      </c>
      <c r="F83">
        <v>598.45611016299324</v>
      </c>
      <c r="G83">
        <v>608.64402281882724</v>
      </c>
      <c r="H83">
        <v>617.75139815388991</v>
      </c>
      <c r="I83">
        <v>620.90445636734239</v>
      </c>
      <c r="J83">
        <v>635.33182596270763</v>
      </c>
      <c r="K83">
        <v>657.85675705614187</v>
      </c>
      <c r="L83">
        <v>651.30525696914322</v>
      </c>
      <c r="M83">
        <v>652.50421995144916</v>
      </c>
      <c r="N83">
        <v>658.89438130816723</v>
      </c>
      <c r="O83">
        <v>653.11937809740084</v>
      </c>
      <c r="P83">
        <v>681.82817584011821</v>
      </c>
      <c r="Q83">
        <v>693.11410539101746</v>
      </c>
      <c r="R83">
        <v>668.81474253672286</v>
      </c>
      <c r="S83">
        <v>683.98458475278994</v>
      </c>
      <c r="T83">
        <v>704.73732373255416</v>
      </c>
      <c r="U83">
        <v>728.36843727410667</v>
      </c>
      <c r="V83">
        <v>738.84059284120667</v>
      </c>
      <c r="W83">
        <v>747.36341094393094</v>
      </c>
      <c r="X83">
        <v>756.42558981093612</v>
      </c>
      <c r="Y83">
        <v>816.84707928848695</v>
      </c>
      <c r="Z83">
        <v>878.1792715118562</v>
      </c>
      <c r="AA83">
        <v>910.65264192259849</v>
      </c>
      <c r="AB83">
        <v>937.70313148819446</v>
      </c>
      <c r="AC83">
        <v>959.43197301356042</v>
      </c>
      <c r="AD83">
        <v>972.77902984770947</v>
      </c>
      <c r="AE83">
        <v>994.43699718622736</v>
      </c>
      <c r="AH83">
        <f t="shared" si="1"/>
        <v>2.0695233549808956</v>
      </c>
      <c r="AL83" s="2"/>
    </row>
    <row r="84" spans="1:38" x14ac:dyDescent="0.3">
      <c r="A84" t="s">
        <v>198</v>
      </c>
      <c r="B84" s="1" t="s">
        <v>199</v>
      </c>
      <c r="C84" t="s">
        <v>33</v>
      </c>
      <c r="D84">
        <v>682.22751976951326</v>
      </c>
      <c r="E84">
        <v>745.75816582990456</v>
      </c>
      <c r="F84">
        <v>779.3110763554331</v>
      </c>
      <c r="G84">
        <v>550.0900426664416</v>
      </c>
      <c r="H84">
        <v>545.41205229744571</v>
      </c>
      <c r="I84">
        <v>563.62431052817578</v>
      </c>
      <c r="J84">
        <v>563.80860419336864</v>
      </c>
      <c r="K84">
        <v>545.96681739093424</v>
      </c>
      <c r="L84">
        <v>536.56101731518845</v>
      </c>
      <c r="M84">
        <v>538.54252276937245</v>
      </c>
      <c r="N84">
        <v>548.20736576952925</v>
      </c>
      <c r="O84">
        <v>547.2321748019956</v>
      </c>
      <c r="P84">
        <v>550.87649584118014</v>
      </c>
      <c r="Q84">
        <v>554.06349291753952</v>
      </c>
      <c r="R84">
        <v>558.1920849390126</v>
      </c>
      <c r="S84">
        <v>569.01762607180558</v>
      </c>
      <c r="T84">
        <v>599.04520176056019</v>
      </c>
      <c r="U84">
        <v>573.21719848653709</v>
      </c>
      <c r="V84">
        <v>576.17988741655665</v>
      </c>
      <c r="W84">
        <v>566.53557863006074</v>
      </c>
      <c r="X84">
        <v>585.95701258798783</v>
      </c>
      <c r="Y84">
        <v>607.16633682483337</v>
      </c>
      <c r="Z84">
        <v>627.61693723180724</v>
      </c>
      <c r="AA84">
        <v>620.77103039727876</v>
      </c>
      <c r="AB84">
        <v>633.72574593802722</v>
      </c>
      <c r="AC84">
        <v>604.5951480987718</v>
      </c>
      <c r="AD84">
        <v>613.89811201500379</v>
      </c>
      <c r="AE84">
        <v>621.85222608005984</v>
      </c>
      <c r="AH84">
        <f t="shared" si="1"/>
        <v>-0.34259964667383569</v>
      </c>
      <c r="AL84" s="2"/>
    </row>
    <row r="85" spans="1:38" x14ac:dyDescent="0.3">
      <c r="A85" t="s">
        <v>200</v>
      </c>
      <c r="B85" s="1" t="s">
        <v>201</v>
      </c>
      <c r="C85" t="s">
        <v>33</v>
      </c>
      <c r="D85">
        <v>3342.1720746468841</v>
      </c>
      <c r="E85">
        <v>3599.0482411742382</v>
      </c>
      <c r="F85">
        <v>3813.1947051042284</v>
      </c>
      <c r="G85">
        <v>3741.8045747868136</v>
      </c>
      <c r="H85">
        <v>3845.8740847408312</v>
      </c>
      <c r="I85">
        <v>3788.2414054895144</v>
      </c>
      <c r="J85">
        <v>3870.7298185168588</v>
      </c>
      <c r="K85">
        <v>3911.9243867649752</v>
      </c>
      <c r="L85">
        <v>3885.9706912465122</v>
      </c>
      <c r="M85">
        <v>3947.4383381114085</v>
      </c>
      <c r="N85">
        <v>3874.0681403567519</v>
      </c>
      <c r="O85">
        <v>4079.9998822581015</v>
      </c>
      <c r="P85">
        <v>4384.073927164929</v>
      </c>
      <c r="Q85">
        <v>4475.0494014012374</v>
      </c>
      <c r="R85">
        <v>4654.515235694832</v>
      </c>
      <c r="S85">
        <v>4868.694513095511</v>
      </c>
      <c r="T85">
        <v>5147.1607607938986</v>
      </c>
      <c r="U85">
        <v>5420.6648473856458</v>
      </c>
      <c r="V85">
        <v>5592.7372487630573</v>
      </c>
      <c r="W85">
        <v>5659.0818027222876</v>
      </c>
      <c r="X85">
        <v>5668.4297647442299</v>
      </c>
      <c r="Y85">
        <v>5852.8116503640931</v>
      </c>
      <c r="Z85">
        <v>6038.2533882363286</v>
      </c>
      <c r="AA85">
        <v>6127.6791066403348</v>
      </c>
      <c r="AB85">
        <v>6348.6836803512697</v>
      </c>
      <c r="AC85">
        <v>9126.7914245124575</v>
      </c>
      <c r="AD85">
        <v>10857.319542946303</v>
      </c>
      <c r="AE85">
        <v>17646.21592340682</v>
      </c>
      <c r="AH85">
        <f t="shared" si="1"/>
        <v>6.3564436068014096</v>
      </c>
      <c r="AL85" s="2"/>
    </row>
    <row r="86" spans="1:38" x14ac:dyDescent="0.3">
      <c r="A86" t="s">
        <v>202</v>
      </c>
      <c r="B86" s="1" t="s">
        <v>203</v>
      </c>
      <c r="C86" t="s">
        <v>33</v>
      </c>
      <c r="D86">
        <v>1291.0773899583921</v>
      </c>
      <c r="E86">
        <v>1319.7469013659911</v>
      </c>
      <c r="F86">
        <v>1330.6836907923682</v>
      </c>
      <c r="G86">
        <v>1335.1362668513348</v>
      </c>
      <c r="H86">
        <v>1346.5905258975463</v>
      </c>
      <c r="I86">
        <v>1333.7271716716054</v>
      </c>
      <c r="J86">
        <v>1305.4977750996081</v>
      </c>
      <c r="K86">
        <v>1296.4106709135178</v>
      </c>
      <c r="L86">
        <v>1318.5941443396009</v>
      </c>
      <c r="M86">
        <v>1279.5465875963878</v>
      </c>
      <c r="N86">
        <v>1297.0859878869796</v>
      </c>
      <c r="O86">
        <v>1298.0348757883864</v>
      </c>
      <c r="P86">
        <v>1336.8323294244417</v>
      </c>
      <c r="Q86">
        <v>1350.2334798366876</v>
      </c>
      <c r="R86">
        <v>1406.9350349181568</v>
      </c>
      <c r="S86">
        <v>1312.2848559568856</v>
      </c>
      <c r="T86">
        <v>1363.7488349809746</v>
      </c>
      <c r="U86">
        <v>1349.6892495726852</v>
      </c>
      <c r="V86">
        <v>1387.1111666277582</v>
      </c>
      <c r="W86">
        <v>1406.4122352484148</v>
      </c>
      <c r="X86">
        <v>1405.7147857421576</v>
      </c>
      <c r="Y86">
        <v>1411.1431102563661</v>
      </c>
      <c r="Z86">
        <v>1426.6336919013866</v>
      </c>
      <c r="AA86">
        <v>1430.8187766656913</v>
      </c>
      <c r="AB86">
        <v>1387.5149131473468</v>
      </c>
      <c r="AC86">
        <v>1324.2832855525085</v>
      </c>
      <c r="AD86">
        <v>1284.477934967892</v>
      </c>
      <c r="AE86">
        <v>1247.8923899784231</v>
      </c>
      <c r="AH86">
        <f t="shared" si="1"/>
        <v>-0.12592440993839382</v>
      </c>
      <c r="AL86" s="2"/>
    </row>
    <row r="87" spans="1:38" x14ac:dyDescent="0.3">
      <c r="A87" t="s">
        <v>204</v>
      </c>
      <c r="B87" s="1" t="s">
        <v>205</v>
      </c>
      <c r="C87" t="s">
        <v>33</v>
      </c>
      <c r="D87">
        <v>1722.5330419234372</v>
      </c>
      <c r="E87">
        <v>1706.6890071807345</v>
      </c>
      <c r="F87">
        <v>1736.4790577774024</v>
      </c>
      <c r="G87">
        <v>1751.9383895969213</v>
      </c>
      <c r="H87">
        <v>1693.7231046132613</v>
      </c>
      <c r="I87">
        <v>1768.253904834382</v>
      </c>
      <c r="J87">
        <v>1768.2899759344848</v>
      </c>
      <c r="K87">
        <v>1787.0989345908442</v>
      </c>
      <c r="L87">
        <v>1821.1503790755228</v>
      </c>
      <c r="M87">
        <v>1887.0853239874748</v>
      </c>
      <c r="N87">
        <v>1953.3261225659357</v>
      </c>
      <c r="O87">
        <v>2033.0711077742831</v>
      </c>
      <c r="P87">
        <v>2110.0473321257059</v>
      </c>
      <c r="Q87">
        <v>2151.2015609313466</v>
      </c>
      <c r="R87">
        <v>2054.384111910409</v>
      </c>
      <c r="S87">
        <v>2087.2522707216754</v>
      </c>
      <c r="T87">
        <v>2124.1875164321232</v>
      </c>
      <c r="U87">
        <v>2169.1562899850624</v>
      </c>
      <c r="V87">
        <v>2187.833433018382</v>
      </c>
      <c r="W87">
        <v>2213.4405067337934</v>
      </c>
      <c r="X87">
        <v>2257.2252836935418</v>
      </c>
      <c r="Y87">
        <v>2303.878503988059</v>
      </c>
      <c r="Z87">
        <v>2373.7915595410846</v>
      </c>
      <c r="AA87">
        <v>2423.2760596290309</v>
      </c>
      <c r="AB87">
        <v>2446.1080965585625</v>
      </c>
      <c r="AC87">
        <v>2190.9743685033677</v>
      </c>
      <c r="AD87">
        <v>2428.0319467852496</v>
      </c>
      <c r="AE87">
        <v>2487.7056122252407</v>
      </c>
      <c r="AH87">
        <f t="shared" si="1"/>
        <v>1.3706602083917607</v>
      </c>
      <c r="AL87" s="2"/>
    </row>
    <row r="88" spans="1:38" x14ac:dyDescent="0.3">
      <c r="A88" t="s">
        <v>206</v>
      </c>
      <c r="B88" s="1" t="s">
        <v>207</v>
      </c>
      <c r="C88" t="s">
        <v>33</v>
      </c>
      <c r="D88">
        <v>25620.027585705277</v>
      </c>
      <c r="E88">
        <v>25551.388067617143</v>
      </c>
      <c r="F88">
        <v>26631.810325007962</v>
      </c>
      <c r="G88">
        <v>24856.797439508042</v>
      </c>
      <c r="H88">
        <v>25237.661921145245</v>
      </c>
      <c r="I88">
        <v>26933.250191956122</v>
      </c>
      <c r="J88">
        <v>26885.424502995244</v>
      </c>
      <c r="K88">
        <v>27210.067901754144</v>
      </c>
      <c r="L88">
        <v>28097.09706649492</v>
      </c>
      <c r="M88">
        <v>30304.289503830656</v>
      </c>
      <c r="N88">
        <v>32401.354634867286</v>
      </c>
      <c r="O88">
        <v>34457.995877604873</v>
      </c>
      <c r="P88">
        <v>36371.638530367331</v>
      </c>
      <c r="Q88">
        <v>36924.017088393288</v>
      </c>
      <c r="R88">
        <v>35938.556669812868</v>
      </c>
      <c r="S88">
        <v>38089.98660991872</v>
      </c>
      <c r="T88">
        <v>39656.31280895853</v>
      </c>
      <c r="U88">
        <v>39887.812726821765</v>
      </c>
      <c r="V88">
        <v>40959.971051267654</v>
      </c>
      <c r="W88">
        <v>41796.84057467369</v>
      </c>
      <c r="X88">
        <v>42432.161974044146</v>
      </c>
      <c r="Y88">
        <v>43087.541393284242</v>
      </c>
      <c r="Z88">
        <v>44380.802323585391</v>
      </c>
      <c r="AA88">
        <v>45280.486504537308</v>
      </c>
      <c r="AB88">
        <v>44195.262340167435</v>
      </c>
      <c r="AC88">
        <v>41451.286715874063</v>
      </c>
      <c r="AD88">
        <v>44525.592956366447</v>
      </c>
      <c r="AE88">
        <v>43369.714301772779</v>
      </c>
      <c r="AH88">
        <f t="shared" si="1"/>
        <v>1.9687099165513811</v>
      </c>
      <c r="AL88" s="2"/>
    </row>
    <row r="89" spans="1:38" x14ac:dyDescent="0.3">
      <c r="A89" t="s">
        <v>208</v>
      </c>
      <c r="B89" s="1" t="s">
        <v>209</v>
      </c>
      <c r="C89" t="s">
        <v>33</v>
      </c>
      <c r="D89">
        <v>7675.5781710892388</v>
      </c>
      <c r="E89">
        <v>7695.1105374250365</v>
      </c>
      <c r="F89">
        <v>7952.9831317357302</v>
      </c>
      <c r="G89">
        <v>8282.3988596565068</v>
      </c>
      <c r="H89">
        <v>8560.9690944112863</v>
      </c>
      <c r="I89">
        <v>8967.6962692406305</v>
      </c>
      <c r="J89">
        <v>9354.4807509013735</v>
      </c>
      <c r="K89">
        <v>9825.9431985840311</v>
      </c>
      <c r="L89">
        <v>10255.610113160294</v>
      </c>
      <c r="M89">
        <v>10792.737427850574</v>
      </c>
      <c r="N89">
        <v>11278.616025555881</v>
      </c>
      <c r="O89">
        <v>11741.947676917776</v>
      </c>
      <c r="P89">
        <v>11792.771289739174</v>
      </c>
      <c r="Q89">
        <v>11932.038399553541</v>
      </c>
      <c r="R89">
        <v>11162.055972274196</v>
      </c>
      <c r="S89">
        <v>11307.7161991209</v>
      </c>
      <c r="T89">
        <v>11551.498928934232</v>
      </c>
      <c r="U89">
        <v>11466.141909470407</v>
      </c>
      <c r="V89">
        <v>11705.009252356425</v>
      </c>
      <c r="W89">
        <v>12233.299367171994</v>
      </c>
      <c r="X89">
        <v>12717.038597002029</v>
      </c>
      <c r="Y89">
        <v>13035.352859090897</v>
      </c>
      <c r="Z89">
        <v>13628.404488570599</v>
      </c>
      <c r="AA89">
        <v>14377.424160293891</v>
      </c>
      <c r="AB89">
        <v>15083.599171874204</v>
      </c>
      <c r="AC89">
        <v>14430.476828841602</v>
      </c>
      <c r="AD89">
        <v>15517.049449608809</v>
      </c>
      <c r="AE89">
        <v>16336.241125474218</v>
      </c>
      <c r="AH89">
        <f t="shared" si="1"/>
        <v>2.8370637552075584</v>
      </c>
      <c r="AL89" s="2"/>
    </row>
    <row r="90" spans="1:38" x14ac:dyDescent="0.3">
      <c r="A90" t="s">
        <v>210</v>
      </c>
      <c r="B90" s="1" t="s">
        <v>211</v>
      </c>
      <c r="C90" t="s">
        <v>33</v>
      </c>
      <c r="D90">
        <v>34188.350587666529</v>
      </c>
      <c r="E90">
        <v>35557.277250986037</v>
      </c>
      <c r="F90">
        <v>37302.668025451901</v>
      </c>
      <c r="G90">
        <v>39622.606981683712</v>
      </c>
      <c r="H90">
        <v>40725.886035874981</v>
      </c>
      <c r="I90">
        <v>42174.665058469589</v>
      </c>
      <c r="J90">
        <v>43288.076304633505</v>
      </c>
      <c r="K90">
        <v>43143.46057970127</v>
      </c>
      <c r="L90">
        <v>43763.775612113241</v>
      </c>
      <c r="M90">
        <v>46766.016870821215</v>
      </c>
      <c r="N90">
        <v>48850.765863492386</v>
      </c>
      <c r="O90">
        <v>50731.690688171257</v>
      </c>
      <c r="P90">
        <v>53646.369020275903</v>
      </c>
      <c r="Q90">
        <v>53821.470822210053</v>
      </c>
      <c r="R90">
        <v>49527.398828092941</v>
      </c>
      <c r="S90">
        <v>48193.701404101317</v>
      </c>
      <c r="T90">
        <v>48933.545661434706</v>
      </c>
      <c r="U90">
        <v>49191.574417162039</v>
      </c>
      <c r="V90">
        <v>50946.816262533895</v>
      </c>
      <c r="W90">
        <v>51233.244046804051</v>
      </c>
      <c r="X90">
        <v>52951.681511089751</v>
      </c>
      <c r="Y90">
        <v>55513.6423015865</v>
      </c>
      <c r="Z90">
        <v>56501.457678879284</v>
      </c>
      <c r="AA90">
        <v>57697.804423742724</v>
      </c>
      <c r="AB90">
        <v>57493.419533592503</v>
      </c>
      <c r="AC90">
        <v>52486.039054903282</v>
      </c>
      <c r="AD90">
        <v>53960.103372884747</v>
      </c>
      <c r="AE90">
        <v>56429.299781903181</v>
      </c>
      <c r="AH90">
        <f t="shared" si="1"/>
        <v>1.8732687165120332</v>
      </c>
      <c r="AL90" s="2"/>
    </row>
    <row r="91" spans="1:38" x14ac:dyDescent="0.3">
      <c r="A91" t="s">
        <v>212</v>
      </c>
      <c r="B91" s="1" t="s">
        <v>213</v>
      </c>
      <c r="C91" t="s">
        <v>33</v>
      </c>
      <c r="D91">
        <v>618.13928792207423</v>
      </c>
      <c r="E91">
        <v>651.95835658824751</v>
      </c>
      <c r="F91">
        <v>665.46610755829499</v>
      </c>
      <c r="G91">
        <v>693.40850476352421</v>
      </c>
      <c r="H91">
        <v>740.91623329240247</v>
      </c>
      <c r="I91">
        <v>755.48229403801452</v>
      </c>
      <c r="J91">
        <v>777.73366031118542</v>
      </c>
      <c r="K91">
        <v>793.10096179772347</v>
      </c>
      <c r="L91">
        <v>840.81804426075189</v>
      </c>
      <c r="M91">
        <v>892.38210349951078</v>
      </c>
      <c r="N91">
        <v>947.76343528821872</v>
      </c>
      <c r="O91">
        <v>1008.6671374207334</v>
      </c>
      <c r="P91">
        <v>1070.1315381440547</v>
      </c>
      <c r="Q91">
        <v>1087.5830355499861</v>
      </c>
      <c r="R91">
        <v>1156.8806659285356</v>
      </c>
      <c r="S91">
        <v>1238.0147267229761</v>
      </c>
      <c r="T91">
        <v>1285.2830343544836</v>
      </c>
      <c r="U91">
        <v>1337.4761107475274</v>
      </c>
      <c r="V91">
        <v>1404.54534648357</v>
      </c>
      <c r="W91">
        <v>1490.0285075798104</v>
      </c>
      <c r="X91">
        <v>1590.1743313595528</v>
      </c>
      <c r="Y91">
        <v>1701.1842376216559</v>
      </c>
      <c r="Z91">
        <v>1795.911849727672</v>
      </c>
      <c r="AA91">
        <v>1891.1384354319239</v>
      </c>
      <c r="AB91">
        <v>1944.3148483975149</v>
      </c>
      <c r="AC91">
        <v>1813.5345527322102</v>
      </c>
      <c r="AD91">
        <v>1961.9608891949229</v>
      </c>
      <c r="AE91">
        <v>2089.7343826078982</v>
      </c>
      <c r="AH91">
        <f t="shared" si="1"/>
        <v>4.6147130549600623</v>
      </c>
      <c r="AL91" s="2"/>
    </row>
    <row r="92" spans="1:38" x14ac:dyDescent="0.3">
      <c r="A92" t="s">
        <v>214</v>
      </c>
      <c r="B92" s="1" t="s">
        <v>215</v>
      </c>
      <c r="C92" t="s">
        <v>33</v>
      </c>
      <c r="D92">
        <v>1922.3521180474499</v>
      </c>
      <c r="E92">
        <v>2039.3629887749155</v>
      </c>
      <c r="F92">
        <v>2101.2541494591624</v>
      </c>
      <c r="G92">
        <v>1797.0839218158451</v>
      </c>
      <c r="H92">
        <v>1784.3335946989955</v>
      </c>
      <c r="I92">
        <v>1845.227800727029</v>
      </c>
      <c r="J92">
        <v>1885.679751376955</v>
      </c>
      <c r="K92">
        <v>1943.6449279063361</v>
      </c>
      <c r="L92">
        <v>2009.4897839539944</v>
      </c>
      <c r="M92">
        <v>2083.8825089786965</v>
      </c>
      <c r="N92">
        <v>2174.9152214896626</v>
      </c>
      <c r="O92">
        <v>2264.9357333097387</v>
      </c>
      <c r="P92">
        <v>2377.2549929708084</v>
      </c>
      <c r="Q92">
        <v>2487.6112966070309</v>
      </c>
      <c r="R92">
        <v>2569.8742126127836</v>
      </c>
      <c r="S92">
        <v>2695.8681700721445</v>
      </c>
      <c r="T92">
        <v>2826.480440723476</v>
      </c>
      <c r="U92">
        <v>2959.514478166795</v>
      </c>
      <c r="V92">
        <v>3086.3231169522378</v>
      </c>
      <c r="W92">
        <v>3203.4842870207717</v>
      </c>
      <c r="X92">
        <v>3322.5816789544419</v>
      </c>
      <c r="Y92">
        <v>3453.0494303051064</v>
      </c>
      <c r="Z92">
        <v>3591.7800284592572</v>
      </c>
      <c r="AA92">
        <v>3741.3052668204891</v>
      </c>
      <c r="AB92">
        <v>3892.4216618736887</v>
      </c>
      <c r="AC92">
        <v>3780.1216344158538</v>
      </c>
      <c r="AD92">
        <v>3892.9623714364634</v>
      </c>
      <c r="AE92">
        <v>4073.6104942381498</v>
      </c>
      <c r="AH92">
        <f t="shared" si="1"/>
        <v>2.820450468843605</v>
      </c>
      <c r="AL92" s="2"/>
    </row>
    <row r="93" spans="1:38" x14ac:dyDescent="0.3">
      <c r="A93" t="s">
        <v>216</v>
      </c>
      <c r="B93" s="1" t="s">
        <v>217</v>
      </c>
      <c r="C93" t="s">
        <v>33</v>
      </c>
      <c r="D93">
        <v>3564.6617734994811</v>
      </c>
      <c r="E93">
        <v>3741.5813575967372</v>
      </c>
      <c r="F93">
        <v>3738.5673412554279</v>
      </c>
      <c r="G93">
        <v>3757.3430856872778</v>
      </c>
      <c r="H93">
        <v>3772.3559371836386</v>
      </c>
      <c r="I93">
        <v>3927.709223318438</v>
      </c>
      <c r="J93">
        <v>3953.4796979917069</v>
      </c>
      <c r="K93">
        <v>4231.4789079995626</v>
      </c>
      <c r="L93">
        <v>4554.5938729477166</v>
      </c>
      <c r="M93">
        <v>4675.9408052737735</v>
      </c>
      <c r="N93">
        <v>4748.0302539894064</v>
      </c>
      <c r="O93">
        <v>4908.9599518012819</v>
      </c>
      <c r="P93">
        <v>5232.7035488071415</v>
      </c>
      <c r="Q93">
        <v>5174.3547713600692</v>
      </c>
      <c r="R93">
        <v>5155.857249620236</v>
      </c>
      <c r="S93">
        <v>5378.7177108645037</v>
      </c>
      <c r="T93">
        <v>5450.9382127339759</v>
      </c>
      <c r="U93">
        <v>5180.0860272672699</v>
      </c>
      <c r="V93">
        <v>5027.4847172853151</v>
      </c>
      <c r="W93">
        <v>5178.9007065518663</v>
      </c>
      <c r="X93">
        <v>4990.9367954165464</v>
      </c>
      <c r="Y93">
        <v>5332.1010318135031</v>
      </c>
      <c r="Z93">
        <v>5401.4559367550282</v>
      </c>
      <c r="AA93">
        <v>5233.2820539747399</v>
      </c>
      <c r="AB93">
        <v>5017.1172151753426</v>
      </c>
      <c r="AC93">
        <v>5141.0847764930058</v>
      </c>
      <c r="AD93">
        <v>5344.9580247448821</v>
      </c>
      <c r="AE93">
        <v>5507.5333950076883</v>
      </c>
      <c r="AH93">
        <f t="shared" si="1"/>
        <v>1.624338977815043</v>
      </c>
      <c r="AL93" s="2"/>
    </row>
    <row r="94" spans="1:38" x14ac:dyDescent="0.3">
      <c r="A94" t="s">
        <v>218</v>
      </c>
      <c r="B94" s="1" t="s">
        <v>219</v>
      </c>
      <c r="C94" t="s">
        <v>33</v>
      </c>
      <c r="D94">
        <v>1949.5782973957682</v>
      </c>
      <c r="E94">
        <v>2095.3736625834044</v>
      </c>
      <c r="F94">
        <v>2461.7285762093479</v>
      </c>
      <c r="G94">
        <v>3215.7407016917914</v>
      </c>
      <c r="H94">
        <v>3659.3533909483481</v>
      </c>
      <c r="I94">
        <v>4138.1879396625463</v>
      </c>
      <c r="J94">
        <v>4079.1118510386641</v>
      </c>
      <c r="K94">
        <v>3626.3533927163694</v>
      </c>
      <c r="L94">
        <v>2227.9691525684289</v>
      </c>
      <c r="M94">
        <v>3320.3789100875279</v>
      </c>
      <c r="N94">
        <v>3277.1119100846822</v>
      </c>
      <c r="O94">
        <v>3437.3633604253296</v>
      </c>
      <c r="P94">
        <v>3532.0805472966936</v>
      </c>
      <c r="Q94">
        <v>3749.7657731372901</v>
      </c>
      <c r="R94">
        <v>3739.4554455080624</v>
      </c>
      <c r="S94">
        <v>3854.6883562608546</v>
      </c>
      <c r="T94">
        <v>4003.0525990581727</v>
      </c>
      <c r="U94">
        <v>4360.7456242461822</v>
      </c>
      <c r="V94">
        <v>4479.4704192547715</v>
      </c>
      <c r="W94">
        <v>4333.8239898774054</v>
      </c>
      <c r="X94">
        <v>4416.9429240804193</v>
      </c>
      <c r="Y94">
        <v>4903.8232576968294</v>
      </c>
      <c r="Z94">
        <v>4702.400484234724</v>
      </c>
      <c r="AA94">
        <v>4710.9761487084052</v>
      </c>
      <c r="AB94">
        <v>4854.3864961878717</v>
      </c>
      <c r="AC94">
        <v>4170.3920482139683</v>
      </c>
      <c r="AD94">
        <v>4141.388177846291</v>
      </c>
      <c r="AE94">
        <v>4335.7831317152504</v>
      </c>
      <c r="AH94">
        <f t="shared" si="1"/>
        <v>3.0045835835720291</v>
      </c>
      <c r="AL94" s="2"/>
    </row>
    <row r="95" spans="1:38" x14ac:dyDescent="0.3">
      <c r="A95" t="s">
        <v>220</v>
      </c>
      <c r="B95" s="1" t="s">
        <v>221</v>
      </c>
      <c r="C95" t="s">
        <v>33</v>
      </c>
      <c r="D95">
        <v>28192.775489390791</v>
      </c>
      <c r="E95">
        <v>30034.697967716806</v>
      </c>
      <c r="F95">
        <v>33012.333628417247</v>
      </c>
      <c r="G95">
        <v>35533.651888370201</v>
      </c>
      <c r="H95">
        <v>38835.040898203595</v>
      </c>
      <c r="I95">
        <v>41924.293249624236</v>
      </c>
      <c r="J95">
        <v>43451.373052553943</v>
      </c>
      <c r="K95">
        <v>45245.808512897267</v>
      </c>
      <c r="L95">
        <v>45856.349629856566</v>
      </c>
      <c r="M95">
        <v>48081.968105710315</v>
      </c>
      <c r="N95">
        <v>49746.056458072373</v>
      </c>
      <c r="O95">
        <v>50838.076760757838</v>
      </c>
      <c r="P95">
        <v>52012.045412525535</v>
      </c>
      <c r="Q95">
        <v>48677.217198966202</v>
      </c>
      <c r="R95">
        <v>45729.90322714793</v>
      </c>
      <c r="S95">
        <v>46246.84508644286</v>
      </c>
      <c r="T95">
        <v>46635.34458522722</v>
      </c>
      <c r="U95">
        <v>46377.92168614894</v>
      </c>
      <c r="V95">
        <v>46676.25849334868</v>
      </c>
      <c r="W95">
        <v>50427.329673603075</v>
      </c>
      <c r="X95">
        <v>62179.264266295097</v>
      </c>
      <c r="Y95">
        <v>62566.797836981605</v>
      </c>
      <c r="Z95">
        <v>67652.019919988306</v>
      </c>
      <c r="AA95">
        <v>72478.838239837321</v>
      </c>
      <c r="AB95">
        <v>75281.921532216889</v>
      </c>
      <c r="AC95">
        <v>79441.708684353202</v>
      </c>
      <c r="AD95">
        <v>90589.196731006901</v>
      </c>
      <c r="AE95">
        <v>97316.877508572914</v>
      </c>
      <c r="AH95">
        <f t="shared" si="1"/>
        <v>4.6954457065414346</v>
      </c>
      <c r="AL95" s="2"/>
    </row>
    <row r="96" spans="1:38" x14ac:dyDescent="0.3">
      <c r="A96" t="s">
        <v>222</v>
      </c>
      <c r="B96" s="1" t="s">
        <v>223</v>
      </c>
      <c r="C96" t="s">
        <v>33</v>
      </c>
      <c r="D96">
        <v>30828.30466909059</v>
      </c>
      <c r="E96">
        <v>32959.001070585931</v>
      </c>
      <c r="F96">
        <v>35394.20000877454</v>
      </c>
      <c r="G96">
        <v>39663.500548613316</v>
      </c>
      <c r="H96">
        <v>44529.061066177332</v>
      </c>
      <c r="I96">
        <v>46334.340896099675</v>
      </c>
      <c r="J96">
        <v>48301.993089886346</v>
      </c>
      <c r="K96">
        <v>50774.995697123195</v>
      </c>
      <c r="L96">
        <v>53299.432508016544</v>
      </c>
      <c r="M96">
        <v>55545.051687778388</v>
      </c>
      <c r="N96">
        <v>58275.577239542705</v>
      </c>
      <c r="O96">
        <v>62126.781663680755</v>
      </c>
      <c r="P96">
        <v>66068.193695692316</v>
      </c>
      <c r="Q96">
        <v>68547.373163322511</v>
      </c>
      <c r="R96">
        <v>69212.003023017125</v>
      </c>
      <c r="S96">
        <v>70785.768359632144</v>
      </c>
      <c r="T96">
        <v>71754.664388685269</v>
      </c>
      <c r="U96">
        <v>77006.493724590531</v>
      </c>
      <c r="V96">
        <v>80380.898899518041</v>
      </c>
      <c r="W96">
        <v>84774.418281571678</v>
      </c>
      <c r="X96">
        <v>84753.456728243531</v>
      </c>
      <c r="Y96">
        <v>90801.104128764433</v>
      </c>
      <c r="Z96">
        <v>93232.584173430092</v>
      </c>
      <c r="AA96">
        <v>95074.374747980255</v>
      </c>
      <c r="AB96">
        <v>95137.275702116458</v>
      </c>
      <c r="AC96">
        <v>86614.115618399679</v>
      </c>
      <c r="AD96" t="s">
        <v>34</v>
      </c>
      <c r="AE96" t="s">
        <v>34</v>
      </c>
      <c r="AH96" t="str">
        <f t="shared" si="1"/>
        <v>NA</v>
      </c>
      <c r="AL96" s="2"/>
    </row>
    <row r="97" spans="1:38" x14ac:dyDescent="0.3">
      <c r="A97" t="s">
        <v>224</v>
      </c>
      <c r="B97" s="1" t="s">
        <v>225</v>
      </c>
      <c r="C97" t="s">
        <v>33</v>
      </c>
      <c r="D97">
        <v>25872.230421626864</v>
      </c>
      <c r="E97">
        <v>26698.231574044861</v>
      </c>
      <c r="F97">
        <v>27026.481426092512</v>
      </c>
      <c r="G97">
        <v>27502.573847722251</v>
      </c>
      <c r="H97">
        <v>27704.021597421641</v>
      </c>
      <c r="I97">
        <v>29321.325400748447</v>
      </c>
      <c r="J97">
        <v>28733.941260550106</v>
      </c>
      <c r="K97">
        <v>28128.846069125804</v>
      </c>
      <c r="L97">
        <v>28010.607455695816</v>
      </c>
      <c r="M97">
        <v>28836.51318481045</v>
      </c>
      <c r="N97">
        <v>29503.901462024522</v>
      </c>
      <c r="O97">
        <v>30605.155998752725</v>
      </c>
      <c r="P97">
        <v>31880.345053738347</v>
      </c>
      <c r="Q97">
        <v>32337.197710965494</v>
      </c>
      <c r="R97">
        <v>31852.267197322308</v>
      </c>
      <c r="S97">
        <v>33048.554589036154</v>
      </c>
      <c r="T97">
        <v>34247.623280714957</v>
      </c>
      <c r="U97">
        <v>34491.160107118078</v>
      </c>
      <c r="V97">
        <v>35348.306853715236</v>
      </c>
      <c r="W97">
        <v>36035.257752288373</v>
      </c>
      <c r="X97">
        <v>36206.522217162092</v>
      </c>
      <c r="Y97">
        <v>37109.021816248809</v>
      </c>
      <c r="Z97">
        <v>37953.040459355398</v>
      </c>
      <c r="AA97">
        <v>38744.160440481071</v>
      </c>
      <c r="AB97">
        <v>39591.368757851567</v>
      </c>
      <c r="AC97">
        <v>38176.754337258681</v>
      </c>
      <c r="AD97">
        <v>40772.970486461614</v>
      </c>
      <c r="AE97">
        <v>42710.778221629378</v>
      </c>
      <c r="AH97">
        <f t="shared" si="1"/>
        <v>1.8739385671518338</v>
      </c>
      <c r="AL97" s="2"/>
    </row>
    <row r="98" spans="1:38" x14ac:dyDescent="0.3">
      <c r="A98" t="s">
        <v>226</v>
      </c>
      <c r="B98" s="1" t="s">
        <v>227</v>
      </c>
      <c r="C98" t="s">
        <v>33</v>
      </c>
      <c r="D98">
        <v>29265.089048092574</v>
      </c>
      <c r="E98">
        <v>29627.486948422418</v>
      </c>
      <c r="F98">
        <v>30153.775175326842</v>
      </c>
      <c r="G98">
        <v>30690.911722108016</v>
      </c>
      <c r="H98">
        <v>31184.616387456579</v>
      </c>
      <c r="I98">
        <v>32350.90436687466</v>
      </c>
      <c r="J98">
        <v>32963.670609026572</v>
      </c>
      <c r="K98">
        <v>32998.203190008062</v>
      </c>
      <c r="L98">
        <v>32897.390778897621</v>
      </c>
      <c r="M98">
        <v>33150.476216941592</v>
      </c>
      <c r="N98">
        <v>33257.769803268369</v>
      </c>
      <c r="O98">
        <v>33751.700019132797</v>
      </c>
      <c r="P98">
        <v>34081.090329870924</v>
      </c>
      <c r="Q98">
        <v>33530.360144959668</v>
      </c>
      <c r="R98">
        <v>31615.27081450848</v>
      </c>
      <c r="S98">
        <v>32058.173994079807</v>
      </c>
      <c r="T98">
        <v>32229.456791090412</v>
      </c>
      <c r="U98">
        <v>31184.558425589585</v>
      </c>
      <c r="V98">
        <v>30257.627425935079</v>
      </c>
      <c r="W98">
        <v>29979.918721735787</v>
      </c>
      <c r="X98">
        <v>30242.386135218429</v>
      </c>
      <c r="Y98">
        <v>30685.645898942981</v>
      </c>
      <c r="Z98">
        <v>31244.227098922431</v>
      </c>
      <c r="AA98">
        <v>31593.48026215985</v>
      </c>
      <c r="AB98">
        <v>32114.299856399433</v>
      </c>
      <c r="AC98">
        <v>29375.037340834981</v>
      </c>
      <c r="AD98">
        <v>31981.680707841886</v>
      </c>
      <c r="AE98">
        <v>33281.336668238495</v>
      </c>
      <c r="AH98">
        <f t="shared" si="1"/>
        <v>0.47743787506202562</v>
      </c>
      <c r="AL98" s="2"/>
    </row>
    <row r="99" spans="1:38" x14ac:dyDescent="0.3">
      <c r="A99" t="s">
        <v>228</v>
      </c>
      <c r="B99" s="1" t="s">
        <v>229</v>
      </c>
      <c r="C99" t="s">
        <v>33</v>
      </c>
      <c r="D99">
        <v>5209.8159468313379</v>
      </c>
      <c r="E99">
        <v>5155.5642537754138</v>
      </c>
      <c r="F99">
        <v>5052.7605734036888</v>
      </c>
      <c r="G99">
        <v>4893.4066122189724</v>
      </c>
      <c r="H99">
        <v>4907.1467141804087</v>
      </c>
      <c r="I99">
        <v>4920.0702176654286</v>
      </c>
      <c r="J99">
        <v>4961.1718919720297</v>
      </c>
      <c r="K99">
        <v>5035.6351967494302</v>
      </c>
      <c r="L99">
        <v>5195.0859904523641</v>
      </c>
      <c r="M99">
        <v>5238.1738284002786</v>
      </c>
      <c r="N99">
        <v>5259.6441833837425</v>
      </c>
      <c r="O99">
        <v>5386.3777663057081</v>
      </c>
      <c r="P99">
        <v>5440.1248618437667</v>
      </c>
      <c r="Q99">
        <v>5375.7616444272444</v>
      </c>
      <c r="R99">
        <v>5121.3384921933093</v>
      </c>
      <c r="S99">
        <v>5025.4935291909751</v>
      </c>
      <c r="T99">
        <v>5089.6052317638914</v>
      </c>
      <c r="U99">
        <v>5033.358630371642</v>
      </c>
      <c r="V99">
        <v>5035.128639566542</v>
      </c>
      <c r="W99">
        <v>5049.0804298525018</v>
      </c>
      <c r="X99">
        <v>5077.5509836244046</v>
      </c>
      <c r="Y99">
        <v>5132.226835987406</v>
      </c>
      <c r="Z99">
        <v>5172.9160683547925</v>
      </c>
      <c r="AA99">
        <v>5264.1964671584819</v>
      </c>
      <c r="AB99">
        <v>5307.5103594681814</v>
      </c>
      <c r="AC99">
        <v>4769.6936078555245</v>
      </c>
      <c r="AD99">
        <v>4976.3597238857992</v>
      </c>
      <c r="AE99">
        <v>5236.7902592002529</v>
      </c>
      <c r="AH99">
        <f t="shared" si="1"/>
        <v>1.912863098707529E-2</v>
      </c>
      <c r="AL99" s="2"/>
    </row>
    <row r="100" spans="1:38" x14ac:dyDescent="0.3">
      <c r="A100" t="s">
        <v>230</v>
      </c>
      <c r="B100" s="1" t="s">
        <v>231</v>
      </c>
      <c r="C100" t="s">
        <v>33</v>
      </c>
      <c r="D100">
        <v>30171.163792434683</v>
      </c>
      <c r="E100">
        <v>31046.170154464777</v>
      </c>
      <c r="F100">
        <v>31276.193077193169</v>
      </c>
      <c r="G100">
        <v>30795.0888900928</v>
      </c>
      <c r="H100">
        <v>30636.266116943028</v>
      </c>
      <c r="I100">
        <v>31430.631130328162</v>
      </c>
      <c r="J100">
        <v>31476.052066578952</v>
      </c>
      <c r="K100">
        <v>31416.124177243524</v>
      </c>
      <c r="L100">
        <v>31830.217584926173</v>
      </c>
      <c r="M100">
        <v>32515.115802431708</v>
      </c>
      <c r="N100">
        <v>33098.547466487187</v>
      </c>
      <c r="O100">
        <v>33531.518563077458</v>
      </c>
      <c r="P100">
        <v>33990.036034168508</v>
      </c>
      <c r="Q100">
        <v>33557.645404153132</v>
      </c>
      <c r="R100">
        <v>31651.083773985338</v>
      </c>
      <c r="S100">
        <v>32942.202078372502</v>
      </c>
      <c r="T100">
        <v>33011.134230109987</v>
      </c>
      <c r="U100">
        <v>33518.444936892047</v>
      </c>
      <c r="V100">
        <v>34239.886247368348</v>
      </c>
      <c r="W100">
        <v>34386.905855287005</v>
      </c>
      <c r="X100">
        <v>34960.639384338487</v>
      </c>
      <c r="Y100">
        <v>35242.199377188066</v>
      </c>
      <c r="Z100">
        <v>35861.972854583779</v>
      </c>
      <c r="AA100">
        <v>36138.529082471949</v>
      </c>
      <c r="AB100">
        <v>36043.784401336539</v>
      </c>
      <c r="AC100">
        <v>34603.265056430508</v>
      </c>
      <c r="AD100">
        <v>35507.578587768243</v>
      </c>
      <c r="AE100">
        <v>36032.394442135177</v>
      </c>
      <c r="AH100">
        <f t="shared" si="1"/>
        <v>0.65969145076734126</v>
      </c>
      <c r="AL100" s="2"/>
    </row>
    <row r="101" spans="1:38" x14ac:dyDescent="0.3">
      <c r="A101" t="s">
        <v>232</v>
      </c>
      <c r="B101" s="1" t="s">
        <v>233</v>
      </c>
      <c r="C101" t="s">
        <v>33</v>
      </c>
      <c r="D101">
        <v>3521.0523067079598</v>
      </c>
      <c r="E101">
        <v>3477.1697260475862</v>
      </c>
      <c r="F101">
        <v>3497.3612968005232</v>
      </c>
      <c r="G101">
        <v>3520.3537145463611</v>
      </c>
      <c r="H101">
        <v>3561.4753422278659</v>
      </c>
      <c r="I101">
        <v>3635.2921580234793</v>
      </c>
      <c r="J101">
        <v>3747.4649375276731</v>
      </c>
      <c r="K101">
        <v>3879.8837491332743</v>
      </c>
      <c r="L101">
        <v>3951.0410456245627</v>
      </c>
      <c r="M101">
        <v>4183.8510536142003</v>
      </c>
      <c r="N101">
        <v>4408.2702610582583</v>
      </c>
      <c r="O101">
        <v>4453.6538286700179</v>
      </c>
      <c r="P101">
        <v>4521.6531706112546</v>
      </c>
      <c r="Q101">
        <v>4731.6128288642094</v>
      </c>
      <c r="R101">
        <v>4861.126992024886</v>
      </c>
      <c r="S101">
        <v>4865.4697730705848</v>
      </c>
      <c r="T101">
        <v>4872.9965595425501</v>
      </c>
      <c r="U101">
        <v>4920.8651789307833</v>
      </c>
      <c r="V101">
        <v>4732.3872208053799</v>
      </c>
      <c r="W101">
        <v>4348.2366588496943</v>
      </c>
      <c r="X101">
        <v>4064.2530104364205</v>
      </c>
      <c r="Y101">
        <v>3949.6107851941288</v>
      </c>
      <c r="Z101">
        <v>3947.9716696664091</v>
      </c>
      <c r="AA101">
        <v>3929.6871847293633</v>
      </c>
      <c r="AB101">
        <v>3909.2500172664204</v>
      </c>
      <c r="AC101">
        <v>3784.7625230743733</v>
      </c>
      <c r="AD101">
        <v>3845.8569750687029</v>
      </c>
      <c r="AE101">
        <v>3891.2122273174732</v>
      </c>
      <c r="AH101">
        <f t="shared" si="1"/>
        <v>0.37091151364911923</v>
      </c>
      <c r="AL101" s="2"/>
    </row>
    <row r="102" spans="1:38" x14ac:dyDescent="0.3">
      <c r="A102" t="s">
        <v>234</v>
      </c>
      <c r="B102" s="1" t="s">
        <v>235</v>
      </c>
      <c r="C102" t="s">
        <v>33</v>
      </c>
      <c r="D102">
        <v>3700.7539349851231</v>
      </c>
      <c r="E102">
        <v>3776.0833526009878</v>
      </c>
      <c r="F102">
        <v>3901.3384124968529</v>
      </c>
      <c r="G102">
        <v>3893.9381446014854</v>
      </c>
      <c r="H102">
        <v>4037.453162124219</v>
      </c>
      <c r="I102">
        <v>4446.4518708349497</v>
      </c>
      <c r="J102">
        <v>5055.3131136335969</v>
      </c>
      <c r="K102">
        <v>5550.5048054309427</v>
      </c>
      <c r="L102">
        <v>6046.327117146222</v>
      </c>
      <c r="M102">
        <v>6580.8840690483476</v>
      </c>
      <c r="N102">
        <v>7155.3425979086842</v>
      </c>
      <c r="O102">
        <v>7837.6279784082853</v>
      </c>
      <c r="P102">
        <v>8438.1033891093502</v>
      </c>
      <c r="Q102">
        <v>8554.822299603291</v>
      </c>
      <c r="R102">
        <v>8487.5435665261066</v>
      </c>
      <c r="S102">
        <v>8979.3309474360049</v>
      </c>
      <c r="T102">
        <v>9506.7326387127141</v>
      </c>
      <c r="U102">
        <v>9823.6924349127639</v>
      </c>
      <c r="V102">
        <v>10264.296537512108</v>
      </c>
      <c r="W102">
        <v>10539.043111208803</v>
      </c>
      <c r="X102">
        <v>10510.770324088506</v>
      </c>
      <c r="Y102">
        <v>10476.346013101114</v>
      </c>
      <c r="Z102">
        <v>10758.519283328042</v>
      </c>
      <c r="AA102">
        <v>11053.360417484582</v>
      </c>
      <c r="AB102">
        <v>11402.758415934628</v>
      </c>
      <c r="AC102">
        <v>10974.244641763165</v>
      </c>
      <c r="AD102">
        <v>11298.355937231716</v>
      </c>
      <c r="AE102">
        <v>11290.897938378812</v>
      </c>
      <c r="AH102">
        <f t="shared" si="1"/>
        <v>4.2178616959647641</v>
      </c>
      <c r="AL102" s="2"/>
    </row>
    <row r="103" spans="1:38" x14ac:dyDescent="0.3">
      <c r="A103" t="s">
        <v>236</v>
      </c>
      <c r="B103" s="1" t="s">
        <v>237</v>
      </c>
      <c r="C103" t="s">
        <v>33</v>
      </c>
      <c r="D103">
        <v>1225.1438734929354</v>
      </c>
      <c r="E103">
        <v>1241.8785355697428</v>
      </c>
      <c r="F103">
        <v>1214.8476423485615</v>
      </c>
      <c r="G103">
        <v>1221.5243159237441</v>
      </c>
      <c r="H103">
        <v>1215.1639244492599</v>
      </c>
      <c r="I103">
        <v>1187.3258104886474</v>
      </c>
      <c r="J103">
        <v>1195.4437778961476</v>
      </c>
      <c r="K103">
        <v>1166.0652859617196</v>
      </c>
      <c r="L103">
        <v>1165.1661026716656</v>
      </c>
      <c r="M103">
        <v>1188.5707112213886</v>
      </c>
      <c r="N103">
        <v>1221.8592894954481</v>
      </c>
      <c r="O103">
        <v>1262.8146660701773</v>
      </c>
      <c r="P103">
        <v>1309.8956390118844</v>
      </c>
      <c r="Q103">
        <v>1274.4046794224016</v>
      </c>
      <c r="R103">
        <v>1278.1409019177609</v>
      </c>
      <c r="S103">
        <v>1342.768702173031</v>
      </c>
      <c r="T103">
        <v>1374.5442457352799</v>
      </c>
      <c r="U103">
        <v>1401.4908246992493</v>
      </c>
      <c r="V103">
        <v>1420.0786924878887</v>
      </c>
      <c r="W103">
        <v>1457.5430655441291</v>
      </c>
      <c r="X103">
        <v>1496.6535726002107</v>
      </c>
      <c r="Y103">
        <v>1525.7435513199139</v>
      </c>
      <c r="Z103">
        <v>1550.2034574347235</v>
      </c>
      <c r="AA103">
        <v>1604.8029321222791</v>
      </c>
      <c r="AB103">
        <v>1653.828985266462</v>
      </c>
      <c r="AC103">
        <v>1616.5024040585515</v>
      </c>
      <c r="AD103">
        <v>1705.7403896307951</v>
      </c>
      <c r="AE103">
        <v>1754.5854803588891</v>
      </c>
      <c r="AH103">
        <f t="shared" si="1"/>
        <v>1.3391629013948858</v>
      </c>
      <c r="AL103" s="2"/>
    </row>
    <row r="104" spans="1:38" x14ac:dyDescent="0.3">
      <c r="A104" t="s">
        <v>238</v>
      </c>
      <c r="B104" s="1" t="s">
        <v>239</v>
      </c>
      <c r="C104" t="s">
        <v>33</v>
      </c>
      <c r="D104">
        <v>1397.1191167877753</v>
      </c>
      <c r="E104">
        <v>1397.6256955673978</v>
      </c>
      <c r="F104">
        <v>1396.0430857746912</v>
      </c>
      <c r="G104">
        <v>1461.6336567392179</v>
      </c>
      <c r="H104">
        <v>1414.6800519682276</v>
      </c>
      <c r="I104">
        <v>1477.088718362535</v>
      </c>
      <c r="J104">
        <v>1427.9574249374973</v>
      </c>
      <c r="K104">
        <v>1452.0631365454226</v>
      </c>
      <c r="L104">
        <v>1451.3216294159231</v>
      </c>
      <c r="M104">
        <v>1399.1576806404</v>
      </c>
      <c r="N104">
        <v>1439.418284921207</v>
      </c>
      <c r="O104">
        <v>1411.1227950316256</v>
      </c>
      <c r="P104">
        <v>1412.8056095462509</v>
      </c>
      <c r="Q104">
        <v>1357.0736221724583</v>
      </c>
      <c r="R104">
        <v>1341.7696035434724</v>
      </c>
      <c r="S104">
        <v>1302.1802119157294</v>
      </c>
      <c r="T104">
        <v>1302.5060676353582</v>
      </c>
      <c r="U104">
        <v>1347.9712887424873</v>
      </c>
      <c r="V104">
        <v>1383.0896839557693</v>
      </c>
      <c r="W104">
        <v>1348.0121723015959</v>
      </c>
      <c r="X104">
        <v>1459.1439829920639</v>
      </c>
      <c r="Y104">
        <v>1430.0370802408563</v>
      </c>
      <c r="Z104">
        <v>1410.6882546181528</v>
      </c>
      <c r="AA104">
        <v>1459.7939618806734</v>
      </c>
      <c r="AB104">
        <v>1405.4694654178979</v>
      </c>
      <c r="AC104">
        <v>1357.8890945383559</v>
      </c>
      <c r="AD104">
        <v>1437.2876653505125</v>
      </c>
      <c r="AE104">
        <v>1433.5163212841601</v>
      </c>
      <c r="AH104">
        <f t="shared" si="1"/>
        <v>9.5297412942474402E-2</v>
      </c>
      <c r="AL104" s="2"/>
    </row>
    <row r="105" spans="1:38" x14ac:dyDescent="0.3">
      <c r="A105" t="s">
        <v>240</v>
      </c>
      <c r="B105" s="1" t="s">
        <v>241</v>
      </c>
      <c r="C105" t="s">
        <v>33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 t="s">
        <v>34</v>
      </c>
      <c r="AH105" t="str">
        <f t="shared" si="1"/>
        <v>NA</v>
      </c>
      <c r="AL105" s="2"/>
    </row>
    <row r="106" spans="1:38" x14ac:dyDescent="0.3">
      <c r="A106" t="s">
        <v>242</v>
      </c>
      <c r="B106" s="1" t="s">
        <v>243</v>
      </c>
      <c r="C106" t="s">
        <v>33</v>
      </c>
      <c r="D106">
        <v>13411.111917015754</v>
      </c>
      <c r="E106">
        <v>14332.136723198673</v>
      </c>
      <c r="F106">
        <v>15074.488342992378</v>
      </c>
      <c r="G106">
        <v>14198.386270754952</v>
      </c>
      <c r="H106">
        <v>15714.41194847463</v>
      </c>
      <c r="I106">
        <v>16995.55918646256</v>
      </c>
      <c r="J106">
        <v>17684.050377327745</v>
      </c>
      <c r="K106">
        <v>18940.38422339347</v>
      </c>
      <c r="L106">
        <v>19435.493410430259</v>
      </c>
      <c r="M106">
        <v>20364.759965677127</v>
      </c>
      <c r="N106">
        <v>21197.199088034748</v>
      </c>
      <c r="O106">
        <v>22196.207745926582</v>
      </c>
      <c r="P106">
        <v>23365.140206481203</v>
      </c>
      <c r="Q106">
        <v>23887.0595538423</v>
      </c>
      <c r="R106">
        <v>23952.813219106883</v>
      </c>
      <c r="S106">
        <v>25455.617484365761</v>
      </c>
      <c r="T106">
        <v>26191.644261542089</v>
      </c>
      <c r="U106">
        <v>26680.275444870527</v>
      </c>
      <c r="V106">
        <v>27399.6159477521</v>
      </c>
      <c r="W106">
        <v>28100.010275954399</v>
      </c>
      <c r="X106">
        <v>28737.439170649883</v>
      </c>
      <c r="Y106">
        <v>29467.124342556046</v>
      </c>
      <c r="Z106">
        <v>30312.888850080901</v>
      </c>
      <c r="AA106">
        <v>31059.266808792658</v>
      </c>
      <c r="AB106">
        <v>31645.94983433067</v>
      </c>
      <c r="AC106">
        <v>31378.157934064751</v>
      </c>
      <c r="AD106">
        <v>32786.691999084294</v>
      </c>
      <c r="AE106">
        <v>33719.386420329982</v>
      </c>
      <c r="AH106">
        <f t="shared" si="1"/>
        <v>3.4737480801604548</v>
      </c>
      <c r="AL106" s="2"/>
    </row>
    <row r="107" spans="1:38" x14ac:dyDescent="0.3">
      <c r="A107" t="s">
        <v>244</v>
      </c>
      <c r="B107" s="1" t="s">
        <v>245</v>
      </c>
      <c r="C107" t="s">
        <v>33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>
        <v>2621.4407861105383</v>
      </c>
      <c r="R107">
        <v>2731.4003319726748</v>
      </c>
      <c r="S107">
        <v>2843.3986124447192</v>
      </c>
      <c r="T107">
        <v>2997.2368196689108</v>
      </c>
      <c r="U107">
        <v>3021.3848628893461</v>
      </c>
      <c r="V107">
        <v>3163.4753847018928</v>
      </c>
      <c r="W107">
        <v>3279.0557037778785</v>
      </c>
      <c r="X107">
        <v>3520.7820746247803</v>
      </c>
      <c r="Y107">
        <v>3739.1987440570842</v>
      </c>
      <c r="Z107">
        <v>3890.2128329894426</v>
      </c>
      <c r="AA107">
        <v>4009.1235963121758</v>
      </c>
      <c r="AB107">
        <v>4219.0975567636697</v>
      </c>
      <c r="AC107">
        <v>3990.9862337101254</v>
      </c>
      <c r="AD107">
        <v>4429.9776643806681</v>
      </c>
      <c r="AE107">
        <v>4724.7905473148576</v>
      </c>
      <c r="AH107" t="str">
        <f t="shared" si="1"/>
        <v>NA</v>
      </c>
      <c r="AL107" s="2"/>
    </row>
    <row r="108" spans="1:38" x14ac:dyDescent="0.3">
      <c r="A108" t="s">
        <v>246</v>
      </c>
      <c r="B108" s="1" t="s">
        <v>247</v>
      </c>
      <c r="C108" t="s">
        <v>33</v>
      </c>
      <c r="D108">
        <v>33683.480041353323</v>
      </c>
      <c r="E108">
        <v>32930.443758437941</v>
      </c>
      <c r="F108">
        <v>32630.925402886023</v>
      </c>
      <c r="G108">
        <v>32746.23688249409</v>
      </c>
      <c r="H108">
        <v>31168.865484710728</v>
      </c>
      <c r="I108">
        <v>31662.814144622462</v>
      </c>
      <c r="J108">
        <v>30825.881995335043</v>
      </c>
      <c r="K108">
        <v>30891.297338723165</v>
      </c>
      <c r="L108">
        <v>35309.772226327688</v>
      </c>
      <c r="M108">
        <v>37986.115530008741</v>
      </c>
      <c r="N108">
        <v>40476.294048016542</v>
      </c>
      <c r="O108">
        <v>41160.991628072617</v>
      </c>
      <c r="P108">
        <v>41132.181777195547</v>
      </c>
      <c r="Q108">
        <v>39859.870968592579</v>
      </c>
      <c r="R108">
        <v>35123.235579211141</v>
      </c>
      <c r="S108">
        <v>32568.750856542942</v>
      </c>
      <c r="T108">
        <v>33427.864683778185</v>
      </c>
      <c r="U108">
        <v>33009.025942450739</v>
      </c>
      <c r="V108">
        <v>31082.353661732595</v>
      </c>
      <c r="W108">
        <v>30282.473530490639</v>
      </c>
      <c r="X108">
        <v>29315.198507916619</v>
      </c>
      <c r="Y108">
        <v>29134.319054374169</v>
      </c>
      <c r="Z108">
        <v>27244.470830642866</v>
      </c>
      <c r="AA108">
        <v>26664.633315144722</v>
      </c>
      <c r="AB108">
        <v>25777.568759751975</v>
      </c>
      <c r="AC108">
        <v>23929.48286826969</v>
      </c>
      <c r="AD108">
        <v>24832.265038833564</v>
      </c>
      <c r="AE108">
        <v>26913.801155184417</v>
      </c>
      <c r="AH108">
        <f t="shared" si="1"/>
        <v>-0.82755050091020133</v>
      </c>
      <c r="AL108" s="2"/>
    </row>
    <row r="109" spans="1:38" x14ac:dyDescent="0.3">
      <c r="A109" t="s">
        <v>248</v>
      </c>
      <c r="B109" s="1" t="s">
        <v>249</v>
      </c>
      <c r="C109" t="s">
        <v>33</v>
      </c>
      <c r="D109">
        <v>587.30513492405953</v>
      </c>
      <c r="E109">
        <v>619.67285629366529</v>
      </c>
      <c r="F109">
        <v>671.25300975646246</v>
      </c>
      <c r="G109">
        <v>675.06037137185774</v>
      </c>
      <c r="H109">
        <v>689.41741153919827</v>
      </c>
      <c r="I109">
        <v>718.33725964468874</v>
      </c>
      <c r="J109">
        <v>749.41968770126834</v>
      </c>
      <c r="K109">
        <v>742.44359621851572</v>
      </c>
      <c r="L109">
        <v>786.35172239026156</v>
      </c>
      <c r="M109">
        <v>831.48422145442953</v>
      </c>
      <c r="N109">
        <v>820.71587825032509</v>
      </c>
      <c r="O109">
        <v>837.13369524860389</v>
      </c>
      <c r="P109">
        <v>900.0254022314025</v>
      </c>
      <c r="Q109">
        <v>966.41524044864275</v>
      </c>
      <c r="R109">
        <v>982.37705125501657</v>
      </c>
      <c r="S109">
        <v>966.1506100745122</v>
      </c>
      <c r="T109">
        <v>1011.3154036403354</v>
      </c>
      <c r="U109">
        <v>993.73729994842745</v>
      </c>
      <c r="V109">
        <v>1080.5480963963093</v>
      </c>
      <c r="W109">
        <v>1101.7051953933451</v>
      </c>
      <c r="X109">
        <v>1121.0826959766205</v>
      </c>
      <c r="Y109">
        <v>1146.1030786184715</v>
      </c>
      <c r="Z109">
        <v>1177.4385899590106</v>
      </c>
      <c r="AA109">
        <v>1197.6105751000243</v>
      </c>
      <c r="AB109">
        <v>1226.8243115021357</v>
      </c>
      <c r="AC109">
        <v>1117.7038479454372</v>
      </c>
      <c r="AD109">
        <v>1145.5673357377891</v>
      </c>
      <c r="AE109">
        <v>1182.9117160593239</v>
      </c>
      <c r="AH109">
        <f t="shared" si="1"/>
        <v>2.6272137594598011</v>
      </c>
      <c r="AL109" s="2"/>
    </row>
    <row r="110" spans="1:38" x14ac:dyDescent="0.3">
      <c r="A110" t="s">
        <v>250</v>
      </c>
      <c r="B110" s="1" t="s">
        <v>251</v>
      </c>
      <c r="C110" t="s">
        <v>33</v>
      </c>
      <c r="D110">
        <v>749.53540723195727</v>
      </c>
      <c r="E110">
        <v>782.95694067490547</v>
      </c>
      <c r="F110">
        <v>819.44019591070651</v>
      </c>
      <c r="G110">
        <v>836.30232415377532</v>
      </c>
      <c r="H110">
        <v>881.75438604318697</v>
      </c>
      <c r="I110">
        <v>917.28873836364539</v>
      </c>
      <c r="J110">
        <v>954.430397942686</v>
      </c>
      <c r="K110">
        <v>995.34168071089891</v>
      </c>
      <c r="L110">
        <v>1040.3333184303031</v>
      </c>
      <c r="M110">
        <v>1091.3008577594908</v>
      </c>
      <c r="N110">
        <v>1151.9302518362776</v>
      </c>
      <c r="O110">
        <v>1231.5190413495832</v>
      </c>
      <c r="P110">
        <v>1304.2924035610099</v>
      </c>
      <c r="Q110">
        <v>1384.6894410566174</v>
      </c>
      <c r="R110">
        <v>1466.0890868874276</v>
      </c>
      <c r="S110">
        <v>1567.5776279306731</v>
      </c>
      <c r="T110">
        <v>1669.0664149472402</v>
      </c>
      <c r="U110">
        <v>1777.4102133110762</v>
      </c>
      <c r="V110">
        <v>1893.326627064117</v>
      </c>
      <c r="W110">
        <v>2009.8255335537729</v>
      </c>
      <c r="X110">
        <v>2125.4590569831389</v>
      </c>
      <c r="Y110">
        <v>2240.4163465750535</v>
      </c>
      <c r="Z110">
        <v>2358.3726639752194</v>
      </c>
      <c r="AA110">
        <v>2467.9557615097433</v>
      </c>
      <c r="AB110">
        <v>2564.0196538036048</v>
      </c>
      <c r="AC110">
        <v>2539.1245245131063</v>
      </c>
      <c r="AD110">
        <v>2566.2774224304981</v>
      </c>
      <c r="AE110">
        <v>2599.2050789229515</v>
      </c>
      <c r="AH110">
        <f t="shared" si="1"/>
        <v>4.7132869621612672</v>
      </c>
      <c r="AL110" s="2"/>
    </row>
    <row r="111" spans="1:38" x14ac:dyDescent="0.3">
      <c r="A111" t="s">
        <v>252</v>
      </c>
      <c r="B111" s="1" t="s">
        <v>253</v>
      </c>
      <c r="C111" t="s">
        <v>33</v>
      </c>
      <c r="D111">
        <v>4969.8230798582545</v>
      </c>
      <c r="E111">
        <v>5156.1950965596898</v>
      </c>
      <c r="F111">
        <v>5668.0600072591005</v>
      </c>
      <c r="G111">
        <v>6084.2850108533885</v>
      </c>
      <c r="H111">
        <v>6303.0748552106197</v>
      </c>
      <c r="I111">
        <v>6725.3375404185626</v>
      </c>
      <c r="J111">
        <v>7243.562979951781</v>
      </c>
      <c r="K111">
        <v>7847.6453679246915</v>
      </c>
      <c r="L111">
        <v>8591.2679125439663</v>
      </c>
      <c r="M111">
        <v>9405.0617221109533</v>
      </c>
      <c r="N111">
        <v>10526.452250669261</v>
      </c>
      <c r="O111">
        <v>11895.275058357518</v>
      </c>
      <c r="P111">
        <v>13185.069324003449</v>
      </c>
      <c r="Q111">
        <v>12891.442343970883</v>
      </c>
      <c r="R111">
        <v>11237.108928521217</v>
      </c>
      <c r="S111">
        <v>10962.231525153875</v>
      </c>
      <c r="T111">
        <v>11450.976798371643</v>
      </c>
      <c r="U111">
        <v>12410.365261499208</v>
      </c>
      <c r="V111">
        <v>12795.878290989231</v>
      </c>
      <c r="W111">
        <v>13162.654559905648</v>
      </c>
      <c r="X111">
        <v>13786.456795311369</v>
      </c>
      <c r="Y111">
        <v>14242.572674131889</v>
      </c>
      <c r="Z111">
        <v>14845.334894638272</v>
      </c>
      <c r="AA111">
        <v>15558.492004831493</v>
      </c>
      <c r="AB111">
        <v>15759.081838880928</v>
      </c>
      <c r="AC111">
        <v>15312.335064978184</v>
      </c>
      <c r="AD111">
        <v>16481.524349606643</v>
      </c>
      <c r="AE111">
        <v>17081.342782080308</v>
      </c>
      <c r="AH111">
        <f t="shared" si="1"/>
        <v>4.6787573605289623</v>
      </c>
      <c r="AL111" s="2"/>
    </row>
    <row r="112" spans="1:38" x14ac:dyDescent="0.3">
      <c r="A112" t="s">
        <v>254</v>
      </c>
      <c r="B112" s="1" t="s">
        <v>255</v>
      </c>
      <c r="C112" t="s">
        <v>33</v>
      </c>
      <c r="D112">
        <v>5543.7591592878616</v>
      </c>
      <c r="E112">
        <v>6055.3365412432258</v>
      </c>
      <c r="F112">
        <v>6010.0078334893751</v>
      </c>
      <c r="G112">
        <v>6124.1139586633572</v>
      </c>
      <c r="H112">
        <v>5989.8177477351983</v>
      </c>
      <c r="I112">
        <v>5970.9745462747132</v>
      </c>
      <c r="J112">
        <v>6103.3943112550951</v>
      </c>
      <c r="K112">
        <v>6230.7460342901168</v>
      </c>
      <c r="L112">
        <v>6348.8064846566676</v>
      </c>
      <c r="M112">
        <v>6669.253069043255</v>
      </c>
      <c r="N112">
        <v>6747.7118595259344</v>
      </c>
      <c r="O112">
        <v>6740.7418774593179</v>
      </c>
      <c r="P112">
        <v>7230.8585888922817</v>
      </c>
      <c r="Q112">
        <v>7760.7658469894213</v>
      </c>
      <c r="R112">
        <v>8445.1024703919247</v>
      </c>
      <c r="S112">
        <v>9037.0858087912457</v>
      </c>
      <c r="T112">
        <v>9026.471722713597</v>
      </c>
      <c r="U112">
        <v>9019.6982292393495</v>
      </c>
      <c r="V112">
        <v>8539.5660782898758</v>
      </c>
      <c r="W112">
        <v>7921.0802355821979</v>
      </c>
      <c r="X112">
        <v>7802.7513676977624</v>
      </c>
      <c r="Y112">
        <v>8101.7096683566724</v>
      </c>
      <c r="Z112">
        <v>8374.7403590003087</v>
      </c>
      <c r="AA112">
        <v>8435.6373540270233</v>
      </c>
      <c r="AB112">
        <v>8081.7433436208503</v>
      </c>
      <c r="AC112">
        <v>6485.7260398691478</v>
      </c>
      <c r="AD112">
        <v>6107.4547090913702</v>
      </c>
      <c r="AE112" t="s">
        <v>34</v>
      </c>
      <c r="AH112" t="str">
        <f t="shared" si="1"/>
        <v>NA</v>
      </c>
      <c r="AL112" s="2"/>
    </row>
    <row r="113" spans="1:38" x14ac:dyDescent="0.3">
      <c r="A113" t="s">
        <v>256</v>
      </c>
      <c r="B113" s="1" t="s">
        <v>257</v>
      </c>
      <c r="C113" t="s">
        <v>33</v>
      </c>
      <c r="D113">
        <v>647.51837833304194</v>
      </c>
      <c r="E113">
        <v>676.40919790105602</v>
      </c>
      <c r="F113">
        <v>695.24436669312854</v>
      </c>
      <c r="G113">
        <v>701.29173672235413</v>
      </c>
      <c r="H113">
        <v>701.58999206393753</v>
      </c>
      <c r="I113">
        <v>727.18076497610355</v>
      </c>
      <c r="J113">
        <v>752.76239875352985</v>
      </c>
      <c r="K113">
        <v>758.94715690308647</v>
      </c>
      <c r="L113">
        <v>795.34678551310708</v>
      </c>
      <c r="M113">
        <v>811.92186183167541</v>
      </c>
      <c r="N113">
        <v>843.44569481032374</v>
      </c>
      <c r="O113">
        <v>879.41065089189362</v>
      </c>
      <c r="P113">
        <v>913.15155486822607</v>
      </c>
      <c r="Q113">
        <v>958.01059791571754</v>
      </c>
      <c r="R113">
        <v>939.33470868806603</v>
      </c>
      <c r="S113">
        <v>982.19685149210477</v>
      </c>
      <c r="T113">
        <v>1020.0103746966799</v>
      </c>
      <c r="U113">
        <v>1075.6232973802</v>
      </c>
      <c r="V113">
        <v>1084.7566892612622</v>
      </c>
      <c r="W113">
        <v>1092.0942655197123</v>
      </c>
      <c r="X113">
        <v>1113.8368345361157</v>
      </c>
      <c r="Y113">
        <v>1140.3878736209658</v>
      </c>
      <c r="Z113">
        <v>1090.9903030035009</v>
      </c>
      <c r="AA113">
        <v>1061.4380587185169</v>
      </c>
      <c r="AB113">
        <v>1033.3711639174776</v>
      </c>
      <c r="AC113">
        <v>944.24716921934316</v>
      </c>
      <c r="AD113">
        <v>950.21002574861052</v>
      </c>
      <c r="AE113">
        <v>950.64878423582252</v>
      </c>
      <c r="AH113">
        <f t="shared" si="1"/>
        <v>1.4323745483715511</v>
      </c>
      <c r="AL113" s="2"/>
    </row>
    <row r="114" spans="1:38" x14ac:dyDescent="0.3">
      <c r="A114" t="s">
        <v>258</v>
      </c>
      <c r="B114" s="1" t="s">
        <v>259</v>
      </c>
      <c r="C114" t="s">
        <v>33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>
        <v>763.42687252875658</v>
      </c>
      <c r="J114">
        <v>762.94666485739697</v>
      </c>
      <c r="K114">
        <v>771.23496643316753</v>
      </c>
      <c r="L114">
        <v>534.45395268088953</v>
      </c>
      <c r="M114">
        <v>541.90867359086849</v>
      </c>
      <c r="N114">
        <v>545.39806305996933</v>
      </c>
      <c r="O114">
        <v>557.02462632393554</v>
      </c>
      <c r="P114">
        <v>580.35273604346048</v>
      </c>
      <c r="Q114">
        <v>596.9842924580895</v>
      </c>
      <c r="R114">
        <v>609.12059654123857</v>
      </c>
      <c r="S114">
        <v>627.80537859943411</v>
      </c>
      <c r="T114">
        <v>653.10187065531341</v>
      </c>
      <c r="U114">
        <v>680.79001219600241</v>
      </c>
      <c r="V114">
        <v>723.95918426021012</v>
      </c>
      <c r="W114">
        <v>714.18248998335241</v>
      </c>
      <c r="X114">
        <v>699.66294685396463</v>
      </c>
      <c r="Y114">
        <v>675.059610609385</v>
      </c>
      <c r="Z114">
        <v>678.57914413974106</v>
      </c>
      <c r="AA114">
        <v>673.41139195764492</v>
      </c>
      <c r="AB114">
        <v>644.16206521392746</v>
      </c>
      <c r="AC114">
        <v>612.38424757044993</v>
      </c>
      <c r="AD114">
        <v>629.82055465402436</v>
      </c>
      <c r="AE114">
        <v>646.50115989373785</v>
      </c>
      <c r="AH114" t="str">
        <f t="shared" si="1"/>
        <v>NA</v>
      </c>
      <c r="AL114" s="2"/>
    </row>
    <row r="115" spans="1:38" x14ac:dyDescent="0.3">
      <c r="A115" t="s">
        <v>260</v>
      </c>
      <c r="B115" s="1" t="s">
        <v>261</v>
      </c>
      <c r="C115" t="s">
        <v>33</v>
      </c>
      <c r="D115" t="s">
        <v>34</v>
      </c>
      <c r="E115" t="s">
        <v>34</v>
      </c>
      <c r="F115" t="s">
        <v>34</v>
      </c>
      <c r="G115" t="s">
        <v>34</v>
      </c>
      <c r="H115">
        <v>10979.905914109951</v>
      </c>
      <c r="I115">
        <v>11170.129987141312</v>
      </c>
      <c r="J115">
        <v>10721.292278967552</v>
      </c>
      <c r="K115">
        <v>10364.266775989985</v>
      </c>
      <c r="L115">
        <v>11423.095305745243</v>
      </c>
      <c r="M115">
        <v>11628.699971429342</v>
      </c>
      <c r="N115">
        <v>12673.918546993493</v>
      </c>
      <c r="O115">
        <v>13191.870138784738</v>
      </c>
      <c r="P115">
        <v>13729.161684364402</v>
      </c>
      <c r="Q115">
        <v>13418.194436452846</v>
      </c>
      <c r="R115">
        <v>12561.901784145342</v>
      </c>
      <c r="S115">
        <v>12925.573680980868</v>
      </c>
      <c r="T115">
        <v>6734.2256963102673</v>
      </c>
      <c r="U115">
        <v>13263.489839398308</v>
      </c>
      <c r="V115">
        <v>10666.716420374461</v>
      </c>
      <c r="W115">
        <v>8057.30035884057</v>
      </c>
      <c r="X115">
        <v>7867.5157311439043</v>
      </c>
      <c r="Y115">
        <v>7639.2326729545466</v>
      </c>
      <c r="Z115">
        <v>9968.9160919112255</v>
      </c>
      <c r="AA115">
        <v>10595.246830231581</v>
      </c>
      <c r="AB115">
        <v>9278.2717102745082</v>
      </c>
      <c r="AC115">
        <v>6431.4629112684679</v>
      </c>
      <c r="AD115">
        <v>8347.1426308236241</v>
      </c>
      <c r="AE115">
        <v>8150.6317134209967</v>
      </c>
      <c r="AH115" t="str">
        <f t="shared" si="1"/>
        <v>NA</v>
      </c>
      <c r="AL115" s="2"/>
    </row>
    <row r="116" spans="1:38" x14ac:dyDescent="0.3">
      <c r="A116" t="s">
        <v>262</v>
      </c>
      <c r="B116" s="1" t="s">
        <v>263</v>
      </c>
      <c r="C116" t="s">
        <v>33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>
        <v>167809.2698748335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  <c r="AD116" t="s">
        <v>34</v>
      </c>
      <c r="AE116" t="s">
        <v>34</v>
      </c>
      <c r="AH116" t="str">
        <f t="shared" si="1"/>
        <v>NA</v>
      </c>
      <c r="AL116" s="2"/>
    </row>
    <row r="117" spans="1:38" x14ac:dyDescent="0.3">
      <c r="A117" t="s">
        <v>264</v>
      </c>
      <c r="B117" s="1" t="s">
        <v>265</v>
      </c>
      <c r="C117" t="s">
        <v>33</v>
      </c>
      <c r="D117">
        <v>4936.0202154344042</v>
      </c>
      <c r="E117">
        <v>5230.2601915491769</v>
      </c>
      <c r="F117">
        <v>5706.8952607587544</v>
      </c>
      <c r="G117">
        <v>6178.1238213383967</v>
      </c>
      <c r="H117">
        <v>6151.0829636244207</v>
      </c>
      <c r="I117">
        <v>6423.420676224443</v>
      </c>
      <c r="J117">
        <v>6899.2368344121214</v>
      </c>
      <c r="K117">
        <v>7424.3948242448114</v>
      </c>
      <c r="L117">
        <v>8275.8034475803051</v>
      </c>
      <c r="M117">
        <v>8919.0817494901239</v>
      </c>
      <c r="N117">
        <v>9766.4876471650932</v>
      </c>
      <c r="O117">
        <v>10659.400210699785</v>
      </c>
      <c r="P117">
        <v>11984.923294106395</v>
      </c>
      <c r="Q117">
        <v>12425.398099920674</v>
      </c>
      <c r="R117">
        <v>10699.78945816287</v>
      </c>
      <c r="S117">
        <v>11106.950214542436</v>
      </c>
      <c r="T117">
        <v>12046.721385869379</v>
      </c>
      <c r="U117">
        <v>12678.692685987915</v>
      </c>
      <c r="V117">
        <v>13262.334462077057</v>
      </c>
      <c r="W117">
        <v>13850.000127119862</v>
      </c>
      <c r="X117">
        <v>14263.964577349474</v>
      </c>
      <c r="Y117">
        <v>14810.251778627327</v>
      </c>
      <c r="Z117">
        <v>15661.996253677504</v>
      </c>
      <c r="AA117">
        <v>16443.585287577593</v>
      </c>
      <c r="AB117">
        <v>17256.408152190772</v>
      </c>
      <c r="AC117">
        <v>17247.543693303927</v>
      </c>
      <c r="AD117">
        <v>18292.532850787207</v>
      </c>
      <c r="AE117">
        <v>18535.07796634781</v>
      </c>
      <c r="AH117">
        <f t="shared" si="1"/>
        <v>5.0224460646503433</v>
      </c>
      <c r="AL117" s="2"/>
    </row>
    <row r="118" spans="1:38" x14ac:dyDescent="0.3">
      <c r="A118" t="s">
        <v>266</v>
      </c>
      <c r="B118" s="1" t="s">
        <v>267</v>
      </c>
      <c r="C118" t="s">
        <v>33</v>
      </c>
      <c r="D118">
        <v>74896.096578804631</v>
      </c>
      <c r="E118">
        <v>74916.506767227154</v>
      </c>
      <c r="F118">
        <v>77993.058533582793</v>
      </c>
      <c r="G118">
        <v>82170.239921257788</v>
      </c>
      <c r="H118">
        <v>87695.339575860009</v>
      </c>
      <c r="I118">
        <v>92527.711806964231</v>
      </c>
      <c r="J118">
        <v>94243.707323391718</v>
      </c>
      <c r="K118">
        <v>96269.579385121571</v>
      </c>
      <c r="L118">
        <v>97597.996917655328</v>
      </c>
      <c r="M118">
        <v>100292.56847916194</v>
      </c>
      <c r="N118">
        <v>101222.04566440071</v>
      </c>
      <c r="O118">
        <v>105614.17986395175</v>
      </c>
      <c r="P118">
        <v>112417.87845800121</v>
      </c>
      <c r="Q118">
        <v>110094.79233874493</v>
      </c>
      <c r="R118">
        <v>104574.34988768162</v>
      </c>
      <c r="S118">
        <v>106544.05724172312</v>
      </c>
      <c r="T118">
        <v>105290.24904882653</v>
      </c>
      <c r="U118">
        <v>104487.74423870388</v>
      </c>
      <c r="V118">
        <v>105338.95605928342</v>
      </c>
      <c r="W118">
        <v>105583.93701412271</v>
      </c>
      <c r="X118">
        <v>105462.01258442263</v>
      </c>
      <c r="Y118">
        <v>108351.45215893305</v>
      </c>
      <c r="Z118">
        <v>107142.12755644266</v>
      </c>
      <c r="AA118">
        <v>106376.78356576333</v>
      </c>
      <c r="AB118">
        <v>107350.62668727605</v>
      </c>
      <c r="AC118">
        <v>104616.0346780102</v>
      </c>
      <c r="AD118">
        <v>110425.88843286013</v>
      </c>
      <c r="AE118">
        <v>109714.92431612939</v>
      </c>
      <c r="AH118">
        <f t="shared" si="1"/>
        <v>1.4240579043016233</v>
      </c>
      <c r="AL118" s="2"/>
    </row>
    <row r="119" spans="1:38" x14ac:dyDescent="0.3">
      <c r="A119" t="s">
        <v>268</v>
      </c>
      <c r="B119" s="1" t="s">
        <v>269</v>
      </c>
      <c r="C119" t="s">
        <v>33</v>
      </c>
      <c r="D119">
        <v>35241.716801641363</v>
      </c>
      <c r="E119">
        <v>34429.522833768409</v>
      </c>
      <c r="F119">
        <v>33716.074933257049</v>
      </c>
      <c r="G119">
        <v>31631.242624222203</v>
      </c>
      <c r="H119">
        <v>30395.950239439571</v>
      </c>
      <c r="I119">
        <v>31668.02198559952</v>
      </c>
      <c r="J119">
        <v>32046.558493002216</v>
      </c>
      <c r="K119">
        <v>34083.77426927301</v>
      </c>
      <c r="L119">
        <v>36992.724048927623</v>
      </c>
      <c r="M119">
        <v>45563.786805078838</v>
      </c>
      <c r="N119">
        <v>47924.159175316592</v>
      </c>
      <c r="O119">
        <v>52907.226084404443</v>
      </c>
      <c r="P119">
        <v>58983.69870695311</v>
      </c>
      <c r="Q119">
        <v>59403.870000970928</v>
      </c>
      <c r="R119">
        <v>58611.75032296226</v>
      </c>
      <c r="S119">
        <v>71457.916990301906</v>
      </c>
      <c r="T119">
        <v>84818.716634075303</v>
      </c>
      <c r="U119">
        <v>90787.608677583834</v>
      </c>
      <c r="V119">
        <v>98752.228920440932</v>
      </c>
      <c r="W119">
        <v>95001.482204109241</v>
      </c>
      <c r="X119">
        <v>73220.635555166125</v>
      </c>
      <c r="Y119">
        <v>71394.861144146067</v>
      </c>
      <c r="Z119">
        <v>76970.268211903778</v>
      </c>
      <c r="AA119">
        <v>80342.587577368162</v>
      </c>
      <c r="AB119">
        <v>76789.406576992769</v>
      </c>
      <c r="AC119">
        <v>34410.345799794253</v>
      </c>
      <c r="AD119">
        <v>41869.839240594942</v>
      </c>
      <c r="AE119">
        <v>32482.920552713011</v>
      </c>
      <c r="AH119">
        <f t="shared" si="1"/>
        <v>-0.30145614110164143</v>
      </c>
      <c r="AL119" s="2"/>
    </row>
    <row r="120" spans="1:38" x14ac:dyDescent="0.3">
      <c r="A120" t="s">
        <v>270</v>
      </c>
      <c r="B120" s="1" t="s">
        <v>271</v>
      </c>
      <c r="C120" t="s">
        <v>33</v>
      </c>
      <c r="D120">
        <v>460.5071840854518</v>
      </c>
      <c r="E120">
        <v>455.69716718554974</v>
      </c>
      <c r="F120">
        <v>457.77432326154729</v>
      </c>
      <c r="G120">
        <v>460.98213890130734</v>
      </c>
      <c r="H120">
        <v>467.91919318884322</v>
      </c>
      <c r="I120">
        <v>474.13902191409403</v>
      </c>
      <c r="J120">
        <v>487.66110252351666</v>
      </c>
      <c r="K120">
        <v>414.68733644266644</v>
      </c>
      <c r="L120">
        <v>442.10322966432255</v>
      </c>
      <c r="M120">
        <v>451.92122635955798</v>
      </c>
      <c r="N120">
        <v>459.77498259123325</v>
      </c>
      <c r="O120">
        <v>470.6185887303003</v>
      </c>
      <c r="P120">
        <v>483.14527139851236</v>
      </c>
      <c r="Q120">
        <v>500.78247263489027</v>
      </c>
      <c r="R120">
        <v>467.115644011521</v>
      </c>
      <c r="S120">
        <v>456.72920707884492</v>
      </c>
      <c r="T120">
        <v>451.12750464152714</v>
      </c>
      <c r="U120">
        <v>452.20500843305774</v>
      </c>
      <c r="V120">
        <v>450.41208525845485</v>
      </c>
      <c r="W120">
        <v>453.3834142416365</v>
      </c>
      <c r="X120">
        <v>455.63803458407023</v>
      </c>
      <c r="Y120">
        <v>461.736048112361</v>
      </c>
      <c r="Z120">
        <v>467.65506762466345</v>
      </c>
      <c r="AA120">
        <v>470.42389826686514</v>
      </c>
      <c r="AB120">
        <v>478.92696135297359</v>
      </c>
      <c r="AC120">
        <v>433.83823999149428</v>
      </c>
      <c r="AD120">
        <v>447.78467591887039</v>
      </c>
      <c r="AE120">
        <v>453.85814701185529</v>
      </c>
      <c r="AH120">
        <f t="shared" si="1"/>
        <v>-5.3851267186644236E-2</v>
      </c>
      <c r="AL120" s="2"/>
    </row>
    <row r="121" spans="1:38" x14ac:dyDescent="0.3">
      <c r="A121" t="s">
        <v>272</v>
      </c>
      <c r="B121" s="1" t="s">
        <v>273</v>
      </c>
      <c r="C121" t="s">
        <v>33</v>
      </c>
      <c r="D121">
        <v>386.70081365771023</v>
      </c>
      <c r="E121">
        <v>407.03665552570749</v>
      </c>
      <c r="F121">
        <v>414.34938545724941</v>
      </c>
      <c r="G121">
        <v>421.67383312055273</v>
      </c>
      <c r="H121">
        <v>424.94038373368784</v>
      </c>
      <c r="I121">
        <v>421.81945819697467</v>
      </c>
      <c r="J121">
        <v>391.44207344424228</v>
      </c>
      <c r="K121">
        <v>388.44592456349471</v>
      </c>
      <c r="L121">
        <v>400.30094937211533</v>
      </c>
      <c r="M121">
        <v>411.00407953462206</v>
      </c>
      <c r="N121">
        <v>412.98204341983342</v>
      </c>
      <c r="O121">
        <v>420.43860399822228</v>
      </c>
      <c r="P121">
        <v>447.92277023308549</v>
      </c>
      <c r="Q121">
        <v>468.46737414917249</v>
      </c>
      <c r="R121">
        <v>492.9480119873582</v>
      </c>
      <c r="S121">
        <v>511.81828989715507</v>
      </c>
      <c r="T121">
        <v>521.89979685934338</v>
      </c>
      <c r="U121">
        <v>516.96320828950059</v>
      </c>
      <c r="V121">
        <v>529.8504098205533</v>
      </c>
      <c r="W121">
        <v>544.26379390838008</v>
      </c>
      <c r="X121">
        <v>544.27687274183609</v>
      </c>
      <c r="Y121">
        <v>542.92573703234882</v>
      </c>
      <c r="Z121">
        <v>549.6263017001279</v>
      </c>
      <c r="AA121">
        <v>558.56045270260176</v>
      </c>
      <c r="AB121">
        <v>573.40011403859421</v>
      </c>
      <c r="AC121">
        <v>562.78303878653128</v>
      </c>
      <c r="AD121">
        <v>563.36195627670247</v>
      </c>
      <c r="AE121">
        <v>554.19850345791667</v>
      </c>
      <c r="AH121">
        <f t="shared" si="1"/>
        <v>1.3417800329626361</v>
      </c>
      <c r="AL121" s="2"/>
    </row>
    <row r="122" spans="1:38" x14ac:dyDescent="0.3">
      <c r="A122" t="s">
        <v>274</v>
      </c>
      <c r="B122" s="1" t="s">
        <v>275</v>
      </c>
      <c r="C122" t="s">
        <v>33</v>
      </c>
      <c r="D122">
        <v>5826.8708467063643</v>
      </c>
      <c r="E122">
        <v>6238.6485994460145</v>
      </c>
      <c r="F122">
        <v>6518.9960681069515</v>
      </c>
      <c r="G122">
        <v>5883.7970407482853</v>
      </c>
      <c r="H122">
        <v>6089.1066749680149</v>
      </c>
      <c r="I122">
        <v>6461.9912733169349</v>
      </c>
      <c r="J122">
        <v>6330.6282542456747</v>
      </c>
      <c r="K122">
        <v>6506.1179273239222</v>
      </c>
      <c r="L122">
        <v>6716.6432581560621</v>
      </c>
      <c r="M122">
        <v>7004.1377457999852</v>
      </c>
      <c r="N122">
        <v>7209.6171104474679</v>
      </c>
      <c r="O122">
        <v>7444.0267353970539</v>
      </c>
      <c r="P122">
        <v>7742.5780254999463</v>
      </c>
      <c r="Q122">
        <v>7948.9476189373618</v>
      </c>
      <c r="R122">
        <v>7675.2381029346388</v>
      </c>
      <c r="S122">
        <v>8101.4071201943971</v>
      </c>
      <c r="T122">
        <v>8393.9629789130995</v>
      </c>
      <c r="U122">
        <v>8711.2958540712116</v>
      </c>
      <c r="V122">
        <v>8976.5456139839007</v>
      </c>
      <c r="W122">
        <v>9369.1021584048685</v>
      </c>
      <c r="X122">
        <v>9699.6004634273631</v>
      </c>
      <c r="Y122">
        <v>9984.1636806023362</v>
      </c>
      <c r="Z122">
        <v>10416.041693437473</v>
      </c>
      <c r="AA122">
        <v>10777.766521351823</v>
      </c>
      <c r="AB122">
        <v>11114.560530573392</v>
      </c>
      <c r="AC122">
        <v>10382.727479528197</v>
      </c>
      <c r="AD122">
        <v>10605.676957988942</v>
      </c>
      <c r="AE122">
        <v>11399.39713735103</v>
      </c>
      <c r="AH122">
        <f t="shared" si="1"/>
        <v>2.5166283978727888</v>
      </c>
      <c r="AL122" s="2"/>
    </row>
    <row r="123" spans="1:38" x14ac:dyDescent="0.3">
      <c r="A123" t="s">
        <v>276</v>
      </c>
      <c r="B123" s="1" t="s">
        <v>277</v>
      </c>
      <c r="C123" t="s">
        <v>33</v>
      </c>
      <c r="D123">
        <v>5556.2574189345551</v>
      </c>
      <c r="E123">
        <v>5864.9556914466411</v>
      </c>
      <c r="F123">
        <v>6234.6373614661861</v>
      </c>
      <c r="G123">
        <v>6585.4876010877788</v>
      </c>
      <c r="H123">
        <v>6883.6981939245297</v>
      </c>
      <c r="I123">
        <v>7037.197734784957</v>
      </c>
      <c r="J123">
        <v>6646.3501035801874</v>
      </c>
      <c r="K123">
        <v>7008.4474860812661</v>
      </c>
      <c r="L123">
        <v>7839.5595675129853</v>
      </c>
      <c r="M123">
        <v>8160.7536739498337</v>
      </c>
      <c r="N123">
        <v>7129.6321214560458</v>
      </c>
      <c r="O123">
        <v>8605.693713166298</v>
      </c>
      <c r="P123">
        <v>8914.614394320166</v>
      </c>
      <c r="Q123">
        <v>9376.0786513968033</v>
      </c>
      <c r="R123">
        <v>8311.3452419822152</v>
      </c>
      <c r="S123">
        <v>8571.5599233625071</v>
      </c>
      <c r="T123">
        <v>8986.6257974082018</v>
      </c>
      <c r="U123">
        <v>8888.1148464997823</v>
      </c>
      <c r="V123">
        <v>9194.1155832266559</v>
      </c>
      <c r="W123">
        <v>9530.5884479505512</v>
      </c>
      <c r="X123">
        <v>9480.4315142010146</v>
      </c>
      <c r="Y123">
        <v>9688.2482882058739</v>
      </c>
      <c r="Z123">
        <v>9972.3771436581465</v>
      </c>
      <c r="AA123">
        <v>10453.635528056715</v>
      </c>
      <c r="AB123">
        <v>10888.644565756949</v>
      </c>
      <c r="AC123">
        <v>7164.3073921860341</v>
      </c>
      <c r="AD123">
        <v>9731.5561909590942</v>
      </c>
      <c r="AE123">
        <v>11035.582482748438</v>
      </c>
      <c r="AH123">
        <f t="shared" si="1"/>
        <v>2.5740527228647503</v>
      </c>
      <c r="AL123" s="2"/>
    </row>
    <row r="124" spans="1:38" x14ac:dyDescent="0.3">
      <c r="A124" t="s">
        <v>278</v>
      </c>
      <c r="B124" s="1" t="s">
        <v>279</v>
      </c>
      <c r="C124" t="s">
        <v>33</v>
      </c>
      <c r="D124">
        <v>494.59023221281018</v>
      </c>
      <c r="E124">
        <v>518.47054630623541</v>
      </c>
      <c r="F124">
        <v>531.57718530285376</v>
      </c>
      <c r="G124">
        <v>557.76434133503096</v>
      </c>
      <c r="H124">
        <v>573.54899012454132</v>
      </c>
      <c r="I124">
        <v>556.77239407158004</v>
      </c>
      <c r="J124">
        <v>623.2663744374795</v>
      </c>
      <c r="K124">
        <v>622.79672289451355</v>
      </c>
      <c r="L124">
        <v>658.14271882153514</v>
      </c>
      <c r="M124">
        <v>646.9280496500121</v>
      </c>
      <c r="N124">
        <v>666.79442186700578</v>
      </c>
      <c r="O124">
        <v>675.18894946814089</v>
      </c>
      <c r="P124">
        <v>676.08003177335593</v>
      </c>
      <c r="Q124">
        <v>685.4606705643431</v>
      </c>
      <c r="R124">
        <v>695.39448652740998</v>
      </c>
      <c r="S124">
        <v>708.93047394078451</v>
      </c>
      <c r="T124">
        <v>708.41867247995833</v>
      </c>
      <c r="U124">
        <v>682.28784418817111</v>
      </c>
      <c r="V124">
        <v>677.86114101675105</v>
      </c>
      <c r="W124">
        <v>703.23103447762605</v>
      </c>
      <c r="X124">
        <v>723.50420494766263</v>
      </c>
      <c r="Y124">
        <v>741.79763468313138</v>
      </c>
      <c r="Z124">
        <v>756.42807320506404</v>
      </c>
      <c r="AA124">
        <v>767.57159552185919</v>
      </c>
      <c r="AB124">
        <v>779.32662498143327</v>
      </c>
      <c r="AC124">
        <v>745.88598478540246</v>
      </c>
      <c r="AD124">
        <v>744.76042731959376</v>
      </c>
      <c r="AE124">
        <v>748.974818109328</v>
      </c>
      <c r="AH124">
        <f t="shared" si="1"/>
        <v>1.5488190225136034</v>
      </c>
      <c r="AL124" s="2"/>
    </row>
    <row r="125" spans="1:38" x14ac:dyDescent="0.3">
      <c r="A125" t="s">
        <v>280</v>
      </c>
      <c r="B125" s="1" t="s">
        <v>281</v>
      </c>
      <c r="C125" t="s">
        <v>33</v>
      </c>
      <c r="D125">
        <v>12344.826345576965</v>
      </c>
      <c r="E125">
        <v>12727.299154313598</v>
      </c>
      <c r="F125">
        <v>13295.370652500646</v>
      </c>
      <c r="G125">
        <v>13886.292355603415</v>
      </c>
      <c r="H125">
        <v>14455.764756842542</v>
      </c>
      <c r="I125">
        <v>17189.56549407772</v>
      </c>
      <c r="J125">
        <v>16860.522964945005</v>
      </c>
      <c r="K125">
        <v>17164.598393394746</v>
      </c>
      <c r="L125">
        <v>17746.784675830175</v>
      </c>
      <c r="M125">
        <v>17652.718116760745</v>
      </c>
      <c r="N125">
        <v>18134.052035512301</v>
      </c>
      <c r="O125">
        <v>18521.638379980977</v>
      </c>
      <c r="P125">
        <v>19338.430619114832</v>
      </c>
      <c r="Q125">
        <v>19948.17139248582</v>
      </c>
      <c r="R125">
        <v>19573.857994630464</v>
      </c>
      <c r="S125">
        <v>20557.737748897169</v>
      </c>
      <c r="T125">
        <v>20566.427774748157</v>
      </c>
      <c r="U125">
        <v>21221.6057063718</v>
      </c>
      <c r="V125">
        <v>22071.065151099374</v>
      </c>
      <c r="W125">
        <v>23286.226451432623</v>
      </c>
      <c r="X125">
        <v>24921.714176998194</v>
      </c>
      <c r="Y125">
        <v>25181.477100563956</v>
      </c>
      <c r="Z125">
        <v>27164.300416560196</v>
      </c>
      <c r="AA125">
        <v>28177.549539397456</v>
      </c>
      <c r="AB125">
        <v>29003.58181280319</v>
      </c>
      <c r="AC125">
        <v>26077.627344416094</v>
      </c>
      <c r="AD125">
        <v>29103.697385692598</v>
      </c>
      <c r="AE125">
        <v>30379.596801529828</v>
      </c>
      <c r="AH125">
        <f t="shared" si="1"/>
        <v>3.3915568347547387</v>
      </c>
      <c r="AL125" s="2"/>
    </row>
    <row r="126" spans="1:38" x14ac:dyDescent="0.3">
      <c r="A126" t="s">
        <v>282</v>
      </c>
      <c r="B126" s="1" t="s">
        <v>283</v>
      </c>
      <c r="C126" t="s">
        <v>33</v>
      </c>
      <c r="D126">
        <v>3573.0667907014558</v>
      </c>
      <c r="E126">
        <v>3152.9482297488175</v>
      </c>
      <c r="F126">
        <v>2903.5230531484917</v>
      </c>
      <c r="G126">
        <v>2836.0732053306656</v>
      </c>
      <c r="H126">
        <v>2765.6226409018577</v>
      </c>
      <c r="I126">
        <v>2782.9105849280604</v>
      </c>
      <c r="J126">
        <v>2962.5483466429132</v>
      </c>
      <c r="K126">
        <v>3068.7097547493577</v>
      </c>
      <c r="L126">
        <v>3019.2894247178497</v>
      </c>
      <c r="M126">
        <v>3064.5127162507906</v>
      </c>
      <c r="N126">
        <v>3124.8304820671042</v>
      </c>
      <c r="O126">
        <v>3139.1456277372449</v>
      </c>
      <c r="P126">
        <v>3256.60053724811</v>
      </c>
      <c r="Q126">
        <v>3019.9987312336757</v>
      </c>
      <c r="R126">
        <v>3144.715816331086</v>
      </c>
      <c r="S126">
        <v>3326.9890284891417</v>
      </c>
      <c r="T126">
        <v>3347.7533409264411</v>
      </c>
      <c r="U126">
        <v>3352.5424823177063</v>
      </c>
      <c r="V126">
        <v>3531.1482014231283</v>
      </c>
      <c r="W126">
        <v>3554.8600123056699</v>
      </c>
      <c r="X126">
        <v>3703.6490588949605</v>
      </c>
      <c r="Y126">
        <v>3867.6838921624835</v>
      </c>
      <c r="Z126">
        <v>4109.1944568659119</v>
      </c>
      <c r="AA126">
        <v>4454.8435440119074</v>
      </c>
      <c r="AB126">
        <v>5054.8711883816277</v>
      </c>
      <c r="AC126">
        <v>5059.7672773126988</v>
      </c>
      <c r="AD126">
        <v>5281.8776070406429</v>
      </c>
      <c r="AE126">
        <v>5306.9015554789021</v>
      </c>
      <c r="AH126">
        <f t="shared" si="1"/>
        <v>1.4759110609298132</v>
      </c>
      <c r="AL126" s="2"/>
    </row>
    <row r="127" spans="1:38" x14ac:dyDescent="0.3">
      <c r="A127" t="s">
        <v>284</v>
      </c>
      <c r="B127" s="1" t="s">
        <v>285</v>
      </c>
      <c r="C127" t="s">
        <v>33</v>
      </c>
      <c r="D127">
        <v>1377.9265915212209</v>
      </c>
      <c r="E127">
        <v>1429.0044620531198</v>
      </c>
      <c r="F127">
        <v>1340.5931314581267</v>
      </c>
      <c r="G127">
        <v>1342.0571884847386</v>
      </c>
      <c r="H127">
        <v>1354.1300447410536</v>
      </c>
      <c r="I127">
        <v>1265.1604247279847</v>
      </c>
      <c r="J127">
        <v>1224.6807669845036</v>
      </c>
      <c r="K127">
        <v>1215.2512697342956</v>
      </c>
      <c r="L127">
        <v>1271.6751179570176</v>
      </c>
      <c r="M127">
        <v>1303.2716919305217</v>
      </c>
      <c r="N127">
        <v>1384.0142951946461</v>
      </c>
      <c r="O127">
        <v>1601.142833086989</v>
      </c>
      <c r="P127">
        <v>1533.633813720638</v>
      </c>
      <c r="Q127">
        <v>1490.8176662676544</v>
      </c>
      <c r="R127">
        <v>1452.1787514895404</v>
      </c>
      <c r="S127">
        <v>1448.0233220058956</v>
      </c>
      <c r="T127">
        <v>1463.5949223945431</v>
      </c>
      <c r="U127">
        <v>1481.9780029114982</v>
      </c>
      <c r="V127">
        <v>1499.4318239350764</v>
      </c>
      <c r="W127">
        <v>1522.7591186063298</v>
      </c>
      <c r="X127">
        <v>1562.7268364882764</v>
      </c>
      <c r="Y127">
        <v>1541.1628775628596</v>
      </c>
      <c r="Z127">
        <v>1595.2332756739122</v>
      </c>
      <c r="AA127">
        <v>1628.038855163654</v>
      </c>
      <c r="AB127">
        <v>1635.8399967697399</v>
      </c>
      <c r="AC127">
        <v>1588.3620340046355</v>
      </c>
      <c r="AD127">
        <v>1559.8098452060124</v>
      </c>
      <c r="AE127">
        <v>1616.8157140065398</v>
      </c>
      <c r="AH127">
        <f t="shared" si="1"/>
        <v>0.59389999302543739</v>
      </c>
      <c r="AL127" s="2"/>
    </row>
    <row r="128" spans="1:38" x14ac:dyDescent="0.3">
      <c r="A128" t="s">
        <v>286</v>
      </c>
      <c r="B128" s="1" t="s">
        <v>287</v>
      </c>
      <c r="C128" t="s">
        <v>33</v>
      </c>
      <c r="D128">
        <v>4562.7469277578357</v>
      </c>
      <c r="E128">
        <v>4768.6834356832733</v>
      </c>
      <c r="F128">
        <v>4977.1901675731524</v>
      </c>
      <c r="G128">
        <v>5224.1841965085077</v>
      </c>
      <c r="H128">
        <v>5292.8690885976794</v>
      </c>
      <c r="I128">
        <v>5671.0295504200967</v>
      </c>
      <c r="J128">
        <v>5814.748345700119</v>
      </c>
      <c r="K128">
        <v>5867.7736299504922</v>
      </c>
      <c r="L128">
        <v>6170.6487673385145</v>
      </c>
      <c r="M128">
        <v>6397.5934616903114</v>
      </c>
      <c r="N128">
        <v>6472.8738855474121</v>
      </c>
      <c r="O128">
        <v>6756.2295596951672</v>
      </c>
      <c r="P128">
        <v>7110.6949385162352</v>
      </c>
      <c r="Q128">
        <v>7466.6946577168883</v>
      </c>
      <c r="R128">
        <v>7693.7643435387427</v>
      </c>
      <c r="S128">
        <v>8011.4551721970229</v>
      </c>
      <c r="T128">
        <v>8324.7832833796419</v>
      </c>
      <c r="U128">
        <v>8591.9671594709598</v>
      </c>
      <c r="V128">
        <v>8859.2121832294033</v>
      </c>
      <c r="W128">
        <v>9181.6157536256414</v>
      </c>
      <c r="X128">
        <v>9507.8713365642361</v>
      </c>
      <c r="Y128">
        <v>9868.3271664195163</v>
      </c>
      <c r="Z128">
        <v>10247.696057775824</v>
      </c>
      <c r="AA128">
        <v>10652.483688685887</v>
      </c>
      <c r="AB128">
        <v>10956.945022616292</v>
      </c>
      <c r="AC128">
        <v>9362.8743588778998</v>
      </c>
      <c r="AD128">
        <v>9679.1212396938517</v>
      </c>
      <c r="AE128">
        <v>10570.495457234118</v>
      </c>
      <c r="AH128">
        <f t="shared" si="1"/>
        <v>3.1605538882398587</v>
      </c>
      <c r="AL128" s="2"/>
    </row>
    <row r="129" spans="1:38" x14ac:dyDescent="0.3">
      <c r="A129" t="s">
        <v>288</v>
      </c>
      <c r="B129" s="1" t="s">
        <v>289</v>
      </c>
      <c r="C129" t="s">
        <v>33</v>
      </c>
      <c r="D129">
        <v>8049.7432308201205</v>
      </c>
      <c r="E129">
        <v>8399.3425471036026</v>
      </c>
      <c r="F129">
        <v>8849.7320751945772</v>
      </c>
      <c r="G129">
        <v>9240.0071917930363</v>
      </c>
      <c r="H129">
        <v>9340.0798731983141</v>
      </c>
      <c r="I129">
        <v>9655.6024970511444</v>
      </c>
      <c r="J129">
        <v>9464.9950243547646</v>
      </c>
      <c r="K129">
        <v>9300.1173987869315</v>
      </c>
      <c r="L129">
        <v>9271.4403180069276</v>
      </c>
      <c r="M129">
        <v>9461.9237562518992</v>
      </c>
      <c r="N129">
        <v>9524.7424360668556</v>
      </c>
      <c r="O129">
        <v>9847.5128206333284</v>
      </c>
      <c r="P129">
        <v>9920.6878401641716</v>
      </c>
      <c r="Q129">
        <v>9888.1394432218458</v>
      </c>
      <c r="R129">
        <v>9151.7695655817606</v>
      </c>
      <c r="S129">
        <v>9480.1353054163283</v>
      </c>
      <c r="T129">
        <v>9667.626645064267</v>
      </c>
      <c r="U129">
        <v>9872.2925200884038</v>
      </c>
      <c r="V129">
        <v>9826.1323870576016</v>
      </c>
      <c r="W129">
        <v>9947.8860235819047</v>
      </c>
      <c r="X129">
        <v>10098.173180519541</v>
      </c>
      <c r="Y129">
        <v>10161.355707456285</v>
      </c>
      <c r="Z129">
        <v>10240.310424676078</v>
      </c>
      <c r="AA129">
        <v>10343.353429104829</v>
      </c>
      <c r="AB129">
        <v>10226.231332825639</v>
      </c>
      <c r="AC129">
        <v>9273.8109998845193</v>
      </c>
      <c r="AD129">
        <v>9760.4452994586827</v>
      </c>
      <c r="AE129">
        <v>10077.383310476129</v>
      </c>
      <c r="AH129">
        <f t="shared" si="1"/>
        <v>0.83552094221532869</v>
      </c>
      <c r="AL129" s="2"/>
    </row>
    <row r="130" spans="1:38" x14ac:dyDescent="0.3">
      <c r="A130" t="s">
        <v>290</v>
      </c>
      <c r="B130" s="1" t="s">
        <v>291</v>
      </c>
      <c r="C130" t="s">
        <v>33</v>
      </c>
      <c r="D130">
        <v>2834.6301232021337</v>
      </c>
      <c r="E130">
        <v>2733.1006279659732</v>
      </c>
      <c r="F130">
        <v>2559.4094420334313</v>
      </c>
      <c r="G130">
        <v>2625.9152111957319</v>
      </c>
      <c r="H130">
        <v>2658.832599637602</v>
      </c>
      <c r="I130">
        <v>2783.1161768855809</v>
      </c>
      <c r="J130">
        <v>2837.3725481902329</v>
      </c>
      <c r="K130">
        <v>2851.7720505700859</v>
      </c>
      <c r="L130">
        <v>2901.4499198521535</v>
      </c>
      <c r="M130">
        <v>2821.341878649559</v>
      </c>
      <c r="N130">
        <v>2891.873287615655</v>
      </c>
      <c r="O130">
        <v>2906.2690034636939</v>
      </c>
      <c r="P130">
        <v>2872.934132456719</v>
      </c>
      <c r="Q130">
        <v>2825.0958544495156</v>
      </c>
      <c r="R130">
        <v>2878.1113861625081</v>
      </c>
      <c r="S130">
        <v>2950.7987263697842</v>
      </c>
      <c r="T130">
        <v>3036.4484938271476</v>
      </c>
      <c r="U130">
        <v>2970.2651883513795</v>
      </c>
      <c r="V130">
        <v>2851.0354341361467</v>
      </c>
      <c r="W130">
        <v>2774.6947140847892</v>
      </c>
      <c r="X130">
        <v>2891.3221026474939</v>
      </c>
      <c r="Y130">
        <v>2905.0614518995135</v>
      </c>
      <c r="Z130">
        <v>2969.3393340331368</v>
      </c>
      <c r="AA130">
        <v>2962.2385812562834</v>
      </c>
      <c r="AB130">
        <v>2984.9301239023321</v>
      </c>
      <c r="AC130">
        <v>2883.4938709769553</v>
      </c>
      <c r="AD130">
        <v>2799.527102764986</v>
      </c>
      <c r="AE130">
        <v>2751.2686605950289</v>
      </c>
      <c r="AH130">
        <f t="shared" si="1"/>
        <v>-0.11049196536035977</v>
      </c>
      <c r="AL130" s="2"/>
    </row>
    <row r="131" spans="1:38" x14ac:dyDescent="0.3">
      <c r="A131" t="s">
        <v>292</v>
      </c>
      <c r="B131" s="1" t="s">
        <v>293</v>
      </c>
      <c r="C131" t="s">
        <v>33</v>
      </c>
      <c r="D131">
        <v>1512.1571960963408</v>
      </c>
      <c r="E131">
        <v>1426.1393745556697</v>
      </c>
      <c r="F131">
        <v>1454.9999767052529</v>
      </c>
      <c r="G131">
        <v>1360.3605251501206</v>
      </c>
      <c r="H131">
        <v>1316.6057087348534</v>
      </c>
      <c r="I131">
        <v>1347.0928409985866</v>
      </c>
      <c r="J131">
        <v>1432.4652902144362</v>
      </c>
      <c r="K131">
        <v>1547.7777755694979</v>
      </c>
      <c r="L131">
        <v>1654.5839033941568</v>
      </c>
      <c r="M131">
        <v>1781.4257457992501</v>
      </c>
      <c r="N131">
        <v>1919.6979857216281</v>
      </c>
      <c r="O131">
        <v>2017.4426340590903</v>
      </c>
      <c r="P131">
        <v>2082.7865284154368</v>
      </c>
      <c r="Q131">
        <v>2249.5217535976053</v>
      </c>
      <c r="R131">
        <v>2117.222031826449</v>
      </c>
      <c r="S131">
        <v>2269.8096861264512</v>
      </c>
      <c r="T131">
        <v>2403.2605391418269</v>
      </c>
      <c r="U131">
        <v>2389.4009147431016</v>
      </c>
      <c r="V131">
        <v>2606.193065565727</v>
      </c>
      <c r="W131">
        <v>2738.1619727805528</v>
      </c>
      <c r="X131">
        <v>2749.9130382539502</v>
      </c>
      <c r="Y131">
        <v>2911.3377669646216</v>
      </c>
      <c r="Z131">
        <v>3085.7388938656513</v>
      </c>
      <c r="AA131">
        <v>3268.4259666574203</v>
      </c>
      <c r="AB131">
        <v>3439.129639971557</v>
      </c>
      <c r="AC131">
        <v>3189.3363765588374</v>
      </c>
      <c r="AD131">
        <v>3688.6524248452088</v>
      </c>
      <c r="AE131">
        <v>3582.1908544796747</v>
      </c>
      <c r="AH131">
        <f t="shared" ref="AH131:AH194" si="2">IFERROR(((AE131/D131)^(1/27)-1)*100,"NA")</f>
        <v>3.2457748964596966</v>
      </c>
      <c r="AL131" s="2"/>
    </row>
    <row r="132" spans="1:38" x14ac:dyDescent="0.3">
      <c r="A132" t="s">
        <v>294</v>
      </c>
      <c r="B132" s="1" t="s">
        <v>295</v>
      </c>
      <c r="C132" t="s">
        <v>33</v>
      </c>
      <c r="D132">
        <v>108168.98123274521</v>
      </c>
      <c r="E132">
        <v>108553.24859393122</v>
      </c>
      <c r="F132">
        <v>110117.41279309265</v>
      </c>
      <c r="G132">
        <v>113122.31266977168</v>
      </c>
      <c r="H132">
        <v>116188.60480320096</v>
      </c>
      <c r="I132">
        <v>120467.8085331959</v>
      </c>
      <c r="J132">
        <v>123183.00483133829</v>
      </c>
      <c r="K132">
        <v>124670.34564747645</v>
      </c>
      <c r="L132">
        <v>126299.16800132267</v>
      </c>
      <c r="M132">
        <v>129740.54867286382</v>
      </c>
      <c r="N132">
        <v>132564.73608915645</v>
      </c>
      <c r="O132">
        <v>140815.15240815602</v>
      </c>
      <c r="P132">
        <v>162098.94345397272</v>
      </c>
      <c r="Q132">
        <v>163097.96673368834</v>
      </c>
      <c r="R132">
        <v>142205.99553968469</v>
      </c>
      <c r="S132">
        <v>141743.74223702776</v>
      </c>
      <c r="T132">
        <v>148269.83344010342</v>
      </c>
      <c r="U132">
        <v>146511.94880286907</v>
      </c>
      <c r="V132">
        <v>157257.89401560469</v>
      </c>
      <c r="W132">
        <v>165362.50961577424</v>
      </c>
      <c r="X132">
        <v>170338.68038149839</v>
      </c>
      <c r="Y132">
        <v>173916.31578304485</v>
      </c>
      <c r="Z132">
        <v>168744.9942452762</v>
      </c>
      <c r="AA132">
        <v>178571.34795746379</v>
      </c>
      <c r="AB132">
        <v>191194.56218550453</v>
      </c>
      <c r="AC132">
        <v>166822.5717551272</v>
      </c>
      <c r="AD132">
        <v>204610.12044089532</v>
      </c>
      <c r="AE132">
        <v>228667.93528255887</v>
      </c>
      <c r="AH132">
        <f t="shared" si="2"/>
        <v>2.8112961766255218</v>
      </c>
      <c r="AL132" s="2"/>
    </row>
    <row r="133" spans="1:38" x14ac:dyDescent="0.3">
      <c r="A133" t="s">
        <v>296</v>
      </c>
      <c r="B133" s="1" t="s">
        <v>297</v>
      </c>
      <c r="C133" t="s">
        <v>33</v>
      </c>
      <c r="D133">
        <v>1431.4609231411066</v>
      </c>
      <c r="E133">
        <v>1446.8783077257053</v>
      </c>
      <c r="F133">
        <v>1487.6455784971918</v>
      </c>
      <c r="G133">
        <v>1522.3897944559537</v>
      </c>
      <c r="H133">
        <v>1554.0519718345922</v>
      </c>
      <c r="I133">
        <v>1557.4384401755217</v>
      </c>
      <c r="J133">
        <v>1589.4037176702625</v>
      </c>
      <c r="K133">
        <v>1649.9388242993828</v>
      </c>
      <c r="L133">
        <v>1750.1904578105436</v>
      </c>
      <c r="M133">
        <v>1919.757153060355</v>
      </c>
      <c r="N133">
        <v>2041.8684940126284</v>
      </c>
      <c r="O133">
        <v>2197.6947830342951</v>
      </c>
      <c r="P133">
        <v>2400.2250931635631</v>
      </c>
      <c r="Q133">
        <v>2585.8247784810092</v>
      </c>
      <c r="R133">
        <v>2521.5945282285984</v>
      </c>
      <c r="S133">
        <v>2646.5616765431732</v>
      </c>
      <c r="T133">
        <v>3057.3172548601838</v>
      </c>
      <c r="U133">
        <v>3374.4383831291766</v>
      </c>
      <c r="V133">
        <v>3697.6013398628697</v>
      </c>
      <c r="W133">
        <v>3909.9133195470245</v>
      </c>
      <c r="X133">
        <v>3919.3512134396938</v>
      </c>
      <c r="Y133">
        <v>3892.6522040011191</v>
      </c>
      <c r="Z133">
        <v>4023.7856231183746</v>
      </c>
      <c r="AA133">
        <v>4242.3002215750776</v>
      </c>
      <c r="AB133">
        <v>4385.1116768052179</v>
      </c>
      <c r="AC133">
        <v>4106.6026834030736</v>
      </c>
      <c r="AD133">
        <v>4107.1837209512314</v>
      </c>
      <c r="AE133">
        <v>4249.6750140620452</v>
      </c>
      <c r="AH133">
        <f t="shared" si="2"/>
        <v>4.1124875258167881</v>
      </c>
      <c r="AL133" s="2"/>
    </row>
    <row r="134" spans="1:38" x14ac:dyDescent="0.3">
      <c r="A134" t="s">
        <v>298</v>
      </c>
      <c r="B134" s="1" t="s">
        <v>299</v>
      </c>
      <c r="C134" t="s">
        <v>33</v>
      </c>
      <c r="D134" t="s">
        <v>34</v>
      </c>
      <c r="E134" t="s">
        <v>34</v>
      </c>
      <c r="F134">
        <v>4488.7946251219746</v>
      </c>
      <c r="G134">
        <v>4723.1433835847529</v>
      </c>
      <c r="H134">
        <v>4290.8968494134251</v>
      </c>
      <c r="I134">
        <v>4431.6004701441916</v>
      </c>
      <c r="J134">
        <v>4462.3499011788381</v>
      </c>
      <c r="K134">
        <v>4529.123305729946</v>
      </c>
      <c r="L134">
        <v>4623.0760644614993</v>
      </c>
      <c r="M134">
        <v>4819.1478598860795</v>
      </c>
      <c r="N134">
        <v>5013.1959009920956</v>
      </c>
      <c r="O134">
        <v>5435.8862210362695</v>
      </c>
      <c r="P134">
        <v>5798.0649733344744</v>
      </c>
      <c r="Q134">
        <v>6205.8212472094983</v>
      </c>
      <c r="R134">
        <v>5833.6595441890386</v>
      </c>
      <c r="S134">
        <v>5982.1992846606581</v>
      </c>
      <c r="T134">
        <v>6168.8483863741521</v>
      </c>
      <c r="U134">
        <v>5995.7744512044601</v>
      </c>
      <c r="V134">
        <v>6202.5067029478541</v>
      </c>
      <c r="W134">
        <v>6307.018561291743</v>
      </c>
      <c r="X134">
        <v>6517.1926751476358</v>
      </c>
      <c r="Y134">
        <v>6707.8504102082425</v>
      </c>
      <c r="Z134">
        <v>7023.4338118124588</v>
      </c>
      <c r="AA134">
        <v>7381.8076403293653</v>
      </c>
      <c r="AB134">
        <v>7684.183971971851</v>
      </c>
      <c r="AC134">
        <v>6515.5368056045118</v>
      </c>
      <c r="AD134">
        <v>7390.3081172783177</v>
      </c>
      <c r="AE134">
        <v>7889.2376331061369</v>
      </c>
      <c r="AH134" t="str">
        <f t="shared" si="2"/>
        <v>NA</v>
      </c>
      <c r="AL134" s="2"/>
    </row>
    <row r="135" spans="1:38" x14ac:dyDescent="0.3">
      <c r="A135" t="s">
        <v>300</v>
      </c>
      <c r="B135" s="1" t="s">
        <v>301</v>
      </c>
      <c r="C135" t="s">
        <v>33</v>
      </c>
      <c r="D135">
        <v>1692.84704589844</v>
      </c>
      <c r="E135">
        <v>1873.54614257813</v>
      </c>
      <c r="F135">
        <v>1816.91381835938</v>
      </c>
      <c r="G135">
        <v>1920.13293457031</v>
      </c>
      <c r="H135">
        <v>1925.39514160156</v>
      </c>
      <c r="I135">
        <v>1948.35461425781</v>
      </c>
      <c r="J135">
        <v>2070.84765625</v>
      </c>
      <c r="K135">
        <v>2120.13110351563</v>
      </c>
      <c r="L135">
        <v>2222.93701171875</v>
      </c>
      <c r="M135">
        <v>2295.01538085938</v>
      </c>
      <c r="N135">
        <v>2336.50341796875</v>
      </c>
      <c r="O135">
        <v>2484.974609375</v>
      </c>
      <c r="P135">
        <v>2536.77734375</v>
      </c>
      <c r="Q135">
        <v>2646.06469726563</v>
      </c>
      <c r="R135">
        <v>2709.4091796875</v>
      </c>
      <c r="S135">
        <v>2766.921875</v>
      </c>
      <c r="T135">
        <v>2879.9443359375</v>
      </c>
      <c r="U135">
        <v>2927.29077148438</v>
      </c>
      <c r="V135">
        <v>3006.31689453125</v>
      </c>
      <c r="W135">
        <v>3047.13110351563</v>
      </c>
      <c r="X135">
        <v>3139.22827148438</v>
      </c>
      <c r="Y135">
        <v>3116.56298828125</v>
      </c>
      <c r="Z135">
        <v>3234.75170898438</v>
      </c>
      <c r="AA135">
        <v>3296.19409179688</v>
      </c>
      <c r="AB135">
        <v>3355.61328125</v>
      </c>
      <c r="AC135">
        <v>3081.662109375</v>
      </c>
      <c r="AD135">
        <v>3293.703125</v>
      </c>
      <c r="AE135">
        <v>3300.7998046875</v>
      </c>
      <c r="AH135">
        <f t="shared" si="2"/>
        <v>2.50399571831601</v>
      </c>
      <c r="AL135" s="2"/>
    </row>
    <row r="136" spans="1:38" x14ac:dyDescent="0.3">
      <c r="A136" t="s">
        <v>302</v>
      </c>
      <c r="B136" s="1" t="s">
        <v>303</v>
      </c>
      <c r="C136" t="s">
        <v>33</v>
      </c>
      <c r="D136">
        <v>217.05968923831603</v>
      </c>
      <c r="E136">
        <v>233.03300146780441</v>
      </c>
      <c r="F136">
        <v>253.59220255016109</v>
      </c>
      <c r="G136">
        <v>273.2479562947666</v>
      </c>
      <c r="H136">
        <v>298.2296003548588</v>
      </c>
      <c r="I136">
        <v>293.23189562637708</v>
      </c>
      <c r="J136">
        <v>322.70425682830114</v>
      </c>
      <c r="K136">
        <v>344.92751754591831</v>
      </c>
      <c r="L136">
        <v>360.34378884153921</v>
      </c>
      <c r="M136">
        <v>379.85836640333429</v>
      </c>
      <c r="N136">
        <v>393.51095476101779</v>
      </c>
      <c r="O136">
        <v>421.56287400773294</v>
      </c>
      <c r="P136">
        <v>442.19751584216351</v>
      </c>
      <c r="Q136">
        <v>460.3873993764193</v>
      </c>
      <c r="R136">
        <v>474.83571783576167</v>
      </c>
      <c r="S136">
        <v>492.56757239102114</v>
      </c>
      <c r="T136">
        <v>512.45639534593261</v>
      </c>
      <c r="U136">
        <v>536.99010362346939</v>
      </c>
      <c r="V136">
        <v>554.9607558977192</v>
      </c>
      <c r="W136">
        <v>579.64236919599898</v>
      </c>
      <c r="X136">
        <v>603.83851377791473</v>
      </c>
      <c r="Y136">
        <v>612.72451532339323</v>
      </c>
      <c r="Z136">
        <v>609.67354907808817</v>
      </c>
      <c r="AA136">
        <v>612.59905997870339</v>
      </c>
      <c r="AB136">
        <v>608.96362492753997</v>
      </c>
      <c r="AC136">
        <v>584.31495204453734</v>
      </c>
      <c r="AD136">
        <v>581.44427163290095</v>
      </c>
      <c r="AE136">
        <v>590.36904429433127</v>
      </c>
      <c r="AH136">
        <f t="shared" si="2"/>
        <v>3.7753572331856722</v>
      </c>
      <c r="AL136" s="2"/>
    </row>
    <row r="137" spans="1:38" x14ac:dyDescent="0.3">
      <c r="A137" t="s">
        <v>304</v>
      </c>
      <c r="B137" s="1" t="s">
        <v>305</v>
      </c>
      <c r="C137" t="s">
        <v>33</v>
      </c>
      <c r="D137">
        <v>210.5420354334484</v>
      </c>
      <c r="E137">
        <v>221.30330886190757</v>
      </c>
      <c r="F137">
        <v>230.89299509349303</v>
      </c>
      <c r="G137">
        <v>241.44981166656302</v>
      </c>
      <c r="H137">
        <v>264.75178466433539</v>
      </c>
      <c r="I137">
        <v>297.85973711816933</v>
      </c>
      <c r="J137">
        <v>328.2146367160272</v>
      </c>
      <c r="K137">
        <v>364.00253085069824</v>
      </c>
      <c r="L137">
        <v>410.47344710479854</v>
      </c>
      <c r="M137">
        <v>462.07451949673447</v>
      </c>
      <c r="N137">
        <v>520.5284904864867</v>
      </c>
      <c r="O137">
        <v>584.14042898448531</v>
      </c>
      <c r="P137">
        <v>649.36145319159004</v>
      </c>
      <c r="Q137">
        <v>711.78516349048095</v>
      </c>
      <c r="R137">
        <v>782.28162666845446</v>
      </c>
      <c r="S137">
        <v>851.1357474169331</v>
      </c>
      <c r="T137">
        <v>891.4435848860644</v>
      </c>
      <c r="U137">
        <v>948.73812767349841</v>
      </c>
      <c r="V137">
        <v>1019.9423911618708</v>
      </c>
      <c r="W137">
        <v>1092.298802114226</v>
      </c>
      <c r="X137">
        <v>1159.3402007453321</v>
      </c>
      <c r="Y137">
        <v>1219.6653509152991</v>
      </c>
      <c r="Z137">
        <v>1284.7017413104379</v>
      </c>
      <c r="AA137">
        <v>1355.4476722293814</v>
      </c>
      <c r="AB137">
        <v>1434.4322626529565</v>
      </c>
      <c r="AC137">
        <v>1295.2870118363446</v>
      </c>
      <c r="AD137">
        <v>1131.6990453009387</v>
      </c>
      <c r="AE137">
        <v>1169.1068332012032</v>
      </c>
      <c r="AH137">
        <f t="shared" si="2"/>
        <v>6.5551988211022039</v>
      </c>
      <c r="AL137" s="2"/>
    </row>
    <row r="138" spans="1:38" x14ac:dyDescent="0.3">
      <c r="A138" t="s">
        <v>306</v>
      </c>
      <c r="B138" s="1" t="s">
        <v>307</v>
      </c>
      <c r="C138" t="s">
        <v>33</v>
      </c>
      <c r="D138">
        <v>2939.4912496335169</v>
      </c>
      <c r="E138">
        <v>2951.1357350926792</v>
      </c>
      <c r="F138">
        <v>2997.2499045994941</v>
      </c>
      <c r="G138">
        <v>3019.7359481092212</v>
      </c>
      <c r="H138">
        <v>3047.1862851704559</v>
      </c>
      <c r="I138">
        <v>3082.7592074117983</v>
      </c>
      <c r="J138">
        <v>3056.4676831540664</v>
      </c>
      <c r="K138">
        <v>3148.3527749675995</v>
      </c>
      <c r="L138">
        <v>3235.7467369885521</v>
      </c>
      <c r="M138">
        <v>3587.8387252055913</v>
      </c>
      <c r="N138">
        <v>3634.6203258863256</v>
      </c>
      <c r="O138">
        <v>3845.2883740964253</v>
      </c>
      <c r="P138">
        <v>4001.7089882570353</v>
      </c>
      <c r="Q138">
        <v>4053.2199988996808</v>
      </c>
      <c r="R138">
        <v>4007.4852656822491</v>
      </c>
      <c r="S138">
        <v>4186.0421468640179</v>
      </c>
      <c r="T138">
        <v>4330.9440294859842</v>
      </c>
      <c r="U138">
        <v>4476.4143533387341</v>
      </c>
      <c r="V138">
        <v>4648.3171510815364</v>
      </c>
      <c r="W138">
        <v>4846.8895117152733</v>
      </c>
      <c r="X138">
        <v>4965.6727650655112</v>
      </c>
      <c r="Y138">
        <v>4880.4450375467313</v>
      </c>
      <c r="Z138">
        <v>4746.1833293415166</v>
      </c>
      <c r="AA138">
        <v>4714.4525182456509</v>
      </c>
      <c r="AB138">
        <v>4596.6195761752397</v>
      </c>
      <c r="AC138">
        <v>4152.1806478348026</v>
      </c>
      <c r="AD138">
        <v>4228.7849433372749</v>
      </c>
      <c r="AE138">
        <v>4483.2830178104568</v>
      </c>
      <c r="AH138">
        <f t="shared" si="2"/>
        <v>1.5756890704915039</v>
      </c>
      <c r="AL138" s="2"/>
    </row>
    <row r="139" spans="1:38" x14ac:dyDescent="0.3">
      <c r="A139" t="s">
        <v>308</v>
      </c>
      <c r="B139" s="1" t="s">
        <v>309</v>
      </c>
      <c r="C139" t="s">
        <v>33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>
        <v>4187.7459792841637</v>
      </c>
      <c r="N139">
        <v>3865.6539128410395</v>
      </c>
      <c r="O139">
        <v>3544.9076597518806</v>
      </c>
      <c r="P139">
        <v>3306.2604686938612</v>
      </c>
      <c r="Q139">
        <v>5468.1119577205691</v>
      </c>
      <c r="R139">
        <v>5141.7309840441512</v>
      </c>
      <c r="S139">
        <v>5054.8480376839962</v>
      </c>
      <c r="T139">
        <v>5529.3693658206548</v>
      </c>
      <c r="U139">
        <v>7150.5005467805177</v>
      </c>
      <c r="V139">
        <v>7300.7635434621016</v>
      </c>
      <c r="W139">
        <v>8222.6002755952159</v>
      </c>
      <c r="X139">
        <v>7587.2544103888858</v>
      </c>
      <c r="Y139">
        <v>8013.6850421103154</v>
      </c>
      <c r="Z139">
        <v>7337.1062306113427</v>
      </c>
      <c r="AA139">
        <v>7757.5604019135935</v>
      </c>
      <c r="AB139">
        <v>8254.1097827757712</v>
      </c>
      <c r="AC139">
        <v>8476.0074635522233</v>
      </c>
      <c r="AD139">
        <v>8614.5447635563596</v>
      </c>
      <c r="AE139">
        <v>8641.7617894267132</v>
      </c>
      <c r="AH139" t="str">
        <f t="shared" si="2"/>
        <v>NA</v>
      </c>
      <c r="AL139" s="2"/>
    </row>
    <row r="140" spans="1:38" x14ac:dyDescent="0.3">
      <c r="A140" t="s">
        <v>310</v>
      </c>
      <c r="B140" s="1" t="s">
        <v>311</v>
      </c>
      <c r="C140" t="s">
        <v>33</v>
      </c>
      <c r="D140">
        <v>476.45319240920605</v>
      </c>
      <c r="E140">
        <v>491.30277241819215</v>
      </c>
      <c r="F140">
        <v>505.77440705214019</v>
      </c>
      <c r="G140">
        <v>511.05296827007595</v>
      </c>
      <c r="H140">
        <v>523.88260930637148</v>
      </c>
      <c r="I140">
        <v>546.93162520011424</v>
      </c>
      <c r="J140">
        <v>564.07542634619324</v>
      </c>
      <c r="K140">
        <v>556.36823143073559</v>
      </c>
      <c r="L140">
        <v>570.41957423662836</v>
      </c>
      <c r="M140">
        <v>589.75761538808877</v>
      </c>
      <c r="N140">
        <v>603.7488471854316</v>
      </c>
      <c r="O140">
        <v>618.55929219125198</v>
      </c>
      <c r="P140">
        <v>635.00008254322461</v>
      </c>
      <c r="Q140">
        <v>669.5565417279081</v>
      </c>
      <c r="R140">
        <v>696.14276715716551</v>
      </c>
      <c r="S140">
        <v>726.05527888144172</v>
      </c>
      <c r="T140">
        <v>748.0124941576795</v>
      </c>
      <c r="U140">
        <v>781.1038725059534</v>
      </c>
      <c r="V140">
        <v>807.13694057337079</v>
      </c>
      <c r="W140">
        <v>853.14805016019091</v>
      </c>
      <c r="X140">
        <v>882.30766344454094</v>
      </c>
      <c r="Y140">
        <v>878.15038851681436</v>
      </c>
      <c r="Z140">
        <v>946.0425579555988</v>
      </c>
      <c r="AA140">
        <v>1006.606909114519</v>
      </c>
      <c r="AB140">
        <v>1061.4862777239475</v>
      </c>
      <c r="AC140">
        <v>1018.1079128913165</v>
      </c>
      <c r="AD140">
        <v>1042.9739742091917</v>
      </c>
      <c r="AE140">
        <v>1083.0345499781595</v>
      </c>
      <c r="AH140">
        <f t="shared" si="2"/>
        <v>3.088026304224023</v>
      </c>
      <c r="AL140" s="2"/>
    </row>
    <row r="141" spans="1:38" x14ac:dyDescent="0.3">
      <c r="A141" t="s">
        <v>312</v>
      </c>
      <c r="B141" s="1" t="s">
        <v>313</v>
      </c>
      <c r="C141" t="s">
        <v>33</v>
      </c>
      <c r="D141">
        <v>33696.743828198312</v>
      </c>
      <c r="E141">
        <v>34715.161630612522</v>
      </c>
      <c r="F141">
        <v>36032.040245847689</v>
      </c>
      <c r="G141">
        <v>37480.709447773239</v>
      </c>
      <c r="H141">
        <v>39106.388161719929</v>
      </c>
      <c r="I141">
        <v>40456.942237447394</v>
      </c>
      <c r="J141">
        <v>41087.042173269016</v>
      </c>
      <c r="K141">
        <v>40914.32550267678</v>
      </c>
      <c r="L141">
        <v>40785.122221620579</v>
      </c>
      <c r="M141">
        <v>41450.40426972659</v>
      </c>
      <c r="N141">
        <v>42201.775413308162</v>
      </c>
      <c r="O141">
        <v>43592.30274492209</v>
      </c>
      <c r="P141">
        <v>45138.678436798022</v>
      </c>
      <c r="Q141">
        <v>45939.14819878462</v>
      </c>
      <c r="R141">
        <v>44027.602557770631</v>
      </c>
      <c r="S141">
        <v>44390.504409813446</v>
      </c>
      <c r="T141">
        <v>44869.312941309385</v>
      </c>
      <c r="U141">
        <v>44242.973526130416</v>
      </c>
      <c r="V141">
        <v>44055.304259047305</v>
      </c>
      <c r="W141">
        <v>44521.894539027635</v>
      </c>
      <c r="X141">
        <v>45193.403218797073</v>
      </c>
      <c r="Y141">
        <v>45938.785044086471</v>
      </c>
      <c r="Z141">
        <v>46997.345454196155</v>
      </c>
      <c r="AA141">
        <v>47826.819117284314</v>
      </c>
      <c r="AB141">
        <v>48443.732054028282</v>
      </c>
      <c r="AC141">
        <v>46303.218862469992</v>
      </c>
      <c r="AD141">
        <v>48913.518990252247</v>
      </c>
      <c r="AE141">
        <v>50546.789372816937</v>
      </c>
      <c r="AH141">
        <f t="shared" si="2"/>
        <v>1.5131796225420047</v>
      </c>
      <c r="AL141" s="2"/>
    </row>
    <row r="142" spans="1:38" x14ac:dyDescent="0.3">
      <c r="A142" t="s">
        <v>314</v>
      </c>
      <c r="B142" s="1" t="s">
        <v>315</v>
      </c>
      <c r="C142" t="s">
        <v>33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>
        <v>32428.572234824089</v>
      </c>
      <c r="Y142" t="s">
        <v>34</v>
      </c>
      <c r="Z142" t="s">
        <v>34</v>
      </c>
      <c r="AA142" t="s">
        <v>34</v>
      </c>
      <c r="AB142" t="s">
        <v>34</v>
      </c>
      <c r="AC142" t="s">
        <v>34</v>
      </c>
      <c r="AD142" t="s">
        <v>34</v>
      </c>
      <c r="AE142" t="s">
        <v>34</v>
      </c>
      <c r="AH142" t="str">
        <f t="shared" si="2"/>
        <v>NA</v>
      </c>
      <c r="AL142" s="2"/>
    </row>
    <row r="143" spans="1:38" x14ac:dyDescent="0.3">
      <c r="A143" t="s">
        <v>316</v>
      </c>
      <c r="B143" s="1" t="s">
        <v>317</v>
      </c>
      <c r="C143" t="s">
        <v>33</v>
      </c>
      <c r="D143">
        <v>27994.037011908866</v>
      </c>
      <c r="E143">
        <v>28550.753666005392</v>
      </c>
      <c r="F143">
        <v>28764.400200683307</v>
      </c>
      <c r="G143">
        <v>28755.238448184424</v>
      </c>
      <c r="H143">
        <v>30142.128230714894</v>
      </c>
      <c r="I143">
        <v>30825.956797365161</v>
      </c>
      <c r="J143">
        <v>31690.097006423937</v>
      </c>
      <c r="K143">
        <v>32612.471211648528</v>
      </c>
      <c r="L143">
        <v>33487.092249767091</v>
      </c>
      <c r="M143">
        <v>34342.153696608948</v>
      </c>
      <c r="N143">
        <v>35095.363160672816</v>
      </c>
      <c r="O143">
        <v>35640.384457899076</v>
      </c>
      <c r="P143">
        <v>36391.896540959286</v>
      </c>
      <c r="Q143">
        <v>35647.467599539297</v>
      </c>
      <c r="R143">
        <v>35253.313478105243</v>
      </c>
      <c r="S143">
        <v>35374.92542234758</v>
      </c>
      <c r="T143">
        <v>35886.137259720228</v>
      </c>
      <c r="U143">
        <v>36501.183858046374</v>
      </c>
      <c r="V143">
        <v>37223.306644871467</v>
      </c>
      <c r="W143">
        <v>38005.281930210018</v>
      </c>
      <c r="X143">
        <v>38630.726588692844</v>
      </c>
      <c r="Y143">
        <v>39208.767633312928</v>
      </c>
      <c r="Z143">
        <v>39751.613615731498</v>
      </c>
      <c r="AA143">
        <v>40422.345794178356</v>
      </c>
      <c r="AB143">
        <v>40757.368151816656</v>
      </c>
      <c r="AC143">
        <v>39607.878927006575</v>
      </c>
      <c r="AD143">
        <v>41481.986743401096</v>
      </c>
      <c r="AE143">
        <v>42558.936285898846</v>
      </c>
      <c r="AH143">
        <f t="shared" si="2"/>
        <v>1.5635731501504768</v>
      </c>
      <c r="AL143" s="2"/>
    </row>
    <row r="144" spans="1:38" x14ac:dyDescent="0.3">
      <c r="A144" t="s">
        <v>318</v>
      </c>
      <c r="B144" s="1" t="s">
        <v>319</v>
      </c>
      <c r="C144" t="s">
        <v>33</v>
      </c>
      <c r="D144">
        <v>1214.096251934913</v>
      </c>
      <c r="E144">
        <v>1266.8516252167428</v>
      </c>
      <c r="F144">
        <v>1294.6210820735043</v>
      </c>
      <c r="G144">
        <v>1321.4611929033063</v>
      </c>
      <c r="H144">
        <v>1393.3404771459236</v>
      </c>
      <c r="I144">
        <v>1429.7243981478236</v>
      </c>
      <c r="J144">
        <v>1452.3423780414289</v>
      </c>
      <c r="K144">
        <v>1444.8606459424034</v>
      </c>
      <c r="L144">
        <v>1463.456460124426</v>
      </c>
      <c r="M144">
        <v>1523.1250642011178</v>
      </c>
      <c r="N144">
        <v>1568.4178896372969</v>
      </c>
      <c r="O144">
        <v>1611.3624301570799</v>
      </c>
      <c r="P144">
        <v>1669.7225466968403</v>
      </c>
      <c r="Q144">
        <v>1702.7198533197479</v>
      </c>
      <c r="R144">
        <v>1622.9857741168826</v>
      </c>
      <c r="S144">
        <v>1669.9419607182247</v>
      </c>
      <c r="T144">
        <v>1749.5014768178476</v>
      </c>
      <c r="U144">
        <v>1835.9445526999914</v>
      </c>
      <c r="V144">
        <v>1898.4520516092059</v>
      </c>
      <c r="W144">
        <v>1960.6849410172595</v>
      </c>
      <c r="X144">
        <v>2025.3214322426491</v>
      </c>
      <c r="Y144">
        <v>2087.6934168485686</v>
      </c>
      <c r="Z144">
        <v>2153.5976057608304</v>
      </c>
      <c r="AA144">
        <v>2052.141404136406</v>
      </c>
      <c r="AB144">
        <v>1965.2722500546483</v>
      </c>
      <c r="AC144">
        <v>1904.27888558464</v>
      </c>
      <c r="AD144">
        <v>2072.281568486344</v>
      </c>
      <c r="AE144">
        <v>2119.7262056800892</v>
      </c>
      <c r="AH144">
        <f t="shared" si="2"/>
        <v>2.0854740930227766</v>
      </c>
      <c r="AL144" s="2"/>
    </row>
    <row r="145" spans="1:38" x14ac:dyDescent="0.3">
      <c r="A145" t="s">
        <v>320</v>
      </c>
      <c r="B145" s="1" t="s">
        <v>321</v>
      </c>
      <c r="C145" t="s">
        <v>33</v>
      </c>
      <c r="D145">
        <v>418.24411328061507</v>
      </c>
      <c r="E145">
        <v>404.80446531839323</v>
      </c>
      <c r="F145">
        <v>397.50523389664249</v>
      </c>
      <c r="G145">
        <v>422.6201057516239</v>
      </c>
      <c r="H145">
        <v>407.55443401786698</v>
      </c>
      <c r="I145">
        <v>389.07752296939844</v>
      </c>
      <c r="J145">
        <v>403.17662355932305</v>
      </c>
      <c r="K145">
        <v>408.5713581060711</v>
      </c>
      <c r="L145">
        <v>403.06419942966295</v>
      </c>
      <c r="M145">
        <v>390.42482353652139</v>
      </c>
      <c r="N145">
        <v>404.2805689147134</v>
      </c>
      <c r="O145">
        <v>413.05596019196048</v>
      </c>
      <c r="P145">
        <v>410.80330807690348</v>
      </c>
      <c r="Q145">
        <v>426.60568041806164</v>
      </c>
      <c r="R145">
        <v>419.17324878655256</v>
      </c>
      <c r="S145">
        <v>438.46388274388187</v>
      </c>
      <c r="T145">
        <v>432.29756230174149</v>
      </c>
      <c r="U145">
        <v>460.03223661756135</v>
      </c>
      <c r="V145">
        <v>466.33367598761032</v>
      </c>
      <c r="W145">
        <v>478.85515386241383</v>
      </c>
      <c r="X145">
        <v>481.11130110500233</v>
      </c>
      <c r="Y145">
        <v>489.43381232354045</v>
      </c>
      <c r="Z145">
        <v>494.63549427366075</v>
      </c>
      <c r="AA145">
        <v>510.59551426948684</v>
      </c>
      <c r="AB145">
        <v>520.93464331794837</v>
      </c>
      <c r="AC145">
        <v>519.69607779601495</v>
      </c>
      <c r="AD145">
        <v>507.71032450800652</v>
      </c>
      <c r="AE145">
        <v>545.41289823570628</v>
      </c>
      <c r="AH145">
        <f t="shared" si="2"/>
        <v>0.98810110952949337</v>
      </c>
      <c r="AL145" s="2"/>
    </row>
    <row r="146" spans="1:38" x14ac:dyDescent="0.3">
      <c r="A146" t="s">
        <v>322</v>
      </c>
      <c r="B146" s="1" t="s">
        <v>323</v>
      </c>
      <c r="C146" t="s">
        <v>33</v>
      </c>
      <c r="D146">
        <v>1429.0120719466261</v>
      </c>
      <c r="E146">
        <v>1451.8195716453056</v>
      </c>
      <c r="F146">
        <v>1457.2278962808268</v>
      </c>
      <c r="G146">
        <v>1457.7011095427654</v>
      </c>
      <c r="H146">
        <v>1429.40559246409</v>
      </c>
      <c r="I146">
        <v>1462.5359965157204</v>
      </c>
      <c r="J146">
        <v>1508.5535901026647</v>
      </c>
      <c r="K146">
        <v>1693.7457267590455</v>
      </c>
      <c r="L146">
        <v>1769.8822374328929</v>
      </c>
      <c r="M146">
        <v>1882.1819862633999</v>
      </c>
      <c r="N146">
        <v>1950.1223681015338</v>
      </c>
      <c r="O146">
        <v>2013.2740109483066</v>
      </c>
      <c r="P146">
        <v>2088.604430045827</v>
      </c>
      <c r="Q146">
        <v>2170.0588161398136</v>
      </c>
      <c r="R146">
        <v>2281.3863461828641</v>
      </c>
      <c r="S146">
        <v>2397.3235452544882</v>
      </c>
      <c r="T146">
        <v>2455.7464935376038</v>
      </c>
      <c r="U146">
        <v>2490.2131111535141</v>
      </c>
      <c r="V146">
        <v>2585.6471962512269</v>
      </c>
      <c r="W146">
        <v>2677.4935811396681</v>
      </c>
      <c r="X146">
        <v>2679.5542234873997</v>
      </c>
      <c r="Y146">
        <v>2570.9597590041867</v>
      </c>
      <c r="Z146">
        <v>2526.9996098723705</v>
      </c>
      <c r="AA146">
        <v>2512.0804752912118</v>
      </c>
      <c r="AB146">
        <v>2505.4622390524619</v>
      </c>
      <c r="AC146">
        <v>2401.1834151546959</v>
      </c>
      <c r="AD146">
        <v>2429.5852902650277</v>
      </c>
      <c r="AE146">
        <v>2449.5879808747291</v>
      </c>
      <c r="AH146">
        <f t="shared" si="2"/>
        <v>2.0161155941423869</v>
      </c>
      <c r="AL146" s="2"/>
    </row>
    <row r="147" spans="1:38" x14ac:dyDescent="0.3">
      <c r="A147" t="s">
        <v>324</v>
      </c>
      <c r="B147" s="1" t="s">
        <v>325</v>
      </c>
      <c r="C147" t="s">
        <v>33</v>
      </c>
      <c r="D147">
        <v>2897.1937674655428</v>
      </c>
      <c r="E147">
        <v>2916.4432995725879</v>
      </c>
      <c r="F147">
        <v>2954.5238308874996</v>
      </c>
      <c r="G147">
        <v>3038.1398338256863</v>
      </c>
      <c r="H147">
        <v>3154.8491824000571</v>
      </c>
      <c r="I147">
        <v>3283.3793409535137</v>
      </c>
      <c r="J147">
        <v>3169.3251436893106</v>
      </c>
      <c r="K147">
        <v>3240.1106452608901</v>
      </c>
      <c r="L147">
        <v>3301.3136192232323</v>
      </c>
      <c r="M147">
        <v>3445.8084369992471</v>
      </c>
      <c r="N147">
        <v>3600.9539045168617</v>
      </c>
      <c r="O147">
        <v>3779.6767271449339</v>
      </c>
      <c r="P147">
        <v>4017.7939092641664</v>
      </c>
      <c r="Q147">
        <v>4230.7349899982073</v>
      </c>
      <c r="R147">
        <v>4207.8067922937134</v>
      </c>
      <c r="S147">
        <v>4339.9663336968979</v>
      </c>
      <c r="T147">
        <v>4433.8894622323869</v>
      </c>
      <c r="U147">
        <v>4408.2984213299806</v>
      </c>
      <c r="V147">
        <v>4530.684146221558</v>
      </c>
      <c r="W147">
        <v>4687.2984977579054</v>
      </c>
      <c r="X147">
        <v>4861.5561598422337</v>
      </c>
      <c r="Y147">
        <v>4994.5612007071577</v>
      </c>
      <c r="Z147">
        <v>5043.6945185295026</v>
      </c>
      <c r="AA147">
        <v>5184.6968050413707</v>
      </c>
      <c r="AB147">
        <v>5386.2027499931964</v>
      </c>
      <c r="AC147">
        <v>5067.2158873515718</v>
      </c>
      <c r="AD147">
        <v>5365.4760985269486</v>
      </c>
      <c r="AE147">
        <v>5500.3990588356519</v>
      </c>
      <c r="AH147">
        <f t="shared" si="2"/>
        <v>2.4027755516166094</v>
      </c>
      <c r="AL147" s="2"/>
    </row>
    <row r="148" spans="1:38" x14ac:dyDescent="0.3">
      <c r="A148" t="s">
        <v>326</v>
      </c>
      <c r="B148" s="1" t="s">
        <v>327</v>
      </c>
      <c r="C148" t="s">
        <v>33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>
        <v>20827.805804867057</v>
      </c>
      <c r="L148">
        <v>21610.365477537798</v>
      </c>
      <c r="M148">
        <v>21739.046140281225</v>
      </c>
      <c r="N148">
        <v>19767.453601571677</v>
      </c>
      <c r="O148">
        <v>19235.40582941128</v>
      </c>
      <c r="P148">
        <v>18806.622930334273</v>
      </c>
      <c r="Q148">
        <v>17565.581184984174</v>
      </c>
      <c r="R148">
        <v>15233.943472866638</v>
      </c>
      <c r="S148">
        <v>16294.510919836785</v>
      </c>
      <c r="T148">
        <v>15541.554155415542</v>
      </c>
      <c r="U148">
        <v>15715.743349960961</v>
      </c>
      <c r="V148">
        <v>16204.545599839132</v>
      </c>
      <c r="W148">
        <v>16974.278421362655</v>
      </c>
      <c r="X148">
        <v>17665.100749310866</v>
      </c>
      <c r="Y148">
        <v>22995.527409506638</v>
      </c>
      <c r="Z148">
        <v>28549.326576096271</v>
      </c>
      <c r="AA148">
        <v>23242.925437581926</v>
      </c>
      <c r="AB148">
        <v>20796.030423372074</v>
      </c>
      <c r="AC148">
        <v>14703.511611975526</v>
      </c>
      <c r="AD148" t="s">
        <v>34</v>
      </c>
      <c r="AE148" t="s">
        <v>34</v>
      </c>
      <c r="AH148" t="str">
        <f t="shared" si="2"/>
        <v>NA</v>
      </c>
      <c r="AL148" s="2"/>
    </row>
    <row r="149" spans="1:38" x14ac:dyDescent="0.3">
      <c r="A149" t="s">
        <v>328</v>
      </c>
      <c r="B149" s="1" t="s">
        <v>329</v>
      </c>
      <c r="C149" t="s">
        <v>33</v>
      </c>
      <c r="D149">
        <v>58380.568466728</v>
      </c>
      <c r="E149">
        <v>61005.908346960707</v>
      </c>
      <c r="F149">
        <v>63882.476500762539</v>
      </c>
      <c r="G149">
        <v>65197.946314939058</v>
      </c>
      <c r="H149">
        <v>66094.735461726828</v>
      </c>
      <c r="I149">
        <v>67846.596853014664</v>
      </c>
      <c r="J149">
        <v>68899.526904201513</v>
      </c>
      <c r="K149">
        <v>69472.983672306582</v>
      </c>
      <c r="L149">
        <v>69719.312268163019</v>
      </c>
      <c r="M149">
        <v>72091.013297141602</v>
      </c>
      <c r="N149">
        <v>73524.254917358281</v>
      </c>
      <c r="O149">
        <v>74729.763213049693</v>
      </c>
      <c r="P149">
        <v>76115.706672098255</v>
      </c>
      <c r="Q149">
        <v>75535.211789200766</v>
      </c>
      <c r="R149">
        <v>73141.307342296685</v>
      </c>
      <c r="S149">
        <v>72804.395619534145</v>
      </c>
      <c r="T149">
        <v>72660.675408521362</v>
      </c>
      <c r="U149">
        <v>73661.678591800941</v>
      </c>
      <c r="V149">
        <v>73515.914488595765</v>
      </c>
      <c r="W149">
        <v>74180.323865677012</v>
      </c>
      <c r="X149">
        <v>74809.965804989755</v>
      </c>
      <c r="Y149">
        <v>75017.494473705519</v>
      </c>
      <c r="Z149">
        <v>76247.411655688149</v>
      </c>
      <c r="AA149">
        <v>76373.647459283922</v>
      </c>
      <c r="AB149">
        <v>76712.28712583732</v>
      </c>
      <c r="AC149">
        <v>75287.20595308968</v>
      </c>
      <c r="AD149">
        <v>77805.007548196998</v>
      </c>
      <c r="AE149">
        <v>79636.274550346308</v>
      </c>
      <c r="AH149">
        <f t="shared" si="2"/>
        <v>1.1565877051117335</v>
      </c>
      <c r="AL149" s="2"/>
    </row>
    <row r="150" spans="1:38" x14ac:dyDescent="0.3">
      <c r="A150" t="s">
        <v>330</v>
      </c>
      <c r="B150" s="1" t="s">
        <v>331</v>
      </c>
      <c r="C150" t="s">
        <v>33</v>
      </c>
      <c r="D150">
        <v>17957.155909569137</v>
      </c>
      <c r="E150">
        <v>18191.922018432637</v>
      </c>
      <c r="F150">
        <v>18983.473271942672</v>
      </c>
      <c r="G150">
        <v>19193.290967294677</v>
      </c>
      <c r="H150">
        <v>18983.183888444153</v>
      </c>
      <c r="I150">
        <v>19953.675180485156</v>
      </c>
      <c r="J150">
        <v>20581.263606094053</v>
      </c>
      <c r="K150">
        <v>20109.054556373056</v>
      </c>
      <c r="L150">
        <v>19347.523516085319</v>
      </c>
      <c r="M150">
        <v>19301.806710568777</v>
      </c>
      <c r="N150">
        <v>19418.015047080247</v>
      </c>
      <c r="O150">
        <v>20097.900402507585</v>
      </c>
      <c r="P150">
        <v>20629.843374233569</v>
      </c>
      <c r="Q150">
        <v>21939.84744415235</v>
      </c>
      <c r="R150">
        <v>22879.505159521395</v>
      </c>
      <c r="S150">
        <v>21782.799384955397</v>
      </c>
      <c r="T150">
        <v>20142.157052378909</v>
      </c>
      <c r="U150">
        <v>19888.753861743473</v>
      </c>
      <c r="V150">
        <v>19387.082769156179</v>
      </c>
      <c r="W150">
        <v>18694.310951892352</v>
      </c>
      <c r="X150">
        <v>18777.433058916169</v>
      </c>
      <c r="Y150">
        <v>18799.808451388017</v>
      </c>
      <c r="Z150">
        <v>18260.005074703982</v>
      </c>
      <c r="AA150">
        <v>18256.653145330063</v>
      </c>
      <c r="AB150">
        <v>18044.270453500751</v>
      </c>
      <c r="AC150">
        <v>17662.242841681953</v>
      </c>
      <c r="AD150">
        <v>18300.76199537576</v>
      </c>
      <c r="AE150">
        <v>18856.875237347755</v>
      </c>
      <c r="AH150">
        <f t="shared" si="2"/>
        <v>0.1812339864309509</v>
      </c>
      <c r="AL150" s="2"/>
    </row>
    <row r="151" spans="1:38" x14ac:dyDescent="0.3">
      <c r="A151" t="s">
        <v>332</v>
      </c>
      <c r="B151" s="1" t="s">
        <v>333</v>
      </c>
      <c r="C151" t="s">
        <v>33</v>
      </c>
      <c r="D151">
        <v>1040.2882967377277</v>
      </c>
      <c r="E151">
        <v>1057.9832107591005</v>
      </c>
      <c r="F151">
        <v>1037.7462036111556</v>
      </c>
      <c r="G151">
        <v>1033.8828277588984</v>
      </c>
      <c r="H151">
        <v>1041.5233635088921</v>
      </c>
      <c r="I151">
        <v>1053.0043059979191</v>
      </c>
      <c r="J151">
        <v>1058.221014089926</v>
      </c>
      <c r="K151">
        <v>1058.7805674788733</v>
      </c>
      <c r="L151">
        <v>1091.8012375018955</v>
      </c>
      <c r="M151">
        <v>1151.280409480536</v>
      </c>
      <c r="N151">
        <v>1208.6812901229212</v>
      </c>
      <c r="O151">
        <v>1255.2072876621623</v>
      </c>
      <c r="P151">
        <v>1283.2220507451048</v>
      </c>
      <c r="Q151">
        <v>1282.1879764495613</v>
      </c>
      <c r="R151">
        <v>1297.4652193530933</v>
      </c>
      <c r="S151">
        <v>1287.6157727539467</v>
      </c>
      <c r="T151">
        <v>1294.5099834416046</v>
      </c>
      <c r="U151">
        <v>1309.937006518742</v>
      </c>
      <c r="V151">
        <v>1346.28928139308</v>
      </c>
      <c r="W151">
        <v>1382.0942017000941</v>
      </c>
      <c r="X151">
        <v>1421.8352783008904</v>
      </c>
      <c r="Y151">
        <v>1497.1687223404092</v>
      </c>
      <c r="Z151">
        <v>1542.904071076817</v>
      </c>
      <c r="AA151">
        <v>1612.8353526815463</v>
      </c>
      <c r="AB151">
        <v>1626.7488675057621</v>
      </c>
      <c r="AC151">
        <v>1578.4296329288127</v>
      </c>
      <c r="AD151">
        <v>1650.6926738068682</v>
      </c>
      <c r="AE151">
        <v>1695.9565213880849</v>
      </c>
      <c r="AH151">
        <f t="shared" si="2"/>
        <v>1.8266646418237498</v>
      </c>
      <c r="AL151" s="2"/>
    </row>
    <row r="152" spans="1:38" x14ac:dyDescent="0.3">
      <c r="A152" t="s">
        <v>334</v>
      </c>
      <c r="B152" s="1" t="s">
        <v>335</v>
      </c>
      <c r="C152" t="s">
        <v>33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>
        <v>11392.035999966658</v>
      </c>
      <c r="J152">
        <v>12063.31780959553</v>
      </c>
      <c r="K152">
        <v>12480.633984818916</v>
      </c>
      <c r="L152">
        <v>12055.731050797323</v>
      </c>
      <c r="M152">
        <v>12624.015708040495</v>
      </c>
      <c r="N152">
        <v>13174.205377014909</v>
      </c>
      <c r="O152">
        <v>13262.546088981771</v>
      </c>
      <c r="P152">
        <v>13707.366510113759</v>
      </c>
      <c r="Q152">
        <v>13093.308519388496</v>
      </c>
      <c r="R152">
        <v>12409.702279478684</v>
      </c>
      <c r="S152">
        <v>12628.365892885053</v>
      </c>
      <c r="T152">
        <v>13693.989474866663</v>
      </c>
      <c r="U152">
        <v>14151.128628210372</v>
      </c>
      <c r="V152">
        <v>13780.054608926641</v>
      </c>
      <c r="W152">
        <v>14654.760391693168</v>
      </c>
      <c r="X152">
        <v>15761.363380914916</v>
      </c>
      <c r="Y152">
        <v>15728.7760088431</v>
      </c>
      <c r="Z152">
        <v>15069.466357446106</v>
      </c>
      <c r="AA152">
        <v>15258.828067035663</v>
      </c>
      <c r="AB152">
        <v>15244.708562972417</v>
      </c>
      <c r="AC152">
        <v>14049.893251224614</v>
      </c>
      <c r="AD152">
        <v>12086.982000285177</v>
      </c>
      <c r="AE152" t="s">
        <v>34</v>
      </c>
      <c r="AH152" t="str">
        <f t="shared" si="2"/>
        <v>NA</v>
      </c>
      <c r="AL152" s="2"/>
    </row>
    <row r="153" spans="1:38" x14ac:dyDescent="0.3">
      <c r="A153" t="s">
        <v>336</v>
      </c>
      <c r="B153" s="1" t="s">
        <v>337</v>
      </c>
      <c r="C153" t="s">
        <v>33</v>
      </c>
      <c r="D153">
        <v>6112.4727965178463</v>
      </c>
      <c r="E153">
        <v>6234.361330391167</v>
      </c>
      <c r="F153">
        <v>6504.8275516759049</v>
      </c>
      <c r="G153">
        <v>6843.9868421794199</v>
      </c>
      <c r="H153">
        <v>6972.0600943491463</v>
      </c>
      <c r="I153">
        <v>7021.5464362515522</v>
      </c>
      <c r="J153">
        <v>6925.0786574769418</v>
      </c>
      <c r="K153">
        <v>6943.426060406764</v>
      </c>
      <c r="L153">
        <v>7097.577558785244</v>
      </c>
      <c r="M153">
        <v>7486.2767510053818</v>
      </c>
      <c r="N153">
        <v>7872.7854957750351</v>
      </c>
      <c r="O153">
        <v>8394.7458090763557</v>
      </c>
      <c r="P153">
        <v>9228.0725696133559</v>
      </c>
      <c r="Q153">
        <v>9952.9168409274789</v>
      </c>
      <c r="R153">
        <v>9895.2547826418322</v>
      </c>
      <c r="S153">
        <v>10286.20310722427</v>
      </c>
      <c r="T153">
        <v>11248.003406662148</v>
      </c>
      <c r="U153">
        <v>12130.228635431473</v>
      </c>
      <c r="V153">
        <v>12741.380447450791</v>
      </c>
      <c r="W153">
        <v>13155.453669082332</v>
      </c>
      <c r="X153">
        <v>13669.559442409705</v>
      </c>
      <c r="Y153">
        <v>14099.936329887245</v>
      </c>
      <c r="Z153">
        <v>14634.842509130614</v>
      </c>
      <c r="AA153">
        <v>14922.129988894034</v>
      </c>
      <c r="AB153">
        <v>15166.880902450413</v>
      </c>
      <c r="AC153">
        <v>12307.259204701466</v>
      </c>
      <c r="AD153">
        <v>14069.87941477459</v>
      </c>
      <c r="AE153">
        <v>15388.05586489037</v>
      </c>
      <c r="AH153">
        <f t="shared" si="2"/>
        <v>3.4786186856517354</v>
      </c>
      <c r="AL153" s="2"/>
    </row>
    <row r="154" spans="1:38" x14ac:dyDescent="0.3">
      <c r="A154" t="s">
        <v>338</v>
      </c>
      <c r="B154" s="1" t="s">
        <v>339</v>
      </c>
      <c r="C154" t="s">
        <v>33</v>
      </c>
      <c r="D154">
        <v>2411.8577503146603</v>
      </c>
      <c r="E154">
        <v>2506.3815417008491</v>
      </c>
      <c r="F154">
        <v>2323.7734523778054</v>
      </c>
      <c r="G154">
        <v>2158.5604764434584</v>
      </c>
      <c r="H154">
        <v>2123.186657998991</v>
      </c>
      <c r="I154">
        <v>1999.9693681541269</v>
      </c>
      <c r="J154">
        <v>1930.8738864111804</v>
      </c>
      <c r="K154">
        <v>1864.3021981113582</v>
      </c>
      <c r="L154">
        <v>1842.6129916730322</v>
      </c>
      <c r="M154">
        <v>1831.9435893978987</v>
      </c>
      <c r="N154">
        <v>1886.5275487829606</v>
      </c>
      <c r="O154">
        <v>1926.5132766638831</v>
      </c>
      <c r="P154">
        <v>2013.1960422491293</v>
      </c>
      <c r="Q154">
        <v>1946.2285221030425</v>
      </c>
      <c r="R154">
        <v>2016.1846400727713</v>
      </c>
      <c r="S154">
        <v>2154.6944546436844</v>
      </c>
      <c r="T154">
        <v>2116.2244596604319</v>
      </c>
      <c r="U154">
        <v>2154.0999382307318</v>
      </c>
      <c r="V154">
        <v>2177.0706517796953</v>
      </c>
      <c r="W154">
        <v>2408.1083059574103</v>
      </c>
      <c r="X154">
        <v>2502.0734449802785</v>
      </c>
      <c r="Y154">
        <v>2575.0675120414094</v>
      </c>
      <c r="Z154">
        <v>2603.0150331023533</v>
      </c>
      <c r="AA154">
        <v>2536.0831879568</v>
      </c>
      <c r="AB154">
        <v>2590.4939242018149</v>
      </c>
      <c r="AC154">
        <v>2455.1453420797384</v>
      </c>
      <c r="AD154">
        <v>2387.0695015541446</v>
      </c>
      <c r="AE154">
        <v>2462.5490906187974</v>
      </c>
      <c r="AH154">
        <f t="shared" si="2"/>
        <v>7.7065709404644522E-2</v>
      </c>
      <c r="AL154" s="2"/>
    </row>
    <row r="155" spans="1:38" x14ac:dyDescent="0.3">
      <c r="A155" t="s">
        <v>340</v>
      </c>
      <c r="B155" s="1" t="s">
        <v>341</v>
      </c>
      <c r="C155" t="s">
        <v>33</v>
      </c>
      <c r="D155">
        <v>4421.910046213814</v>
      </c>
      <c r="E155">
        <v>4388.7975016629071</v>
      </c>
      <c r="F155">
        <v>4473.7433499644203</v>
      </c>
      <c r="G155">
        <v>4381.1674390476528</v>
      </c>
      <c r="H155">
        <v>4233.1185073358902</v>
      </c>
      <c r="I155">
        <v>4056.2387696082556</v>
      </c>
      <c r="J155">
        <v>3954.7013197656925</v>
      </c>
      <c r="K155">
        <v>3897.7830005971437</v>
      </c>
      <c r="L155">
        <v>4015.5007492207246</v>
      </c>
      <c r="M155">
        <v>4129.7710245017361</v>
      </c>
      <c r="N155">
        <v>4171.2451696312582</v>
      </c>
      <c r="O155">
        <v>4326.1087772389446</v>
      </c>
      <c r="P155">
        <v>4515.3995327897555</v>
      </c>
      <c r="Q155">
        <v>4761.8796116016565</v>
      </c>
      <c r="R155">
        <v>4701.6167602950409</v>
      </c>
      <c r="S155">
        <v>5163.4760691111451</v>
      </c>
      <c r="T155">
        <v>5315.393912367439</v>
      </c>
      <c r="U155">
        <v>5207.0273237586744</v>
      </c>
      <c r="V155">
        <v>5561.548479436361</v>
      </c>
      <c r="W155">
        <v>5774.5834785617917</v>
      </c>
      <c r="X155">
        <v>5861.4018954664798</v>
      </c>
      <c r="Y155">
        <v>6025.0967689045219</v>
      </c>
      <c r="Z155">
        <v>6226.6854198332967</v>
      </c>
      <c r="AA155">
        <v>6338.5136782077461</v>
      </c>
      <c r="AB155">
        <v>6229.2248953664248</v>
      </c>
      <c r="AC155">
        <v>6095.3913753069874</v>
      </c>
      <c r="AD155">
        <v>6259.7387393987219</v>
      </c>
      <c r="AE155">
        <v>6193.3746122161847</v>
      </c>
      <c r="AH155">
        <f t="shared" si="2"/>
        <v>1.2556263934004885</v>
      </c>
      <c r="AL155" s="2"/>
    </row>
    <row r="156" spans="1:38" x14ac:dyDescent="0.3">
      <c r="A156" t="s">
        <v>342</v>
      </c>
      <c r="B156" s="1" t="s">
        <v>343</v>
      </c>
      <c r="C156" t="s">
        <v>33</v>
      </c>
      <c r="D156">
        <v>3146.0451374896165</v>
      </c>
      <c r="E156">
        <v>3174.6005095725768</v>
      </c>
      <c r="F156">
        <v>3319.1693974849036</v>
      </c>
      <c r="G156">
        <v>3248.1848139688345</v>
      </c>
      <c r="H156">
        <v>3242.2391517067617</v>
      </c>
      <c r="I156">
        <v>3279.3554298670761</v>
      </c>
      <c r="J156">
        <v>3255.5902783556758</v>
      </c>
      <c r="K156">
        <v>3392.9947505257092</v>
      </c>
      <c r="L156">
        <v>3497.3579142568101</v>
      </c>
      <c r="M156">
        <v>3635.1577387011439</v>
      </c>
      <c r="N156">
        <v>3828.8527292397293</v>
      </c>
      <c r="O156">
        <v>4083.2052109421647</v>
      </c>
      <c r="P156">
        <v>4397.0511470070323</v>
      </c>
      <c r="Q156">
        <v>4764.070501701277</v>
      </c>
      <c r="R156">
        <v>4782.5498081194219</v>
      </c>
      <c r="S156">
        <v>5142.0143664095194</v>
      </c>
      <c r="T156">
        <v>5421.334247961724</v>
      </c>
      <c r="U156">
        <v>5701.6043206318864</v>
      </c>
      <c r="V156">
        <v>5977.1826876145878</v>
      </c>
      <c r="W156">
        <v>6056.0337567342094</v>
      </c>
      <c r="X156">
        <v>6180.1192681023267</v>
      </c>
      <c r="Y156">
        <v>6337.5804925457987</v>
      </c>
      <c r="Z156">
        <v>6400.0382320192248</v>
      </c>
      <c r="AA156">
        <v>6530.4229976545657</v>
      </c>
      <c r="AB156">
        <v>6550.4480153111826</v>
      </c>
      <c r="AC156">
        <v>5754.310608520268</v>
      </c>
      <c r="AD156">
        <v>6446.8937388809663</v>
      </c>
      <c r="AE156">
        <v>6554.9610592813524</v>
      </c>
      <c r="AH156">
        <f t="shared" si="2"/>
        <v>2.7560966998497971</v>
      </c>
      <c r="AL156" s="2"/>
    </row>
    <row r="157" spans="1:38" x14ac:dyDescent="0.3">
      <c r="A157" t="s">
        <v>344</v>
      </c>
      <c r="B157" s="1" t="s">
        <v>345</v>
      </c>
      <c r="C157" t="s">
        <v>33</v>
      </c>
      <c r="D157">
        <v>1725.5023808074038</v>
      </c>
      <c r="E157">
        <v>1782.9944409767354</v>
      </c>
      <c r="F157">
        <v>1829.7186201850609</v>
      </c>
      <c r="G157">
        <v>1776.984542107959</v>
      </c>
      <c r="H157">
        <v>1794.1297909299446</v>
      </c>
      <c r="I157">
        <v>1831.6992076481586</v>
      </c>
      <c r="J157">
        <v>1848.0149381205397</v>
      </c>
      <c r="K157">
        <v>1877.5616529503113</v>
      </c>
      <c r="L157">
        <v>1933.6479796641029</v>
      </c>
      <c r="M157">
        <v>2020.1297002555277</v>
      </c>
      <c r="N157">
        <v>2079.331829099413</v>
      </c>
      <c r="O157">
        <v>2149.0062673338143</v>
      </c>
      <c r="P157">
        <v>2246.6898873401078</v>
      </c>
      <c r="Q157">
        <v>2300.8561051121137</v>
      </c>
      <c r="R157">
        <v>2291.6227595892742</v>
      </c>
      <c r="S157">
        <v>2415.7835752538449</v>
      </c>
      <c r="T157">
        <v>2464.6843475502587</v>
      </c>
      <c r="U157">
        <v>2589.1343973368389</v>
      </c>
      <c r="V157">
        <v>2717.6797765578244</v>
      </c>
      <c r="W157">
        <v>2843.843603916755</v>
      </c>
      <c r="X157">
        <v>2974.2969167371293</v>
      </c>
      <c r="Y157">
        <v>3130.9106408602288</v>
      </c>
      <c r="Z157">
        <v>3289.4722680988534</v>
      </c>
      <c r="AA157">
        <v>3439.1005233495107</v>
      </c>
      <c r="AB157">
        <v>3589.6136364862869</v>
      </c>
      <c r="AC157">
        <v>3195.5388826226404</v>
      </c>
      <c r="AD157">
        <v>3328.0423551857866</v>
      </c>
      <c r="AE157">
        <v>3527.9811524254701</v>
      </c>
      <c r="AH157">
        <f t="shared" si="2"/>
        <v>2.6843125064765161</v>
      </c>
      <c r="AL157" s="2"/>
    </row>
    <row r="158" spans="1:38" x14ac:dyDescent="0.3">
      <c r="A158" t="s">
        <v>346</v>
      </c>
      <c r="B158" s="1" t="s">
        <v>347</v>
      </c>
      <c r="C158" t="s">
        <v>33</v>
      </c>
      <c r="D158">
        <v>5628.4462389587625</v>
      </c>
      <c r="E158">
        <v>5968.1143567216359</v>
      </c>
      <c r="F158">
        <v>6348.8412174956356</v>
      </c>
      <c r="G158">
        <v>6641.0853123272964</v>
      </c>
      <c r="H158">
        <v>6950.7977350013862</v>
      </c>
      <c r="I158">
        <v>7344.120760595225</v>
      </c>
      <c r="J158">
        <v>7438.6034354190324</v>
      </c>
      <c r="K158">
        <v>7593.5596552264924</v>
      </c>
      <c r="L158">
        <v>7864.5182639920313</v>
      </c>
      <c r="M158">
        <v>8261.227441447103</v>
      </c>
      <c r="N158">
        <v>8554.6938973103224</v>
      </c>
      <c r="O158">
        <v>9084.9492144623382</v>
      </c>
      <c r="P158">
        <v>9731.769454403553</v>
      </c>
      <c r="Q158">
        <v>10139.119143726797</v>
      </c>
      <c r="R158">
        <v>10419.214870306268</v>
      </c>
      <c r="S158">
        <v>10755.656437274502</v>
      </c>
      <c r="T158">
        <v>11291.903586559185</v>
      </c>
      <c r="U158">
        <v>11466.415930000296</v>
      </c>
      <c r="V158">
        <v>11571.614848747777</v>
      </c>
      <c r="W158">
        <v>12024.609507099387</v>
      </c>
      <c r="X158">
        <v>12560.051419682035</v>
      </c>
      <c r="Y158">
        <v>12936.57325683867</v>
      </c>
      <c r="Z158">
        <v>13599.818019114751</v>
      </c>
      <c r="AA158">
        <v>14408.384388722996</v>
      </c>
      <c r="AB158">
        <v>15053.232367678449</v>
      </c>
      <c r="AC158">
        <v>14774.989199307043</v>
      </c>
      <c r="AD158">
        <v>15863.231107041378</v>
      </c>
      <c r="AE158">
        <v>17117.328100859304</v>
      </c>
      <c r="AH158">
        <f t="shared" si="2"/>
        <v>4.2055011122256403</v>
      </c>
      <c r="AL158" s="2"/>
    </row>
    <row r="159" spans="1:38" x14ac:dyDescent="0.3">
      <c r="A159" t="s">
        <v>348</v>
      </c>
      <c r="B159" s="1" t="s">
        <v>349</v>
      </c>
      <c r="C159" t="s">
        <v>33</v>
      </c>
      <c r="D159">
        <v>15788.983105781952</v>
      </c>
      <c r="E159">
        <v>16280.93715183532</v>
      </c>
      <c r="F159">
        <v>16921.72194368091</v>
      </c>
      <c r="G159">
        <v>17645.905826945062</v>
      </c>
      <c r="H159">
        <v>18231.839763745415</v>
      </c>
      <c r="I159">
        <v>18795.031147983413</v>
      </c>
      <c r="J159">
        <v>19025.695690538792</v>
      </c>
      <c r="K159">
        <v>19067.655433211796</v>
      </c>
      <c r="L159">
        <v>18819.443737639314</v>
      </c>
      <c r="M159">
        <v>19110.32084316323</v>
      </c>
      <c r="N159">
        <v>19224.034651331363</v>
      </c>
      <c r="O159">
        <v>19501.233007010251</v>
      </c>
      <c r="P159">
        <v>19950.844096619894</v>
      </c>
      <c r="Q159">
        <v>19985.698331971147</v>
      </c>
      <c r="R159">
        <v>19343.280049908793</v>
      </c>
      <c r="S159">
        <v>19670.361068633294</v>
      </c>
      <c r="T159">
        <v>19365.181648868082</v>
      </c>
      <c r="U159">
        <v>18654.957528194402</v>
      </c>
      <c r="V159">
        <v>18584.55404517028</v>
      </c>
      <c r="W159">
        <v>18833.051828169151</v>
      </c>
      <c r="X159">
        <v>19250.106537685195</v>
      </c>
      <c r="Y159">
        <v>19700.910001677457</v>
      </c>
      <c r="Z159">
        <v>20441.485804108353</v>
      </c>
      <c r="AA159">
        <v>21057.617478423217</v>
      </c>
      <c r="AB159">
        <v>21617.411624379016</v>
      </c>
      <c r="AC159">
        <v>19802.228913466268</v>
      </c>
      <c r="AD159">
        <v>20807.527681341631</v>
      </c>
      <c r="AE159">
        <v>22125.939194710907</v>
      </c>
      <c r="AH159">
        <f t="shared" si="2"/>
        <v>1.2576134404944206</v>
      </c>
      <c r="AL159" s="2"/>
    </row>
    <row r="160" spans="1:38" x14ac:dyDescent="0.3">
      <c r="A160" t="s">
        <v>350</v>
      </c>
      <c r="B160" s="1" t="s">
        <v>351</v>
      </c>
      <c r="C160" t="s">
        <v>33</v>
      </c>
      <c r="D160">
        <v>21936.451978275123</v>
      </c>
      <c r="E160">
        <v>22193.613594354269</v>
      </c>
      <c r="F160">
        <v>23061.370303501179</v>
      </c>
      <c r="G160">
        <v>24197.347316343123</v>
      </c>
      <c r="H160">
        <v>25374.141102027268</v>
      </c>
      <c r="I160">
        <v>26132.00364455035</v>
      </c>
      <c r="J160">
        <v>27722.410231394773</v>
      </c>
      <c r="K160">
        <v>27940.425993560264</v>
      </c>
      <c r="L160">
        <v>27937.859960690352</v>
      </c>
      <c r="M160">
        <v>30375.836735955465</v>
      </c>
      <c r="N160">
        <v>29815.262707297159</v>
      </c>
      <c r="O160">
        <v>29519.784512047092</v>
      </c>
      <c r="P160">
        <v>29347.891563073212</v>
      </c>
      <c r="Q160">
        <v>28976.176024598757</v>
      </c>
      <c r="R160">
        <v>28565.812267487509</v>
      </c>
      <c r="S160">
        <v>28592.121972406403</v>
      </c>
      <c r="T160">
        <v>28821.02279819224</v>
      </c>
      <c r="U160">
        <v>29180.412130484849</v>
      </c>
      <c r="V160">
        <v>29426.157602631538</v>
      </c>
      <c r="W160">
        <v>29554.624420287386</v>
      </c>
      <c r="X160">
        <v>29763.488301386144</v>
      </c>
      <c r="Y160">
        <v>29961.752822464874</v>
      </c>
      <c r="Z160">
        <v>29809.217704026702</v>
      </c>
      <c r="AA160">
        <v>29687.206476327636</v>
      </c>
      <c r="AB160">
        <v>30181.272484907116</v>
      </c>
      <c r="AC160">
        <v>28138.677465221896</v>
      </c>
      <c r="AD160">
        <v>28423.812619454977</v>
      </c>
      <c r="AE160">
        <v>29752.12810607798</v>
      </c>
      <c r="AH160">
        <f t="shared" si="2"/>
        <v>1.1351011011056178</v>
      </c>
      <c r="AL160" s="2"/>
    </row>
    <row r="161" spans="1:38" x14ac:dyDescent="0.3">
      <c r="A161" t="s">
        <v>352</v>
      </c>
      <c r="B161" s="1" t="s">
        <v>353</v>
      </c>
      <c r="C161" t="s">
        <v>33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>
        <v>52157.763347549546</v>
      </c>
      <c r="J161">
        <v>51565.047554859084</v>
      </c>
      <c r="K161">
        <v>52606.178164803219</v>
      </c>
      <c r="L161">
        <v>51987.099290945764</v>
      </c>
      <c r="M161">
        <v>59634.733773584958</v>
      </c>
      <c r="N161">
        <v>58757.992668732579</v>
      </c>
      <c r="O161">
        <v>61985.699231712853</v>
      </c>
      <c r="P161">
        <v>60261.431747857474</v>
      </c>
      <c r="Q161">
        <v>60478.903517535306</v>
      </c>
      <c r="R161">
        <v>60730.124776939665</v>
      </c>
      <c r="S161">
        <v>68253.065888965197</v>
      </c>
      <c r="T161">
        <v>73493.268954423635</v>
      </c>
      <c r="U161">
        <v>72870.373795749605</v>
      </c>
      <c r="V161">
        <v>72012.54955106671</v>
      </c>
      <c r="W161">
        <v>69723.727374803639</v>
      </c>
      <c r="X161">
        <v>66984.910200239567</v>
      </c>
      <c r="Y161">
        <v>64233.262214973569</v>
      </c>
      <c r="Z161">
        <v>60551.020044882542</v>
      </c>
      <c r="AA161">
        <v>60080.696551116991</v>
      </c>
      <c r="AB161">
        <v>59621.381647215407</v>
      </c>
      <c r="AC161">
        <v>58476.199429141336</v>
      </c>
      <c r="AD161">
        <v>61022.50289563847</v>
      </c>
      <c r="AE161">
        <v>63428.364090724368</v>
      </c>
      <c r="AH161" t="str">
        <f t="shared" si="2"/>
        <v>NA</v>
      </c>
      <c r="AL161" s="2"/>
    </row>
    <row r="162" spans="1:38" x14ac:dyDescent="0.3">
      <c r="A162" t="s">
        <v>354</v>
      </c>
      <c r="B162" s="1" t="s">
        <v>355</v>
      </c>
      <c r="C162" t="s">
        <v>33</v>
      </c>
      <c r="D162">
        <v>4570.1851312701874</v>
      </c>
      <c r="E162">
        <v>4762.4767009599955</v>
      </c>
      <c r="F162">
        <v>4544.6062301158827</v>
      </c>
      <c r="G162">
        <v>4461.5842739612535</v>
      </c>
      <c r="H162">
        <v>4451.7620714246668</v>
      </c>
      <c r="I162">
        <v>4567.2396769445786</v>
      </c>
      <c r="J162">
        <v>4873.0928136707516</v>
      </c>
      <c r="K162">
        <v>5246.1704368957553</v>
      </c>
      <c r="L162">
        <v>5407.8555129112865</v>
      </c>
      <c r="M162">
        <v>6005.9163766523834</v>
      </c>
      <c r="N162">
        <v>6325.2212879130357</v>
      </c>
      <c r="O162">
        <v>6873.660722768077</v>
      </c>
      <c r="P162">
        <v>7480.5807856097599</v>
      </c>
      <c r="Q162">
        <v>8314.2323354034252</v>
      </c>
      <c r="R162">
        <v>7921.2200194890202</v>
      </c>
      <c r="S162">
        <v>7657.5423792198317</v>
      </c>
      <c r="T162">
        <v>8042.9034196596504</v>
      </c>
      <c r="U162">
        <v>8234.3046017006855</v>
      </c>
      <c r="V162">
        <v>8287.2496570491385</v>
      </c>
      <c r="W162">
        <v>8661.1220348552906</v>
      </c>
      <c r="X162">
        <v>8976.9544892647991</v>
      </c>
      <c r="Y162">
        <v>9286.596151270438</v>
      </c>
      <c r="Z162">
        <v>10106.017607198755</v>
      </c>
      <c r="AA162">
        <v>10778.448351282639</v>
      </c>
      <c r="AB162">
        <v>11252.88561529592</v>
      </c>
      <c r="AC162">
        <v>10898.921421422165</v>
      </c>
      <c r="AD162">
        <v>11607.402595794834</v>
      </c>
      <c r="AE162">
        <v>12188.642461532037</v>
      </c>
      <c r="AH162">
        <f t="shared" si="2"/>
        <v>3.6999568626298718</v>
      </c>
      <c r="AL162" s="2"/>
    </row>
    <row r="163" spans="1:38" x14ac:dyDescent="0.3">
      <c r="A163" t="s">
        <v>356</v>
      </c>
      <c r="B163" s="1" t="s">
        <v>357</v>
      </c>
      <c r="C163" t="s">
        <v>33</v>
      </c>
      <c r="D163">
        <v>4862.646484375</v>
      </c>
      <c r="E163">
        <v>4686.86279296875</v>
      </c>
      <c r="F163">
        <v>4760.33935546875</v>
      </c>
      <c r="G163">
        <v>4515.50927734375</v>
      </c>
      <c r="H163">
        <v>4819.38037109375</v>
      </c>
      <c r="I163">
        <v>5323.66650390625</v>
      </c>
      <c r="J163">
        <v>5618.95556640625</v>
      </c>
      <c r="K163">
        <v>5910.171875</v>
      </c>
      <c r="L163">
        <v>6370.45361328125</v>
      </c>
      <c r="M163">
        <v>6856.67822265625</v>
      </c>
      <c r="N163">
        <v>7323.38525390625</v>
      </c>
      <c r="O163">
        <v>7949.89697265625</v>
      </c>
      <c r="P163">
        <v>8640.40625</v>
      </c>
      <c r="Q163">
        <v>9093.7001953125</v>
      </c>
      <c r="R163">
        <v>8381.8681640625</v>
      </c>
      <c r="S163">
        <v>8755.1201171875</v>
      </c>
      <c r="T163">
        <v>9124.474609375</v>
      </c>
      <c r="U163">
        <v>9475.6904296875</v>
      </c>
      <c r="V163">
        <v>9621.517578125</v>
      </c>
      <c r="W163">
        <v>9520.9482421875</v>
      </c>
      <c r="X163">
        <v>9313.021484375</v>
      </c>
      <c r="Y163">
        <v>9313.9755859375</v>
      </c>
      <c r="Z163">
        <v>9473.1875</v>
      </c>
      <c r="AA163">
        <v>9739.908203125</v>
      </c>
      <c r="AB163">
        <v>9958.4697265625</v>
      </c>
      <c r="AC163">
        <v>9714.3837890625</v>
      </c>
      <c r="AD163">
        <v>10251.6767578125</v>
      </c>
      <c r="AE163">
        <v>10030.0390625</v>
      </c>
      <c r="AH163">
        <f t="shared" si="2"/>
        <v>2.7177630337535064</v>
      </c>
      <c r="AL163" s="2"/>
    </row>
    <row r="164" spans="1:38" x14ac:dyDescent="0.3">
      <c r="A164" t="s">
        <v>358</v>
      </c>
      <c r="B164" s="1" t="s">
        <v>359</v>
      </c>
      <c r="C164" t="s">
        <v>33</v>
      </c>
      <c r="D164">
        <v>304.73232308935712</v>
      </c>
      <c r="E164">
        <v>290.94765139759932</v>
      </c>
      <c r="F164">
        <v>290.14538322485168</v>
      </c>
      <c r="G164">
        <v>305.9549814784607</v>
      </c>
      <c r="H164">
        <v>315.4853216431498</v>
      </c>
      <c r="I164">
        <v>337.66154507784518</v>
      </c>
      <c r="J164">
        <v>361.23507520713412</v>
      </c>
      <c r="K164">
        <v>401.64356423664645</v>
      </c>
      <c r="L164">
        <v>401.1140398674425</v>
      </c>
      <c r="M164">
        <v>420.01372366890268</v>
      </c>
      <c r="N164">
        <v>447.4698276813711</v>
      </c>
      <c r="O164">
        <v>475.90577765841141</v>
      </c>
      <c r="P164">
        <v>498.61919650965842</v>
      </c>
      <c r="Q164">
        <v>539.60553988312813</v>
      </c>
      <c r="R164">
        <v>558.38067328977468</v>
      </c>
      <c r="S164">
        <v>583.91253866282148</v>
      </c>
      <c r="T164">
        <v>614.4157647675205</v>
      </c>
      <c r="U164">
        <v>651.29119370091973</v>
      </c>
      <c r="V164">
        <v>665.99518112004966</v>
      </c>
      <c r="W164">
        <v>690.45569703950821</v>
      </c>
      <c r="X164">
        <v>733.8874728321324</v>
      </c>
      <c r="Y164">
        <v>758.93696614762894</v>
      </c>
      <c r="Z164">
        <v>769.44327777125932</v>
      </c>
      <c r="AA164">
        <v>815.03417240973238</v>
      </c>
      <c r="AB164">
        <v>871.07840133931631</v>
      </c>
      <c r="AC164">
        <v>821.7338295204695</v>
      </c>
      <c r="AD164">
        <v>889.74884780219156</v>
      </c>
      <c r="AE164">
        <v>940.36507025095295</v>
      </c>
      <c r="AH164">
        <f t="shared" si="2"/>
        <v>4.2617739407743382</v>
      </c>
      <c r="AL164" s="2"/>
    </row>
    <row r="165" spans="1:38" x14ac:dyDescent="0.3">
      <c r="A165" t="s">
        <v>360</v>
      </c>
      <c r="B165" s="1" t="s">
        <v>361</v>
      </c>
      <c r="C165" t="s">
        <v>33</v>
      </c>
      <c r="D165">
        <v>2584.5048212886777</v>
      </c>
      <c r="E165">
        <v>2741.6574808748896</v>
      </c>
      <c r="F165">
        <v>2731.0162023709659</v>
      </c>
      <c r="G165">
        <v>2762.4591404870475</v>
      </c>
      <c r="H165">
        <v>2794.5422991235696</v>
      </c>
      <c r="I165">
        <v>2908.1884721520969</v>
      </c>
      <c r="J165">
        <v>3097.4868642359002</v>
      </c>
      <c r="K165">
        <v>3253.2670667878142</v>
      </c>
      <c r="L165">
        <v>3408.0563711768091</v>
      </c>
      <c r="M165">
        <v>3501.4472705319913</v>
      </c>
      <c r="N165">
        <v>3722.9686621387909</v>
      </c>
      <c r="O165">
        <v>3787.228371440825</v>
      </c>
      <c r="P165">
        <v>3783.6762943531016</v>
      </c>
      <c r="Q165">
        <v>3891.48478167141</v>
      </c>
      <c r="R165">
        <v>3842.5759713262905</v>
      </c>
      <c r="S165">
        <v>4046.585287102514</v>
      </c>
      <c r="T165">
        <v>4166.4072311113259</v>
      </c>
      <c r="U165">
        <v>3975.0180776792986</v>
      </c>
      <c r="V165">
        <v>3943.1599940288738</v>
      </c>
      <c r="W165">
        <v>3933.4161824453827</v>
      </c>
      <c r="X165">
        <v>4048.4671129656799</v>
      </c>
      <c r="Y165">
        <v>4329.7276708552536</v>
      </c>
      <c r="Z165">
        <v>4346.5045907970434</v>
      </c>
      <c r="AA165">
        <v>4277.3420154927253</v>
      </c>
      <c r="AB165">
        <v>4421.29454588713</v>
      </c>
      <c r="AC165">
        <v>4223.588172091826</v>
      </c>
      <c r="AD165">
        <v>3855.8079326807101</v>
      </c>
      <c r="AE165">
        <v>3591.8049476326291</v>
      </c>
      <c r="AH165">
        <f t="shared" si="2"/>
        <v>1.2264260298024077</v>
      </c>
      <c r="AL165" s="2"/>
    </row>
    <row r="166" spans="1:38" x14ac:dyDescent="0.3">
      <c r="A166" t="s">
        <v>362</v>
      </c>
      <c r="B166" s="1" t="s">
        <v>363</v>
      </c>
      <c r="C166" t="s">
        <v>33</v>
      </c>
      <c r="D166" t="s">
        <v>34</v>
      </c>
      <c r="E166" t="s">
        <v>34</v>
      </c>
      <c r="F166">
        <v>48795.34863120511</v>
      </c>
      <c r="G166">
        <v>51629.37129965701</v>
      </c>
      <c r="H166">
        <v>55433.6490985411</v>
      </c>
      <c r="I166">
        <v>55756.962286673217</v>
      </c>
      <c r="J166">
        <v>57764.659468412108</v>
      </c>
      <c r="K166">
        <v>56630.715937240129</v>
      </c>
      <c r="L166">
        <v>57524.163055276746</v>
      </c>
      <c r="M166">
        <v>59123.788595477854</v>
      </c>
      <c r="N166">
        <v>59705.922637421776</v>
      </c>
      <c r="O166">
        <v>61059.476886073397</v>
      </c>
      <c r="P166">
        <v>64511.074220990078</v>
      </c>
      <c r="Q166">
        <v>63502.126751813114</v>
      </c>
      <c r="R166">
        <v>56289.856872921722</v>
      </c>
      <c r="S166">
        <v>52284.54438001159</v>
      </c>
      <c r="T166">
        <v>46628.684700228718</v>
      </c>
      <c r="U166">
        <v>42510.575475434889</v>
      </c>
      <c r="V166">
        <v>41983.429467416383</v>
      </c>
      <c r="W166">
        <v>41558.698818883648</v>
      </c>
      <c r="X166">
        <v>42281.811254926353</v>
      </c>
      <c r="Y166">
        <v>42935.417335512248</v>
      </c>
      <c r="Z166">
        <v>42765.69981584842</v>
      </c>
      <c r="AA166">
        <v>43277.501414912287</v>
      </c>
      <c r="AB166">
        <v>44143.045641472563</v>
      </c>
      <c r="AC166">
        <v>41415.666963322146</v>
      </c>
      <c r="AD166">
        <v>45269.474048948126</v>
      </c>
      <c r="AE166" t="s">
        <v>34</v>
      </c>
      <c r="AH166" t="str">
        <f t="shared" si="2"/>
        <v>NA</v>
      </c>
      <c r="AL166" s="2"/>
    </row>
    <row r="167" spans="1:38" x14ac:dyDescent="0.3">
      <c r="A167" t="s">
        <v>364</v>
      </c>
      <c r="B167" s="1" t="s">
        <v>365</v>
      </c>
      <c r="C167" t="s">
        <v>33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>
        <v>974.2029489067354</v>
      </c>
      <c r="K167">
        <v>982.86008615349294</v>
      </c>
      <c r="L167">
        <v>1037.212613751607</v>
      </c>
      <c r="M167">
        <v>1047.1110788063127</v>
      </c>
      <c r="N167">
        <v>1088.8715939048207</v>
      </c>
      <c r="O167">
        <v>1156.4787137018047</v>
      </c>
      <c r="P167">
        <v>1169.5168322241791</v>
      </c>
      <c r="Q167">
        <v>1212.6688605069917</v>
      </c>
      <c r="R167">
        <v>1223.7134596384706</v>
      </c>
      <c r="S167">
        <v>1214.1063000058521</v>
      </c>
      <c r="T167">
        <v>1212.3818763747136</v>
      </c>
      <c r="U167">
        <v>1222.5644063785326</v>
      </c>
      <c r="V167">
        <v>1259.7324333373756</v>
      </c>
      <c r="W167">
        <v>1296.5115983697644</v>
      </c>
      <c r="X167">
        <v>1292.7330554652256</v>
      </c>
      <c r="Y167">
        <v>1336.3470088618981</v>
      </c>
      <c r="Z167">
        <v>1368.5451498424559</v>
      </c>
      <c r="AA167">
        <v>1406.103382134896</v>
      </c>
      <c r="AB167">
        <v>1412.6696604638109</v>
      </c>
      <c r="AC167">
        <v>1422.9488284356105</v>
      </c>
      <c r="AD167">
        <v>1420.9502962875483</v>
      </c>
      <c r="AE167">
        <v>1395.1575280269165</v>
      </c>
      <c r="AH167" t="str">
        <f t="shared" si="2"/>
        <v>NA</v>
      </c>
      <c r="AL167" s="2"/>
    </row>
    <row r="168" spans="1:38" x14ac:dyDescent="0.3">
      <c r="A168" t="s">
        <v>366</v>
      </c>
      <c r="B168" s="1" t="s">
        <v>367</v>
      </c>
      <c r="C168" t="s">
        <v>33</v>
      </c>
      <c r="D168">
        <v>17887.242684597692</v>
      </c>
      <c r="E168">
        <v>17865.822802548861</v>
      </c>
      <c r="F168">
        <v>17584.597046470481</v>
      </c>
      <c r="G168">
        <v>17621.261960391883</v>
      </c>
      <c r="H168">
        <v>16524.614978695805</v>
      </c>
      <c r="I168">
        <v>17018.611887593135</v>
      </c>
      <c r="J168">
        <v>16402.605890271556</v>
      </c>
      <c r="K168">
        <v>15561.48161185057</v>
      </c>
      <c r="L168">
        <v>16916.528677306142</v>
      </c>
      <c r="M168">
        <v>17868.447281453824</v>
      </c>
      <c r="N168">
        <v>18295.454850535873</v>
      </c>
      <c r="O168">
        <v>18075.673616624208</v>
      </c>
      <c r="P168">
        <v>17700.232347352674</v>
      </c>
      <c r="Q168">
        <v>18095.467674474046</v>
      </c>
      <c r="R168">
        <v>17071.731422348545</v>
      </c>
      <c r="S168">
        <v>17366.190434475731</v>
      </c>
      <c r="T168">
        <v>18802.937809654097</v>
      </c>
      <c r="U168">
        <v>19392.139829287007</v>
      </c>
      <c r="V168">
        <v>19526.152222546112</v>
      </c>
      <c r="W168">
        <v>19905.994836590748</v>
      </c>
      <c r="X168">
        <v>20442.366063161295</v>
      </c>
      <c r="Y168">
        <v>20508.11764916615</v>
      </c>
      <c r="Z168">
        <v>20028.213648119814</v>
      </c>
      <c r="AA168">
        <v>20096.552487567016</v>
      </c>
      <c r="AB168">
        <v>19806.115466044346</v>
      </c>
      <c r="AC168">
        <v>18856.913805399738</v>
      </c>
      <c r="AD168">
        <v>19698.24470905749</v>
      </c>
      <c r="AE168">
        <v>21138.646414238952</v>
      </c>
      <c r="AH168">
        <f t="shared" si="2"/>
        <v>0.62049189956046025</v>
      </c>
      <c r="AL168" s="2"/>
    </row>
    <row r="169" spans="1:38" x14ac:dyDescent="0.3">
      <c r="A169" t="s">
        <v>368</v>
      </c>
      <c r="B169" s="1" t="s">
        <v>369</v>
      </c>
      <c r="C169" t="s">
        <v>33</v>
      </c>
      <c r="D169">
        <v>984.82407989385365</v>
      </c>
      <c r="E169">
        <v>980.77452159288021</v>
      </c>
      <c r="F169">
        <v>987.4079140458125</v>
      </c>
      <c r="G169">
        <v>1021.9418964339681</v>
      </c>
      <c r="H169">
        <v>1061.2831568530303</v>
      </c>
      <c r="I169">
        <v>1076.8923045013116</v>
      </c>
      <c r="J169">
        <v>1096.8954215980755</v>
      </c>
      <c r="K169">
        <v>1071.4584506711642</v>
      </c>
      <c r="L169">
        <v>1103.9028869430376</v>
      </c>
      <c r="M169">
        <v>1126.6355124361396</v>
      </c>
      <c r="N169">
        <v>1145.7076361896741</v>
      </c>
      <c r="O169">
        <v>1142.2949562298306</v>
      </c>
      <c r="P169">
        <v>1144.0678228858703</v>
      </c>
      <c r="Q169">
        <v>1155.5509309732306</v>
      </c>
      <c r="R169">
        <v>1155.9920586690009</v>
      </c>
      <c r="S169">
        <v>1163.2275882956419</v>
      </c>
      <c r="T169">
        <v>1147.092960537512</v>
      </c>
      <c r="U169">
        <v>1160.9175387030764</v>
      </c>
      <c r="V169">
        <v>1157.1151298457476</v>
      </c>
      <c r="W169">
        <v>1196.1643077178255</v>
      </c>
      <c r="X169">
        <v>1238.1263997838907</v>
      </c>
      <c r="Y169">
        <v>1281.5461206354396</v>
      </c>
      <c r="Z169">
        <v>1339.5680011783891</v>
      </c>
      <c r="AA169">
        <v>1384.6420746782333</v>
      </c>
      <c r="AB169">
        <v>1409.970820807066</v>
      </c>
      <c r="AC169">
        <v>1391.0469548971578</v>
      </c>
      <c r="AD169">
        <v>1443.325918707686</v>
      </c>
      <c r="AE169">
        <v>1465.1057496852072</v>
      </c>
      <c r="AH169">
        <f t="shared" si="2"/>
        <v>1.4820591656354409</v>
      </c>
      <c r="AL169" s="2"/>
    </row>
    <row r="170" spans="1:38" x14ac:dyDescent="0.3">
      <c r="A170" t="s">
        <v>370</v>
      </c>
      <c r="B170" s="1" t="s">
        <v>371</v>
      </c>
      <c r="C170" t="s">
        <v>33</v>
      </c>
      <c r="D170">
        <v>2781.2463483413476</v>
      </c>
      <c r="E170">
        <v>2958.400125664039</v>
      </c>
      <c r="F170">
        <v>3180.5133231015152</v>
      </c>
      <c r="G170">
        <v>3299.2594784926691</v>
      </c>
      <c r="H170">
        <v>2999.168618167198</v>
      </c>
      <c r="I170">
        <v>3193.259002940556</v>
      </c>
      <c r="J170">
        <v>3418.7895403562216</v>
      </c>
      <c r="K170">
        <v>3640.2750269020662</v>
      </c>
      <c r="L170">
        <v>3808.0941025036245</v>
      </c>
      <c r="M170">
        <v>4161.5952034349275</v>
      </c>
      <c r="N170">
        <v>4404.9598753762712</v>
      </c>
      <c r="O170">
        <v>4648.197020006417</v>
      </c>
      <c r="P170">
        <v>4967.6197155137506</v>
      </c>
      <c r="Q170">
        <v>5270.9583231737188</v>
      </c>
      <c r="R170">
        <v>5147.5689732586707</v>
      </c>
      <c r="S170">
        <v>5206.0867606659576</v>
      </c>
      <c r="T170">
        <v>5354.2004291594267</v>
      </c>
      <c r="U170">
        <v>5343.5788252726252</v>
      </c>
      <c r="V170">
        <v>5524.9678653325627</v>
      </c>
      <c r="W170">
        <v>5462.734774973851</v>
      </c>
      <c r="X170">
        <v>5588.9794435876984</v>
      </c>
      <c r="Y170">
        <v>5805.8980620066704</v>
      </c>
      <c r="Z170">
        <v>5959.5213039117107</v>
      </c>
      <c r="AA170">
        <v>6261.5257004648565</v>
      </c>
      <c r="AB170">
        <v>6567.9080548259717</v>
      </c>
      <c r="AC170">
        <v>6552.0843907182361</v>
      </c>
      <c r="AD170">
        <v>7125.2185822699066</v>
      </c>
      <c r="AE170">
        <v>7493.1618016002767</v>
      </c>
      <c r="AH170">
        <f t="shared" si="2"/>
        <v>3.7389124709434007</v>
      </c>
      <c r="AL170" s="2"/>
    </row>
    <row r="171" spans="1:38" x14ac:dyDescent="0.3">
      <c r="A171" t="s">
        <v>372</v>
      </c>
      <c r="B171" s="1" t="s">
        <v>373</v>
      </c>
      <c r="C171" t="s">
        <v>33</v>
      </c>
      <c r="D171">
        <v>9533.337849050793</v>
      </c>
      <c r="E171">
        <v>10333.742161372476</v>
      </c>
      <c r="F171">
        <v>11458.548887797824</v>
      </c>
      <c r="G171">
        <v>11513.889969674019</v>
      </c>
      <c r="H171">
        <v>11501.289433706435</v>
      </c>
      <c r="I171">
        <v>11883.90450431245</v>
      </c>
      <c r="J171">
        <v>11603.846825990642</v>
      </c>
      <c r="K171">
        <v>11390.938637448886</v>
      </c>
      <c r="L171">
        <v>10842.330719159827</v>
      </c>
      <c r="M171">
        <v>10572.355789446026</v>
      </c>
      <c r="N171">
        <v>11471.206611681975</v>
      </c>
      <c r="O171">
        <v>12291.781613909759</v>
      </c>
      <c r="P171">
        <v>13314.661175654313</v>
      </c>
      <c r="Q171">
        <v>12665.288343017197</v>
      </c>
      <c r="R171">
        <v>12302.880710031453</v>
      </c>
      <c r="S171">
        <v>12503.094116562736</v>
      </c>
      <c r="T171">
        <v>14056.802067044791</v>
      </c>
      <c r="U171">
        <v>14352.575212497264</v>
      </c>
      <c r="V171">
        <v>14266.584154336018</v>
      </c>
      <c r="W171">
        <v>14617.201501156274</v>
      </c>
      <c r="X171">
        <v>14894.485782709642</v>
      </c>
      <c r="Y171">
        <v>15446.813434270372</v>
      </c>
      <c r="Z171">
        <v>15684.112794399043</v>
      </c>
      <c r="AA171">
        <v>16110.990860915454</v>
      </c>
      <c r="AB171">
        <v>16747.355422267265</v>
      </c>
      <c r="AC171">
        <v>15321.691327851575</v>
      </c>
      <c r="AD171">
        <v>16023.631916788612</v>
      </c>
      <c r="AE171">
        <v>14461.545692325426</v>
      </c>
      <c r="AH171">
        <f t="shared" si="2"/>
        <v>1.5552974657150553</v>
      </c>
      <c r="AL171" s="2"/>
    </row>
    <row r="172" spans="1:38" x14ac:dyDescent="0.3">
      <c r="A172" t="s">
        <v>374</v>
      </c>
      <c r="B172" s="1" t="s">
        <v>375</v>
      </c>
      <c r="C172" t="s">
        <v>33</v>
      </c>
      <c r="D172">
        <v>416.71613484602778</v>
      </c>
      <c r="E172">
        <v>421.75970538156128</v>
      </c>
      <c r="F172">
        <v>391.77652006173588</v>
      </c>
      <c r="G172">
        <v>394.74200443365152</v>
      </c>
      <c r="H172">
        <v>384.7526851713987</v>
      </c>
      <c r="I172">
        <v>400.5989342846924</v>
      </c>
      <c r="J172">
        <v>354.08939128899408</v>
      </c>
      <c r="K172">
        <v>423.34098161518915</v>
      </c>
      <c r="L172">
        <v>445.23035939445174</v>
      </c>
      <c r="M172">
        <v>458.44687404951435</v>
      </c>
      <c r="N172">
        <v>465.77840469011795</v>
      </c>
      <c r="O172">
        <v>475.15714731229258</v>
      </c>
      <c r="P172">
        <v>501.88101667106611</v>
      </c>
      <c r="Q172">
        <v>515.98357515305452</v>
      </c>
      <c r="R172">
        <v>518.16790442215301</v>
      </c>
      <c r="S172">
        <v>537.37897644365171</v>
      </c>
      <c r="T172">
        <v>554.53864293821357</v>
      </c>
      <c r="U172">
        <v>622.2567681993728</v>
      </c>
      <c r="V172">
        <v>734.35416883752055</v>
      </c>
      <c r="W172">
        <v>748.92841733015166</v>
      </c>
      <c r="X172">
        <v>581.29341181495408</v>
      </c>
      <c r="Y172">
        <v>603.40893803990139</v>
      </c>
      <c r="Z172">
        <v>611.0839948074015</v>
      </c>
      <c r="AA172">
        <v>617.52951943066876</v>
      </c>
      <c r="AB172">
        <v>634.98561571620644</v>
      </c>
      <c r="AC172">
        <v>608.33812020450205</v>
      </c>
      <c r="AD172">
        <v>619.26922332217578</v>
      </c>
      <c r="AE172">
        <v>626.9020435102716</v>
      </c>
      <c r="AH172">
        <f t="shared" si="2"/>
        <v>1.5240339189976027</v>
      </c>
      <c r="AL172" s="2"/>
    </row>
    <row r="173" spans="1:38" x14ac:dyDescent="0.3">
      <c r="A173" t="s">
        <v>376</v>
      </c>
      <c r="B173" s="1" t="s">
        <v>377</v>
      </c>
      <c r="C173" t="s">
        <v>33</v>
      </c>
      <c r="D173">
        <v>30379.899114459811</v>
      </c>
      <c r="E173">
        <v>31349.317180513106</v>
      </c>
      <c r="F173">
        <v>32835.251850608205</v>
      </c>
      <c r="G173">
        <v>31043.108180075953</v>
      </c>
      <c r="H173">
        <v>32557.046990406339</v>
      </c>
      <c r="I173">
        <v>34890.081136516805</v>
      </c>
      <c r="J173">
        <v>33597.869080822624</v>
      </c>
      <c r="K173">
        <v>34598.826748378073</v>
      </c>
      <c r="L173">
        <v>36709.79650382547</v>
      </c>
      <c r="M173">
        <v>39856.635622261303</v>
      </c>
      <c r="N173">
        <v>41798.488083467069</v>
      </c>
      <c r="O173">
        <v>44159.41018205518</v>
      </c>
      <c r="P173">
        <v>46178.813947019909</v>
      </c>
      <c r="Q173">
        <v>44601.579930269872</v>
      </c>
      <c r="R173">
        <v>43331.87466389616</v>
      </c>
      <c r="S173">
        <v>48752.051544185873</v>
      </c>
      <c r="T173">
        <v>50713.532639359408</v>
      </c>
      <c r="U173">
        <v>51679.352717333037</v>
      </c>
      <c r="V173">
        <v>53298.972855828622</v>
      </c>
      <c r="W173">
        <v>54681.933645825324</v>
      </c>
      <c r="X173">
        <v>55645.606861460568</v>
      </c>
      <c r="Y173">
        <v>56906.632584004277</v>
      </c>
      <c r="Z173">
        <v>59440.199713908958</v>
      </c>
      <c r="AA173">
        <v>61276.946593125947</v>
      </c>
      <c r="AB173">
        <v>61386.236150588738</v>
      </c>
      <c r="AC173">
        <v>59175.811041213652</v>
      </c>
      <c r="AD173">
        <v>67175.863999497189</v>
      </c>
      <c r="AE173">
        <v>67359.789878486219</v>
      </c>
      <c r="AH173">
        <f t="shared" si="2"/>
        <v>2.993055034378167</v>
      </c>
      <c r="AL173" s="2"/>
    </row>
    <row r="174" spans="1:38" x14ac:dyDescent="0.3">
      <c r="A174" t="s">
        <v>378</v>
      </c>
      <c r="B174" s="1" t="s">
        <v>379</v>
      </c>
      <c r="C174" t="s">
        <v>33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>
        <v>36729.709519404969</v>
      </c>
      <c r="S174">
        <v>38107.627929528731</v>
      </c>
      <c r="T174">
        <v>40600.924509845667</v>
      </c>
      <c r="U174">
        <v>39733.500853013633</v>
      </c>
      <c r="V174">
        <v>38089.815065679431</v>
      </c>
      <c r="W174">
        <v>37584.981141305987</v>
      </c>
      <c r="X174">
        <v>36519.992586751316</v>
      </c>
      <c r="Y174">
        <v>35818.021250414437</v>
      </c>
      <c r="Z174">
        <v>32625.217321106717</v>
      </c>
      <c r="AA174">
        <v>30149.583808096046</v>
      </c>
      <c r="AB174">
        <v>32882.188051879151</v>
      </c>
      <c r="AC174">
        <v>28030.414524529151</v>
      </c>
      <c r="AD174">
        <v>29067.583032977047</v>
      </c>
      <c r="AE174">
        <v>31782.129501271138</v>
      </c>
      <c r="AH174" t="str">
        <f t="shared" si="2"/>
        <v>NA</v>
      </c>
      <c r="AL174" s="2"/>
    </row>
    <row r="175" spans="1:38" x14ac:dyDescent="0.3">
      <c r="A175" t="s">
        <v>380</v>
      </c>
      <c r="B175" s="1" t="s">
        <v>381</v>
      </c>
      <c r="C175" t="s">
        <v>33</v>
      </c>
      <c r="D175">
        <v>7542.111028313916</v>
      </c>
      <c r="E175">
        <v>8024.3875309039695</v>
      </c>
      <c r="F175">
        <v>8484.2207773607042</v>
      </c>
      <c r="G175">
        <v>8818.2108263392711</v>
      </c>
      <c r="H175">
        <v>8799.8858759450795</v>
      </c>
      <c r="I175">
        <v>8914.5989841528881</v>
      </c>
      <c r="J175">
        <v>9221.5218608240029</v>
      </c>
      <c r="K175">
        <v>9640.8653013250168</v>
      </c>
      <c r="L175">
        <v>10177.721418954839</v>
      </c>
      <c r="M175">
        <v>10717.173171120714</v>
      </c>
      <c r="N175">
        <v>11425.900147269596</v>
      </c>
      <c r="O175">
        <v>12395.75218096627</v>
      </c>
      <c r="P175">
        <v>13734.455549532051</v>
      </c>
      <c r="Q175">
        <v>14487.706531776628</v>
      </c>
      <c r="R175">
        <v>13679.084408091543</v>
      </c>
      <c r="S175">
        <v>14584.260678210063</v>
      </c>
      <c r="T175">
        <v>14954.577975505019</v>
      </c>
      <c r="U175">
        <v>15126.035298776151</v>
      </c>
      <c r="V175">
        <v>15205.395578054617</v>
      </c>
      <c r="W175">
        <v>15600.367167180191</v>
      </c>
      <c r="X175">
        <v>16390.882174850707</v>
      </c>
      <c r="Y175">
        <v>16687.984457149159</v>
      </c>
      <c r="Z175">
        <v>17151.652477668038</v>
      </c>
      <c r="AA175">
        <v>17818.234107216696</v>
      </c>
      <c r="AB175">
        <v>18240.993719768336</v>
      </c>
      <c r="AC175">
        <v>17617.448701974881</v>
      </c>
      <c r="AD175">
        <v>18500.419707943249</v>
      </c>
      <c r="AE175">
        <v>18877.959376166313</v>
      </c>
      <c r="AH175">
        <f t="shared" si="2"/>
        <v>3.4565177830178984</v>
      </c>
      <c r="AL175" s="2"/>
    </row>
    <row r="176" spans="1:38" x14ac:dyDescent="0.3">
      <c r="A176" t="s">
        <v>382</v>
      </c>
      <c r="B176" s="1" t="s">
        <v>383</v>
      </c>
      <c r="C176" t="s">
        <v>33</v>
      </c>
      <c r="D176">
        <v>13276.073086570934</v>
      </c>
      <c r="E176">
        <v>13709.877425712712</v>
      </c>
      <c r="F176">
        <v>14421.575323424791</v>
      </c>
      <c r="G176">
        <v>14927.034496741688</v>
      </c>
      <c r="H176">
        <v>15711.816383060039</v>
      </c>
      <c r="I176">
        <v>16240.656886049459</v>
      </c>
      <c r="J176">
        <v>16736.666604882117</v>
      </c>
      <c r="K176">
        <v>17301.933807288315</v>
      </c>
      <c r="L176">
        <v>17803.377981898786</v>
      </c>
      <c r="M176">
        <v>18567.562205924507</v>
      </c>
      <c r="N176">
        <v>19239.399907821837</v>
      </c>
      <c r="O176">
        <v>20280.151904595739</v>
      </c>
      <c r="P176">
        <v>21574.753436010633</v>
      </c>
      <c r="Q176">
        <v>22296.704996823148</v>
      </c>
      <c r="R176">
        <v>20428.169859522081</v>
      </c>
      <c r="S176">
        <v>20612.589530530822</v>
      </c>
      <c r="T176">
        <v>20746.988405298998</v>
      </c>
      <c r="U176">
        <v>20157.005254466301</v>
      </c>
      <c r="V176">
        <v>19922.474290455022</v>
      </c>
      <c r="W176">
        <v>20453.833387718692</v>
      </c>
      <c r="X176">
        <v>20890.166430417266</v>
      </c>
      <c r="Y176">
        <v>21541.176421948978</v>
      </c>
      <c r="Z176">
        <v>22563.758939811836</v>
      </c>
      <c r="AA176">
        <v>23483.529124564026</v>
      </c>
      <c r="AB176">
        <v>24142.089570835942</v>
      </c>
      <c r="AC176">
        <v>22963.933411023347</v>
      </c>
      <c r="AD176">
        <v>24786.791207557173</v>
      </c>
      <c r="AE176">
        <v>25349.758553351479</v>
      </c>
      <c r="AH176">
        <f t="shared" si="2"/>
        <v>2.4245015156223459</v>
      </c>
      <c r="AL176" s="2"/>
    </row>
    <row r="177" spans="1:38" x14ac:dyDescent="0.3">
      <c r="A177" t="s">
        <v>384</v>
      </c>
      <c r="B177" s="1" t="s">
        <v>385</v>
      </c>
      <c r="C177" t="s">
        <v>33</v>
      </c>
      <c r="D177">
        <v>2358.500908556493</v>
      </c>
      <c r="E177">
        <v>2328.9344805522564</v>
      </c>
      <c r="F177">
        <v>2243.8248814514909</v>
      </c>
      <c r="G177">
        <v>2211.0203226886129</v>
      </c>
      <c r="H177">
        <v>2142.1074722318303</v>
      </c>
      <c r="I177">
        <v>1790.3737490346314</v>
      </c>
      <c r="J177">
        <v>1608.9412310485491</v>
      </c>
      <c r="K177">
        <v>1527.9302597064348</v>
      </c>
      <c r="L177">
        <v>1590.7056713550221</v>
      </c>
      <c r="M177">
        <v>1674.5511651824795</v>
      </c>
      <c r="N177">
        <v>1757.8896421320637</v>
      </c>
      <c r="O177">
        <v>1790.0335649307012</v>
      </c>
      <c r="P177">
        <v>1814.0496029507219</v>
      </c>
      <c r="Q177">
        <v>1884.486007576691</v>
      </c>
      <c r="R177">
        <v>1895.0098041062515</v>
      </c>
      <c r="S177">
        <v>2030.6604761510798</v>
      </c>
      <c r="T177">
        <v>2129.0321119306336</v>
      </c>
      <c r="U177">
        <v>2127.580044180293</v>
      </c>
      <c r="V177">
        <v>2182.8768885971126</v>
      </c>
      <c r="W177">
        <v>2153.3355121250288</v>
      </c>
      <c r="X177">
        <v>2134.8054182615474</v>
      </c>
      <c r="Y177">
        <v>2197.9881778882395</v>
      </c>
      <c r="Z177">
        <v>2210.9115103076469</v>
      </c>
      <c r="AA177">
        <v>2217.81727876586</v>
      </c>
      <c r="AB177">
        <v>2203.9833946966851</v>
      </c>
      <c r="AC177">
        <v>2079.5603540905618</v>
      </c>
      <c r="AD177">
        <v>2019.0464771717577</v>
      </c>
      <c r="AE177">
        <v>1893.1043007260416</v>
      </c>
      <c r="AH177">
        <f t="shared" si="2"/>
        <v>-0.81079973610675982</v>
      </c>
      <c r="AL177" s="2"/>
    </row>
    <row r="178" spans="1:38" x14ac:dyDescent="0.3">
      <c r="A178" t="s">
        <v>386</v>
      </c>
      <c r="B178" s="1" t="s">
        <v>387</v>
      </c>
      <c r="C178" t="s">
        <v>33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>
        <v>459.70407457476074</v>
      </c>
      <c r="W178">
        <v>477.33956959266965</v>
      </c>
      <c r="X178">
        <v>507.48291546699642</v>
      </c>
      <c r="Y178">
        <v>520.09803181960456</v>
      </c>
      <c r="Z178">
        <v>547.61668590834017</v>
      </c>
      <c r="AA178">
        <v>543.99807991165551</v>
      </c>
      <c r="AB178">
        <v>543.61439130139183</v>
      </c>
      <c r="AC178">
        <v>511.89880939314401</v>
      </c>
      <c r="AD178">
        <v>512.45123952239192</v>
      </c>
      <c r="AE178">
        <v>509.05260646638948</v>
      </c>
      <c r="AH178" t="str">
        <f t="shared" si="2"/>
        <v>NA</v>
      </c>
      <c r="AL178" s="2"/>
    </row>
    <row r="179" spans="1:38" x14ac:dyDescent="0.3">
      <c r="A179" t="s">
        <v>388</v>
      </c>
      <c r="B179" s="1" t="s">
        <v>389</v>
      </c>
      <c r="C179" t="s">
        <v>33</v>
      </c>
      <c r="D179">
        <v>4392.0700411200105</v>
      </c>
      <c r="E179">
        <v>4511.641243891343</v>
      </c>
      <c r="F179">
        <v>4565.2166582442587</v>
      </c>
      <c r="G179">
        <v>4531.2959866975889</v>
      </c>
      <c r="H179">
        <v>4588.7560281192045</v>
      </c>
      <c r="I179">
        <v>4735.6655318195726</v>
      </c>
      <c r="J179">
        <v>4820.6443389575334</v>
      </c>
      <c r="K179">
        <v>4953.7364473102971</v>
      </c>
      <c r="L179">
        <v>5052.9099395620242</v>
      </c>
      <c r="M179">
        <v>5233.8662768553804</v>
      </c>
      <c r="N179">
        <v>5458.230166359841</v>
      </c>
      <c r="O179">
        <v>5708.8230862100299</v>
      </c>
      <c r="P179">
        <v>5954.1680481495423</v>
      </c>
      <c r="Q179">
        <v>6074.9426719527592</v>
      </c>
      <c r="R179">
        <v>5910.7882457638134</v>
      </c>
      <c r="S179">
        <v>6018.2307537027891</v>
      </c>
      <c r="T179">
        <v>6130.9713673132337</v>
      </c>
      <c r="U179">
        <v>6194.9927587637949</v>
      </c>
      <c r="V179">
        <v>6263.1043336343228</v>
      </c>
      <c r="W179">
        <v>6252.3179771880623</v>
      </c>
      <c r="X179">
        <v>6204.9299014584567</v>
      </c>
      <c r="Y179">
        <v>6185.7460472547673</v>
      </c>
      <c r="Z179">
        <v>6233.1871077448513</v>
      </c>
      <c r="AA179">
        <v>6253.1189963953975</v>
      </c>
      <c r="AB179">
        <v>6188.7035576809494</v>
      </c>
      <c r="AC179">
        <v>5748.8978449278275</v>
      </c>
      <c r="AD179">
        <v>5959.4436573741814</v>
      </c>
      <c r="AE179">
        <v>6022.4275082808372</v>
      </c>
      <c r="AH179">
        <f t="shared" si="2"/>
        <v>1.1760834709418244</v>
      </c>
      <c r="AL179" s="2"/>
    </row>
    <row r="180" spans="1:38" x14ac:dyDescent="0.3">
      <c r="A180" t="s">
        <v>390</v>
      </c>
      <c r="B180" s="1" t="s">
        <v>391</v>
      </c>
      <c r="C180" t="s">
        <v>33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>
        <v>2287.565049081642</v>
      </c>
      <c r="R180">
        <v>2297.3629513323208</v>
      </c>
      <c r="S180">
        <v>2302.5202943186255</v>
      </c>
      <c r="T180">
        <v>2082.3599643361877</v>
      </c>
      <c r="U180">
        <v>1074.654868132995</v>
      </c>
      <c r="V180">
        <v>1171.4823787072394</v>
      </c>
      <c r="W180">
        <v>1199.421044780471</v>
      </c>
      <c r="X180">
        <v>1071.7777647554512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t="s">
        <v>34</v>
      </c>
      <c r="AE180" t="s">
        <v>34</v>
      </c>
      <c r="AH180" t="str">
        <f t="shared" si="2"/>
        <v>NA</v>
      </c>
      <c r="AL180" s="2"/>
    </row>
    <row r="181" spans="1:38" x14ac:dyDescent="0.3">
      <c r="A181" t="s">
        <v>392</v>
      </c>
      <c r="B181" s="1" t="s">
        <v>393</v>
      </c>
      <c r="C181" t="s">
        <v>33</v>
      </c>
      <c r="D181">
        <v>20001.790799896004</v>
      </c>
      <c r="E181">
        <v>20448.601487157361</v>
      </c>
      <c r="F181">
        <v>21117.018580829106</v>
      </c>
      <c r="G181">
        <v>21953.667519614031</v>
      </c>
      <c r="H181">
        <v>22846.717746028637</v>
      </c>
      <c r="I181">
        <v>23937.968551867485</v>
      </c>
      <c r="J181">
        <v>24707.367073686113</v>
      </c>
      <c r="K181">
        <v>25026.086471020688</v>
      </c>
      <c r="L181">
        <v>25310.456387412851</v>
      </c>
      <c r="M181">
        <v>25654.336551592351</v>
      </c>
      <c r="N181">
        <v>26145.808578619621</v>
      </c>
      <c r="O181">
        <v>26762.267255794195</v>
      </c>
      <c r="P181">
        <v>27218.449259735346</v>
      </c>
      <c r="Q181">
        <v>27025.294943287056</v>
      </c>
      <c r="R181">
        <v>25778.95646506525</v>
      </c>
      <c r="S181">
        <v>25702.346844814889</v>
      </c>
      <c r="T181">
        <v>25402.605071746206</v>
      </c>
      <c r="U181">
        <v>24634.962088423879</v>
      </c>
      <c r="V181">
        <v>24368.968237091922</v>
      </c>
      <c r="W181">
        <v>24783.082946868533</v>
      </c>
      <c r="X181">
        <v>25754.361029439977</v>
      </c>
      <c r="Y181">
        <v>26514.324811967927</v>
      </c>
      <c r="Z181">
        <v>27239.352436481458</v>
      </c>
      <c r="AA181">
        <v>27739.864768252937</v>
      </c>
      <c r="AB181">
        <v>28087.897920343847</v>
      </c>
      <c r="AC181">
        <v>24829.648591022185</v>
      </c>
      <c r="AD181">
        <v>26391.597225156314</v>
      </c>
      <c r="AE181">
        <v>27702.745299340899</v>
      </c>
      <c r="AH181">
        <f t="shared" si="2"/>
        <v>1.2136377824768729</v>
      </c>
      <c r="AL181" s="2"/>
    </row>
    <row r="182" spans="1:38" x14ac:dyDescent="0.3">
      <c r="A182" t="s">
        <v>394</v>
      </c>
      <c r="B182" s="1" t="s">
        <v>395</v>
      </c>
      <c r="C182" t="s">
        <v>33</v>
      </c>
      <c r="D182">
        <v>1625.5710675316905</v>
      </c>
      <c r="E182">
        <v>1673.9950837187321</v>
      </c>
      <c r="F182">
        <v>1768.9965743223052</v>
      </c>
      <c r="G182">
        <v>1840.9678931042122</v>
      </c>
      <c r="H182">
        <v>1908.8664252117669</v>
      </c>
      <c r="I182">
        <v>2011.980470686364</v>
      </c>
      <c r="J182">
        <v>1965.8209112265629</v>
      </c>
      <c r="K182">
        <v>2023.393935674962</v>
      </c>
      <c r="L182">
        <v>2122.2151440587027</v>
      </c>
      <c r="M182">
        <v>2216.2720543747291</v>
      </c>
      <c r="N182">
        <v>2332.6523179032051</v>
      </c>
      <c r="O182">
        <v>2486.6476217485151</v>
      </c>
      <c r="P182">
        <v>2628.1568031565016</v>
      </c>
      <c r="Q182">
        <v>2756.1219798481534</v>
      </c>
      <c r="R182">
        <v>2826.2354153535439</v>
      </c>
      <c r="S182">
        <v>3025.3011510418237</v>
      </c>
      <c r="T182">
        <v>3257.447440345305</v>
      </c>
      <c r="U182">
        <v>3512.1342562740319</v>
      </c>
      <c r="V182">
        <v>3634.6170285336129</v>
      </c>
      <c r="W182">
        <v>3846.8262383972365</v>
      </c>
      <c r="X182">
        <v>3990.3531173944552</v>
      </c>
      <c r="Y182">
        <v>4174.636995728185</v>
      </c>
      <c r="Z182">
        <v>4427.5425506983138</v>
      </c>
      <c r="AA182">
        <v>4495.7104628441821</v>
      </c>
      <c r="AB182">
        <v>4458.4344272584894</v>
      </c>
      <c r="AC182">
        <v>4229.749594418543</v>
      </c>
      <c r="AD182">
        <v>4331.4736785995683</v>
      </c>
      <c r="AE182">
        <v>3988.080159903534</v>
      </c>
      <c r="AH182">
        <f t="shared" si="2"/>
        <v>3.3797502032089977</v>
      </c>
      <c r="AL182" s="2"/>
    </row>
    <row r="183" spans="1:38" x14ac:dyDescent="0.3">
      <c r="A183" t="s">
        <v>396</v>
      </c>
      <c r="B183" s="1" t="s">
        <v>397</v>
      </c>
      <c r="C183" t="s">
        <v>33</v>
      </c>
      <c r="D183">
        <v>11653.420261584484</v>
      </c>
      <c r="E183">
        <v>12177.759975035735</v>
      </c>
      <c r="F183">
        <v>12842.193511308018</v>
      </c>
      <c r="G183">
        <v>12613.834823299365</v>
      </c>
      <c r="H183">
        <v>12847.160731933651</v>
      </c>
      <c r="I183">
        <v>13939.594384504699</v>
      </c>
      <c r="J183">
        <v>14504.401925072822</v>
      </c>
      <c r="K183">
        <v>14614.431925951107</v>
      </c>
      <c r="L183">
        <v>13989.091932806188</v>
      </c>
      <c r="M183">
        <v>14501.607968926186</v>
      </c>
      <c r="N183">
        <v>15863.641162262216</v>
      </c>
      <c r="O183">
        <v>16311.391407113919</v>
      </c>
      <c r="P183">
        <v>16360.145635461386</v>
      </c>
      <c r="Q183">
        <v>18134.582700245901</v>
      </c>
      <c r="R183">
        <v>17473.588324431625</v>
      </c>
      <c r="S183">
        <v>17438.125552340425</v>
      </c>
      <c r="T183">
        <v>17653.741119691495</v>
      </c>
      <c r="U183">
        <v>17507.204383632725</v>
      </c>
      <c r="V183">
        <v>18491.337172170352</v>
      </c>
      <c r="W183">
        <v>19884.095996687407</v>
      </c>
      <c r="X183">
        <v>20025.652352498972</v>
      </c>
      <c r="Y183">
        <v>20812.061190733846</v>
      </c>
      <c r="Z183">
        <v>20817.138184774303</v>
      </c>
      <c r="AA183">
        <v>21255.154839587598</v>
      </c>
      <c r="AB183">
        <v>22138.59216457661</v>
      </c>
      <c r="AC183">
        <v>18943.112402739869</v>
      </c>
      <c r="AD183">
        <v>18788.424209438788</v>
      </c>
      <c r="AE183">
        <v>20428.414740856933</v>
      </c>
      <c r="AH183">
        <f t="shared" si="2"/>
        <v>2.1007507463645769</v>
      </c>
      <c r="AL183" s="2"/>
    </row>
    <row r="184" spans="1:38" x14ac:dyDescent="0.3">
      <c r="A184" t="s">
        <v>398</v>
      </c>
      <c r="B184" s="1" t="s">
        <v>399</v>
      </c>
      <c r="C184" t="s">
        <v>33</v>
      </c>
      <c r="D184">
        <v>8597.0993569575712</v>
      </c>
      <c r="E184">
        <v>8755.2008176968175</v>
      </c>
      <c r="F184">
        <v>8611.3733677780765</v>
      </c>
      <c r="G184">
        <v>9070.9744212038131</v>
      </c>
      <c r="H184">
        <v>9230.7765845354079</v>
      </c>
      <c r="I184">
        <v>9163.2470883951464</v>
      </c>
      <c r="J184">
        <v>8790.6631865354957</v>
      </c>
      <c r="K184">
        <v>8761.5307326446073</v>
      </c>
      <c r="L184">
        <v>9065.2531980598924</v>
      </c>
      <c r="M184">
        <v>9653.4877322232114</v>
      </c>
      <c r="N184">
        <v>9547.203969362401</v>
      </c>
      <c r="O184">
        <v>10072.657955423285</v>
      </c>
      <c r="P184">
        <v>10178.967942365445</v>
      </c>
      <c r="Q184">
        <v>10615.711769031484</v>
      </c>
      <c r="R184">
        <v>10247.805005227045</v>
      </c>
      <c r="S184">
        <v>10206.618455541466</v>
      </c>
      <c r="T184">
        <v>10573.406873818531</v>
      </c>
      <c r="U184">
        <v>10502.181045582867</v>
      </c>
      <c r="V184">
        <v>10241.091674643429</v>
      </c>
      <c r="W184">
        <v>10328.058834508689</v>
      </c>
      <c r="X184">
        <v>10290.371568222417</v>
      </c>
      <c r="Y184">
        <v>10595.449253664261</v>
      </c>
      <c r="Z184">
        <v>10907.94529078063</v>
      </c>
      <c r="AA184">
        <v>11176.440823223162</v>
      </c>
      <c r="AB184">
        <v>11060.563794159547</v>
      </c>
      <c r="AC184">
        <v>8335.1795275961595</v>
      </c>
      <c r="AD184">
        <v>9333.0068164069035</v>
      </c>
      <c r="AE184">
        <v>10802.655716709825</v>
      </c>
      <c r="AH184">
        <f t="shared" si="2"/>
        <v>0.84939125696121831</v>
      </c>
      <c r="AL184" s="2"/>
    </row>
    <row r="185" spans="1:38" x14ac:dyDescent="0.3">
      <c r="A185" t="s">
        <v>400</v>
      </c>
      <c r="B185" s="1" t="s">
        <v>401</v>
      </c>
      <c r="C185" t="s">
        <v>33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  <c r="AD185" t="s">
        <v>34</v>
      </c>
      <c r="AE185" t="s">
        <v>34</v>
      </c>
      <c r="AH185" t="str">
        <f t="shared" si="2"/>
        <v>NA</v>
      </c>
      <c r="AL185" s="2"/>
    </row>
    <row r="186" spans="1:38" x14ac:dyDescent="0.3">
      <c r="A186" t="s">
        <v>402</v>
      </c>
      <c r="B186" s="1" t="s">
        <v>403</v>
      </c>
      <c r="C186" t="s">
        <v>33</v>
      </c>
      <c r="D186">
        <v>4424.1581614057641</v>
      </c>
      <c r="E186">
        <v>4476.5892414745576</v>
      </c>
      <c r="F186">
        <v>4634.0681003949239</v>
      </c>
      <c r="G186">
        <v>4828.3004044491072</v>
      </c>
      <c r="H186">
        <v>4966.5579140256687</v>
      </c>
      <c r="I186">
        <v>5056.0336501825996</v>
      </c>
      <c r="J186">
        <v>5152.211082546507</v>
      </c>
      <c r="K186">
        <v>5436.586186971228</v>
      </c>
      <c r="L186">
        <v>5817.9048003475991</v>
      </c>
      <c r="M186">
        <v>6084.1895468752218</v>
      </c>
      <c r="N186">
        <v>6267.0423854001274</v>
      </c>
      <c r="O186">
        <v>6742.6128587026506</v>
      </c>
      <c r="P186">
        <v>7004.5738219183695</v>
      </c>
      <c r="Q186">
        <v>7065.3034394771739</v>
      </c>
      <c r="R186">
        <v>6998.125933723496</v>
      </c>
      <c r="S186">
        <v>6717.8140762318662</v>
      </c>
      <c r="T186">
        <v>6714.2476839410438</v>
      </c>
      <c r="U186">
        <v>6831.7102126512964</v>
      </c>
      <c r="V186">
        <v>7041.1774268473091</v>
      </c>
      <c r="W186">
        <v>7157.6885141351631</v>
      </c>
      <c r="X186">
        <v>7386.7466384511508</v>
      </c>
      <c r="Y186">
        <v>7730.954220207449</v>
      </c>
      <c r="Z186">
        <v>7881.4301945275765</v>
      </c>
      <c r="AA186">
        <v>8152.4136283062426</v>
      </c>
      <c r="AB186">
        <v>8234.282222011896</v>
      </c>
      <c r="AC186">
        <v>7948.4764741507724</v>
      </c>
      <c r="AD186">
        <v>8034.7273288005963</v>
      </c>
      <c r="AE186">
        <v>8460.3654821613709</v>
      </c>
      <c r="AH186">
        <f t="shared" si="2"/>
        <v>2.4302167842413791</v>
      </c>
      <c r="AL186" s="2"/>
    </row>
    <row r="187" spans="1:38" x14ac:dyDescent="0.3">
      <c r="A187" t="s">
        <v>404</v>
      </c>
      <c r="B187" s="1" t="s">
        <v>405</v>
      </c>
      <c r="C187" t="s">
        <v>33</v>
      </c>
      <c r="D187">
        <v>1507.84118652344</v>
      </c>
      <c r="E187">
        <v>1558.68701171875</v>
      </c>
      <c r="F187">
        <v>1798.294921875</v>
      </c>
      <c r="G187">
        <v>1833.97216796875</v>
      </c>
      <c r="H187">
        <v>1845.51257324219</v>
      </c>
      <c r="I187">
        <v>1906.380859375</v>
      </c>
      <c r="J187">
        <v>1973.76440429688</v>
      </c>
      <c r="K187">
        <v>2036.44775390625</v>
      </c>
      <c r="L187">
        <v>2107.6103515625</v>
      </c>
      <c r="M187">
        <v>2156.662109375</v>
      </c>
      <c r="N187">
        <v>2213.79077148438</v>
      </c>
      <c r="O187">
        <v>2287.11596679688</v>
      </c>
      <c r="P187">
        <v>2342.1845703125</v>
      </c>
      <c r="Q187">
        <v>2356.13330078125</v>
      </c>
      <c r="R187">
        <v>2220.94921875</v>
      </c>
      <c r="S187">
        <v>2238.85498046875</v>
      </c>
      <c r="T187">
        <v>2381.357421875</v>
      </c>
      <c r="U187">
        <v>2222.70141601563</v>
      </c>
      <c r="V187">
        <v>2213.84008789063</v>
      </c>
      <c r="W187">
        <v>2253.63305664063</v>
      </c>
      <c r="X187">
        <v>2226.40942382813</v>
      </c>
      <c r="Y187">
        <v>2233.06127929688</v>
      </c>
      <c r="Z187">
        <v>2176.88452148438</v>
      </c>
      <c r="AA187">
        <v>2051.97900390625</v>
      </c>
      <c r="AB187">
        <v>1950.03149414063</v>
      </c>
      <c r="AC187">
        <v>1828.15002441406</v>
      </c>
      <c r="AD187">
        <v>1746.18273925781</v>
      </c>
      <c r="AE187">
        <v>1684.63037109375</v>
      </c>
      <c r="AH187">
        <f t="shared" si="2"/>
        <v>0.41146354946308694</v>
      </c>
      <c r="AL187" s="2"/>
    </row>
    <row r="188" spans="1:38" x14ac:dyDescent="0.3">
      <c r="A188" t="s">
        <v>406</v>
      </c>
      <c r="B188" s="1" t="s">
        <v>407</v>
      </c>
      <c r="C188" t="s">
        <v>33</v>
      </c>
      <c r="D188">
        <v>6114.6441272418278</v>
      </c>
      <c r="E188">
        <v>6045.7722405243885</v>
      </c>
      <c r="F188">
        <v>6262.6403787314684</v>
      </c>
      <c r="G188">
        <v>6283.7226145255045</v>
      </c>
      <c r="H188">
        <v>6081.0562962608901</v>
      </c>
      <c r="I188">
        <v>6098.0631732711072</v>
      </c>
      <c r="J188">
        <v>6244.7227476036005</v>
      </c>
      <c r="K188">
        <v>6312.4409400056829</v>
      </c>
      <c r="L188">
        <v>6602.0498260027562</v>
      </c>
      <c r="M188">
        <v>7067.9336581404723</v>
      </c>
      <c r="N188">
        <v>7305.1800344434223</v>
      </c>
      <c r="O188">
        <v>7642.4969837677882</v>
      </c>
      <c r="P188">
        <v>7943.0188579931764</v>
      </c>
      <c r="Q188">
        <v>8179.2983053213911</v>
      </c>
      <c r="R188">
        <v>8331.4109249000176</v>
      </c>
      <c r="S188">
        <v>8664.2826455541999</v>
      </c>
      <c r="T188">
        <v>9070.3327561602528</v>
      </c>
      <c r="U188">
        <v>9214.8060971186842</v>
      </c>
      <c r="V188">
        <v>9386.9604164438078</v>
      </c>
      <c r="W188">
        <v>9316.204220993417</v>
      </c>
      <c r="X188">
        <v>8907.8372583009113</v>
      </c>
      <c r="Y188">
        <v>8382.8662843811762</v>
      </c>
      <c r="Z188">
        <v>8425.860678839681</v>
      </c>
      <c r="AA188">
        <v>8751.1076020461278</v>
      </c>
      <c r="AB188">
        <v>8756.1538122807087</v>
      </c>
      <c r="AC188">
        <v>7275.3649644272382</v>
      </c>
      <c r="AD188">
        <v>7029.6299388145444</v>
      </c>
      <c r="AE188">
        <v>7141.816495889635</v>
      </c>
      <c r="AH188">
        <f t="shared" si="2"/>
        <v>0.57677022698321423</v>
      </c>
      <c r="AL188" s="2"/>
    </row>
    <row r="189" spans="1:38" x14ac:dyDescent="0.3">
      <c r="A189" t="s">
        <v>408</v>
      </c>
      <c r="B189" s="1" t="s">
        <v>409</v>
      </c>
      <c r="C189" t="s">
        <v>33</v>
      </c>
      <c r="D189">
        <v>34648.118915457511</v>
      </c>
      <c r="E189">
        <v>35139.402991610761</v>
      </c>
      <c r="F189">
        <v>36197.63420648071</v>
      </c>
      <c r="G189">
        <v>37737.462275382473</v>
      </c>
      <c r="H189">
        <v>39309.597001651862</v>
      </c>
      <c r="I189">
        <v>41117.152430350419</v>
      </c>
      <c r="J189">
        <v>41601.30767828472</v>
      </c>
      <c r="K189">
        <v>42377.119637975018</v>
      </c>
      <c r="L189">
        <v>43194.926168404723</v>
      </c>
      <c r="M189">
        <v>44891.323206397021</v>
      </c>
      <c r="N189">
        <v>45990.374326398385</v>
      </c>
      <c r="O189">
        <v>47864.810864230887</v>
      </c>
      <c r="P189">
        <v>49145.195833241189</v>
      </c>
      <c r="Q189">
        <v>48544.115894103597</v>
      </c>
      <c r="R189">
        <v>46043.480944999355</v>
      </c>
      <c r="S189">
        <v>48369.91004078761</v>
      </c>
      <c r="T189">
        <v>49539.97260764923</v>
      </c>
      <c r="U189">
        <v>48885.548417972488</v>
      </c>
      <c r="V189">
        <v>49048.818750023791</v>
      </c>
      <c r="W189">
        <v>49855.301012312979</v>
      </c>
      <c r="X189">
        <v>51545.483609532152</v>
      </c>
      <c r="Y189">
        <v>51955.861070363433</v>
      </c>
      <c r="Z189">
        <v>52576.810282105143</v>
      </c>
      <c r="AA189">
        <v>52983.006861748217</v>
      </c>
      <c r="AB189">
        <v>53490.351819874588</v>
      </c>
      <c r="AC189">
        <v>51952.673132834207</v>
      </c>
      <c r="AD189">
        <v>54816.005848572975</v>
      </c>
      <c r="AE189">
        <v>55985.970633146644</v>
      </c>
      <c r="AH189">
        <f t="shared" si="2"/>
        <v>1.7931378158802191</v>
      </c>
      <c r="AL189" s="2"/>
    </row>
    <row r="190" spans="1:38" x14ac:dyDescent="0.3">
      <c r="A190" t="s">
        <v>410</v>
      </c>
      <c r="B190" s="1" t="s">
        <v>411</v>
      </c>
      <c r="C190" t="s">
        <v>33</v>
      </c>
      <c r="D190">
        <v>67264.911294191392</v>
      </c>
      <c r="E190">
        <v>67284.109129595206</v>
      </c>
      <c r="F190">
        <v>68640.074450904518</v>
      </c>
      <c r="G190">
        <v>70510.025467362619</v>
      </c>
      <c r="H190">
        <v>71341.342852852249</v>
      </c>
      <c r="I190">
        <v>73749.938803914803</v>
      </c>
      <c r="J190">
        <v>74439.463600956966</v>
      </c>
      <c r="K190">
        <v>73824.384882389437</v>
      </c>
      <c r="L190">
        <v>73254.952914928042</v>
      </c>
      <c r="M190">
        <v>74718.683611447428</v>
      </c>
      <c r="N190">
        <v>76282.983964784886</v>
      </c>
      <c r="O190">
        <v>78893.807735776179</v>
      </c>
      <c r="P190">
        <v>81254.170050463727</v>
      </c>
      <c r="Q190">
        <v>82481.06803613402</v>
      </c>
      <c r="R190">
        <v>79585.521594202277</v>
      </c>
      <c r="S190">
        <v>81315.422864566746</v>
      </c>
      <c r="T190">
        <v>81874.336186079614</v>
      </c>
      <c r="U190">
        <v>81964.886421699601</v>
      </c>
      <c r="V190">
        <v>82479.921535640184</v>
      </c>
      <c r="W190">
        <v>83394.371142372387</v>
      </c>
      <c r="X190">
        <v>83806.447600383734</v>
      </c>
      <c r="Y190">
        <v>84611.099847960562</v>
      </c>
      <c r="Z190">
        <v>84967.588548469852</v>
      </c>
      <c r="AA190">
        <v>86756.602129451261</v>
      </c>
      <c r="AB190">
        <v>87123.660436322636</v>
      </c>
      <c r="AC190">
        <v>84637.013231317935</v>
      </c>
      <c r="AD190">
        <v>88520.322001217937</v>
      </c>
      <c r="AE190">
        <v>90057.03594222333</v>
      </c>
      <c r="AH190">
        <f t="shared" si="2"/>
        <v>1.0866186084465879</v>
      </c>
      <c r="AL190" s="2"/>
    </row>
    <row r="191" spans="1:38" x14ac:dyDescent="0.3">
      <c r="A191" t="s">
        <v>412</v>
      </c>
      <c r="B191" s="1" t="s">
        <v>413</v>
      </c>
      <c r="C191" t="s">
        <v>33</v>
      </c>
      <c r="D191">
        <v>1213.470082592439</v>
      </c>
      <c r="E191">
        <v>1296.872517461293</v>
      </c>
      <c r="F191">
        <v>1326.3946059930997</v>
      </c>
      <c r="G191">
        <v>1380.1592971704576</v>
      </c>
      <c r="H191">
        <v>1297.5761959838321</v>
      </c>
      <c r="I191">
        <v>1273.7837934944585</v>
      </c>
      <c r="J191">
        <v>1254.7846458408753</v>
      </c>
      <c r="K191">
        <v>1271.2691526705248</v>
      </c>
      <c r="L191">
        <v>1328.2398400663203</v>
      </c>
      <c r="M191">
        <v>1382.8158866338306</v>
      </c>
      <c r="N191">
        <v>1429.2768332977425</v>
      </c>
      <c r="O191">
        <v>1435.8458715679001</v>
      </c>
      <c r="P191">
        <v>1424.1729034425271</v>
      </c>
      <c r="Q191">
        <v>1434.5024580593918</v>
      </c>
      <c r="R191">
        <v>1494.7286456070938</v>
      </c>
      <c r="S191">
        <v>1536.4106772741136</v>
      </c>
      <c r="T191">
        <v>1552.8659756316979</v>
      </c>
      <c r="U191">
        <v>1150.1893130367164</v>
      </c>
      <c r="V191">
        <v>891.45178530172723</v>
      </c>
      <c r="W191">
        <v>856.24609957141524</v>
      </c>
      <c r="X191">
        <v>857.49786713773551</v>
      </c>
      <c r="Y191">
        <v>812.76608856777921</v>
      </c>
      <c r="Z191">
        <v>806.07476222609864</v>
      </c>
      <c r="AA191">
        <v>802.50506232578721</v>
      </c>
      <c r="AB191">
        <v>781.39121706402148</v>
      </c>
      <c r="AC191">
        <v>754.64632825318074</v>
      </c>
      <c r="AD191">
        <v>744.6743437278534</v>
      </c>
      <c r="AE191" t="s">
        <v>34</v>
      </c>
      <c r="AH191" t="str">
        <f t="shared" si="2"/>
        <v>NA</v>
      </c>
      <c r="AL191" s="2"/>
    </row>
    <row r="192" spans="1:38" x14ac:dyDescent="0.3">
      <c r="A192" t="s">
        <v>414</v>
      </c>
      <c r="B192" s="1" t="s">
        <v>415</v>
      </c>
      <c r="C192" t="s">
        <v>33</v>
      </c>
      <c r="D192">
        <v>455.38558899238404</v>
      </c>
      <c r="E192">
        <v>371.83024068310766</v>
      </c>
      <c r="F192">
        <v>373.04411675607997</v>
      </c>
      <c r="G192">
        <v>390.32791748146644</v>
      </c>
      <c r="H192">
        <v>402.62594758625215</v>
      </c>
      <c r="I192">
        <v>430.34100366262027</v>
      </c>
      <c r="J192">
        <v>461.57798952125376</v>
      </c>
      <c r="K192">
        <v>501.03491109169323</v>
      </c>
      <c r="L192">
        <v>545.25188556532601</v>
      </c>
      <c r="M192">
        <v>590.03115578752988</v>
      </c>
      <c r="N192">
        <v>617.93886382047344</v>
      </c>
      <c r="O192">
        <v>649.1770693495497</v>
      </c>
      <c r="P192">
        <v>687.06214324255291</v>
      </c>
      <c r="Q192">
        <v>727.5513246458338</v>
      </c>
      <c r="R192">
        <v>741.35416864926708</v>
      </c>
      <c r="S192">
        <v>773.67391373434612</v>
      </c>
      <c r="T192">
        <v>813.52343856111804</v>
      </c>
      <c r="U192">
        <v>855.68008695030312</v>
      </c>
      <c r="V192">
        <v>898.6443162228145</v>
      </c>
      <c r="W192">
        <v>937.00346278871473</v>
      </c>
      <c r="X192">
        <v>970.36259966544651</v>
      </c>
      <c r="Y192">
        <v>1013.3912294918186</v>
      </c>
      <c r="Z192">
        <v>1060.9968767062689</v>
      </c>
      <c r="AA192">
        <v>1116.2930885696601</v>
      </c>
      <c r="AB192">
        <v>1172.0791234863691</v>
      </c>
      <c r="AC192">
        <v>1197.2106828607787</v>
      </c>
      <c r="AD192">
        <v>1281.960911218431</v>
      </c>
      <c r="AE192">
        <v>1356.3172812084083</v>
      </c>
      <c r="AH192">
        <f t="shared" si="2"/>
        <v>4.1249700137305112</v>
      </c>
      <c r="AL192" s="2"/>
    </row>
    <row r="193" spans="1:38" x14ac:dyDescent="0.3">
      <c r="A193" t="s">
        <v>416</v>
      </c>
      <c r="B193" s="1" t="s">
        <v>417</v>
      </c>
      <c r="C193" t="s">
        <v>33</v>
      </c>
      <c r="D193">
        <v>505.900390625</v>
      </c>
      <c r="E193">
        <v>519.06298828125</v>
      </c>
      <c r="F193">
        <v>526.49041748046898</v>
      </c>
      <c r="G193">
        <v>531.98229980468795</v>
      </c>
      <c r="H193">
        <v>543.351318359375</v>
      </c>
      <c r="I193">
        <v>552.06781005859398</v>
      </c>
      <c r="J193">
        <v>569.900146484375</v>
      </c>
      <c r="K193">
        <v>594.59881591796898</v>
      </c>
      <c r="L193">
        <v>617.65130615234398</v>
      </c>
      <c r="M193">
        <v>646.256591796875</v>
      </c>
      <c r="N193">
        <v>675.61236572265602</v>
      </c>
      <c r="O193">
        <v>699.86273193359398</v>
      </c>
      <c r="P193">
        <v>726.5927734375</v>
      </c>
      <c r="Q193">
        <v>747.27166748046898</v>
      </c>
      <c r="R193">
        <v>767.23345947265602</v>
      </c>
      <c r="S193">
        <v>795.04602050781295</v>
      </c>
      <c r="T193">
        <v>832.01007080078102</v>
      </c>
      <c r="U193">
        <v>844.56799316406295</v>
      </c>
      <c r="V193">
        <v>875.11297607421898</v>
      </c>
      <c r="W193">
        <v>905.48425292968795</v>
      </c>
      <c r="X193">
        <v>929.7998046875</v>
      </c>
      <c r="Y193">
        <v>959.852294921875</v>
      </c>
      <c r="Z193">
        <v>990.627197265625</v>
      </c>
      <c r="AA193">
        <v>1012.49896240234</v>
      </c>
      <c r="AB193">
        <v>1039.51049804688</v>
      </c>
      <c r="AC193">
        <v>1028.91186523438</v>
      </c>
      <c r="AD193">
        <v>1041.75061035156</v>
      </c>
      <c r="AE193">
        <v>1057.65832519531</v>
      </c>
      <c r="AH193">
        <f t="shared" si="2"/>
        <v>2.7690249847342141</v>
      </c>
      <c r="AL193" s="2"/>
    </row>
    <row r="194" spans="1:38" x14ac:dyDescent="0.3">
      <c r="A194" t="s">
        <v>418</v>
      </c>
      <c r="B194" s="1" t="s">
        <v>419</v>
      </c>
      <c r="C194" t="s">
        <v>33</v>
      </c>
      <c r="D194">
        <v>3595.0645821464886</v>
      </c>
      <c r="E194">
        <v>3748.6564045866194</v>
      </c>
      <c r="F194">
        <v>3598.9310845669434</v>
      </c>
      <c r="G194">
        <v>3283.4806509054069</v>
      </c>
      <c r="H194">
        <v>3395.2608229065963</v>
      </c>
      <c r="I194">
        <v>3511.440360628651</v>
      </c>
      <c r="J194">
        <v>3599.0958723425169</v>
      </c>
      <c r="K194">
        <v>3786.338111147199</v>
      </c>
      <c r="L194">
        <v>4023.8131956213065</v>
      </c>
      <c r="M194">
        <v>4241.9019729542888</v>
      </c>
      <c r="N194">
        <v>4385.280806387681</v>
      </c>
      <c r="O194">
        <v>4568.556419766076</v>
      </c>
      <c r="P194">
        <v>4780.3033859298703</v>
      </c>
      <c r="Q194">
        <v>4826.5771608363793</v>
      </c>
      <c r="R194">
        <v>4758.9335550051792</v>
      </c>
      <c r="S194">
        <v>5082.2535933244162</v>
      </c>
      <c r="T194">
        <v>5091.958016171141</v>
      </c>
      <c r="U194">
        <v>5425.6851737796114</v>
      </c>
      <c r="V194">
        <v>5537.7423220456039</v>
      </c>
      <c r="W194">
        <v>5561.6976164248217</v>
      </c>
      <c r="X194">
        <v>5708.7940910579819</v>
      </c>
      <c r="Y194">
        <v>5878.7539395441972</v>
      </c>
      <c r="Z194">
        <v>6099.1980263523956</v>
      </c>
      <c r="AA194">
        <v>6336.2396774237286</v>
      </c>
      <c r="AB194">
        <v>6453.8940803629785</v>
      </c>
      <c r="AC194">
        <v>6048.1002694713115</v>
      </c>
      <c r="AD194">
        <v>6127.5898330247946</v>
      </c>
      <c r="AE194">
        <v>6278.351439697838</v>
      </c>
      <c r="AH194">
        <f t="shared" si="2"/>
        <v>2.0864515598342681</v>
      </c>
      <c r="AL194" s="2"/>
    </row>
    <row r="195" spans="1:38" x14ac:dyDescent="0.3">
      <c r="A195" t="s">
        <v>420</v>
      </c>
      <c r="B195" s="1" t="s">
        <v>421</v>
      </c>
      <c r="C195" t="s">
        <v>33</v>
      </c>
      <c r="D195" t="s">
        <v>34</v>
      </c>
      <c r="E195" t="s">
        <v>34</v>
      </c>
      <c r="F195" t="s">
        <v>34</v>
      </c>
      <c r="G195" t="s">
        <v>34</v>
      </c>
      <c r="H195" t="s">
        <v>34</v>
      </c>
      <c r="I195">
        <v>947.99825561368277</v>
      </c>
      <c r="J195">
        <v>1084.9249208741649</v>
      </c>
      <c r="K195">
        <v>993.68149709607439</v>
      </c>
      <c r="L195">
        <v>954.08018656479453</v>
      </c>
      <c r="M195">
        <v>938.38601120288376</v>
      </c>
      <c r="N195">
        <v>943.13915390688055</v>
      </c>
      <c r="O195">
        <v>881.35891209598788</v>
      </c>
      <c r="P195">
        <v>948.19204503305605</v>
      </c>
      <c r="Q195">
        <v>1032.2234741330051</v>
      </c>
      <c r="R195">
        <v>1112.9929666235403</v>
      </c>
      <c r="S195">
        <v>1191.1999958829351</v>
      </c>
      <c r="T195">
        <v>1234.4050670234128</v>
      </c>
      <c r="U195">
        <v>1266.3021015555055</v>
      </c>
      <c r="V195">
        <v>1278.7722551972868</v>
      </c>
      <c r="W195">
        <v>1309.7213969271104</v>
      </c>
      <c r="X195">
        <v>1322.9290943123021</v>
      </c>
      <c r="Y195">
        <v>1346.5503556633516</v>
      </c>
      <c r="Z195">
        <v>1284.6183544400776</v>
      </c>
      <c r="AA195">
        <v>1256.9038991127484</v>
      </c>
      <c r="AB195">
        <v>1528.6461955196153</v>
      </c>
      <c r="AC195">
        <v>1986.8838250001495</v>
      </c>
      <c r="AD195">
        <v>2059.3153442575135</v>
      </c>
      <c r="AE195">
        <v>1611.4686575542698</v>
      </c>
      <c r="AH195" t="str">
        <f t="shared" ref="AH195:AH218" si="3">IFERROR(((AE195/D195)^(1/27)-1)*100,"NA")</f>
        <v>NA</v>
      </c>
      <c r="AL195" s="2"/>
    </row>
    <row r="196" spans="1:38" x14ac:dyDescent="0.3">
      <c r="A196" t="s">
        <v>422</v>
      </c>
      <c r="B196" s="1" t="s">
        <v>423</v>
      </c>
      <c r="C196" t="s">
        <v>33</v>
      </c>
      <c r="D196">
        <v>659.99077889832131</v>
      </c>
      <c r="E196">
        <v>691.43758538757288</v>
      </c>
      <c r="F196">
        <v>765.59176684711929</v>
      </c>
      <c r="G196">
        <v>726.50985840100293</v>
      </c>
      <c r="H196">
        <v>723.18180873497795</v>
      </c>
      <c r="I196">
        <v>697.44414948533358</v>
      </c>
      <c r="J196">
        <v>684.41096680168641</v>
      </c>
      <c r="K196">
        <v>692.28769870879262</v>
      </c>
      <c r="L196">
        <v>719.80365951023498</v>
      </c>
      <c r="M196">
        <v>694.28875653484465</v>
      </c>
      <c r="N196">
        <v>644.9279637799799</v>
      </c>
      <c r="O196">
        <v>643.68974669608122</v>
      </c>
      <c r="P196">
        <v>617.89692989831883</v>
      </c>
      <c r="Q196">
        <v>624.75981512314013</v>
      </c>
      <c r="R196">
        <v>640.69668795019345</v>
      </c>
      <c r="S196">
        <v>660.32815889733763</v>
      </c>
      <c r="T196">
        <v>680.47249226946258</v>
      </c>
      <c r="U196">
        <v>704.77561370223464</v>
      </c>
      <c r="V196">
        <v>726.97459975405741</v>
      </c>
      <c r="W196">
        <v>748.73451019525373</v>
      </c>
      <c r="X196">
        <v>770.14337925663244</v>
      </c>
      <c r="Y196">
        <v>782.89612719076945</v>
      </c>
      <c r="Z196">
        <v>794.4229731786611</v>
      </c>
      <c r="AA196">
        <v>812.45758935977312</v>
      </c>
      <c r="AB196">
        <v>832.14140821979129</v>
      </c>
      <c r="AC196">
        <v>830.04723244783088</v>
      </c>
      <c r="AD196">
        <v>859.19730294300007</v>
      </c>
      <c r="AE196">
        <v>888.17561967668883</v>
      </c>
      <c r="AH196">
        <f t="shared" si="3"/>
        <v>1.105861156886756</v>
      </c>
      <c r="AL196" s="2"/>
    </row>
    <row r="197" spans="1:38" x14ac:dyDescent="0.3">
      <c r="A197" t="s">
        <v>424</v>
      </c>
      <c r="B197" s="1" t="s">
        <v>425</v>
      </c>
      <c r="C197" t="s">
        <v>33</v>
      </c>
      <c r="D197">
        <v>3257.5500999006044</v>
      </c>
      <c r="E197">
        <v>3309.1505760167988</v>
      </c>
      <c r="F197">
        <v>3334.2289306278535</v>
      </c>
      <c r="G197">
        <v>3393.1186634139522</v>
      </c>
      <c r="H197">
        <v>3496.9836586274741</v>
      </c>
      <c r="I197">
        <v>3506.2661468981269</v>
      </c>
      <c r="J197">
        <v>3616.3192914351434</v>
      </c>
      <c r="K197">
        <v>3769.9419321370642</v>
      </c>
      <c r="L197">
        <v>3834.5679854802706</v>
      </c>
      <c r="M197">
        <v>3719.825467355774</v>
      </c>
      <c r="N197">
        <v>3701.7996255278999</v>
      </c>
      <c r="O197">
        <v>3676.9091992703779</v>
      </c>
      <c r="P197">
        <v>3671.3880803529651</v>
      </c>
      <c r="Q197">
        <v>3835.2115992560184</v>
      </c>
      <c r="R197">
        <v>3628.6207776581523</v>
      </c>
      <c r="S197">
        <v>3649.6353562706213</v>
      </c>
      <c r="T197">
        <v>3890.21770297783</v>
      </c>
      <c r="U197">
        <v>3926.2150837326913</v>
      </c>
      <c r="V197">
        <v>3953.6661149254569</v>
      </c>
      <c r="W197">
        <v>4050.9932872686682</v>
      </c>
      <c r="X197">
        <v>4117.9310469420479</v>
      </c>
      <c r="Y197">
        <v>4405.7494115404661</v>
      </c>
      <c r="Z197">
        <v>4564.7368763207605</v>
      </c>
      <c r="AA197">
        <v>4587.2801410508973</v>
      </c>
      <c r="AB197">
        <v>4628.4480127400111</v>
      </c>
      <c r="AC197">
        <v>4637.675452870596</v>
      </c>
      <c r="AD197">
        <v>4481.4783515930367</v>
      </c>
      <c r="AE197" t="s">
        <v>34</v>
      </c>
      <c r="AH197" t="str">
        <f t="shared" si="3"/>
        <v>NA</v>
      </c>
      <c r="AL197" s="2"/>
    </row>
    <row r="198" spans="1:38" x14ac:dyDescent="0.3">
      <c r="A198" t="s">
        <v>426</v>
      </c>
      <c r="B198" s="1" t="s">
        <v>427</v>
      </c>
      <c r="C198" t="s">
        <v>33</v>
      </c>
      <c r="D198">
        <v>7034.8525609560475</v>
      </c>
      <c r="E198">
        <v>7504.5497294741426</v>
      </c>
      <c r="F198">
        <v>8040.108829632949</v>
      </c>
      <c r="G198">
        <v>8664.4046214016398</v>
      </c>
      <c r="H198">
        <v>9328.0324994458733</v>
      </c>
      <c r="I198">
        <v>9933.3196845475104</v>
      </c>
      <c r="J198">
        <v>10298.197496080627</v>
      </c>
      <c r="K198">
        <v>11054.448004266051</v>
      </c>
      <c r="L198">
        <v>12579.936482017487</v>
      </c>
      <c r="M198">
        <v>13503.985309473834</v>
      </c>
      <c r="N198">
        <v>14259.647484789404</v>
      </c>
      <c r="O198">
        <v>16051.106616867544</v>
      </c>
      <c r="P198">
        <v>16717.78255023716</v>
      </c>
      <c r="Q198">
        <v>17186.244872230815</v>
      </c>
      <c r="R198">
        <v>16333.10722156552</v>
      </c>
      <c r="S198">
        <v>16766.940767077038</v>
      </c>
      <c r="T198">
        <v>16603.108001102923</v>
      </c>
      <c r="U198">
        <v>17710.314738241195</v>
      </c>
      <c r="V198">
        <v>18204.082341277532</v>
      </c>
      <c r="W198">
        <v>18776.164433023816</v>
      </c>
      <c r="X198">
        <v>18508.770502876036</v>
      </c>
      <c r="Y198">
        <v>17008.973302241269</v>
      </c>
      <c r="Z198">
        <v>16090.81028621449</v>
      </c>
      <c r="AA198">
        <v>15716.429730855916</v>
      </c>
      <c r="AB198">
        <v>15614.991387405995</v>
      </c>
      <c r="AC198">
        <v>14214.38682212116</v>
      </c>
      <c r="AD198">
        <v>13997.621086248086</v>
      </c>
      <c r="AE198">
        <v>14155.174796280196</v>
      </c>
      <c r="AH198">
        <f t="shared" si="3"/>
        <v>2.6234652987701113</v>
      </c>
      <c r="AL198" s="2"/>
    </row>
    <row r="199" spans="1:38" x14ac:dyDescent="0.3">
      <c r="A199" t="s">
        <v>428</v>
      </c>
      <c r="B199" s="1" t="s">
        <v>429</v>
      </c>
      <c r="C199" t="s">
        <v>33</v>
      </c>
      <c r="D199">
        <v>2289.3973852334407</v>
      </c>
      <c r="E199">
        <v>2417.5078087528454</v>
      </c>
      <c r="F199">
        <v>2515.0668184124056</v>
      </c>
      <c r="G199">
        <v>2602.919856811372</v>
      </c>
      <c r="H199">
        <v>2729.2347834933266</v>
      </c>
      <c r="I199">
        <v>2827.3788004230951</v>
      </c>
      <c r="J199">
        <v>2904.8217616778625</v>
      </c>
      <c r="K199">
        <v>2914.2468617856844</v>
      </c>
      <c r="L199">
        <v>3021.5820068805851</v>
      </c>
      <c r="M199">
        <v>3179.3035277826311</v>
      </c>
      <c r="N199">
        <v>3259.7089991619923</v>
      </c>
      <c r="O199">
        <v>3399.4934561291202</v>
      </c>
      <c r="P199">
        <v>3594.3817498846174</v>
      </c>
      <c r="Q199">
        <v>3711.6288078369989</v>
      </c>
      <c r="R199">
        <v>3787.6640962007127</v>
      </c>
      <c r="S199">
        <v>3860.6228561799144</v>
      </c>
      <c r="T199">
        <v>3734.4912815789871</v>
      </c>
      <c r="U199">
        <v>3842.5555748760653</v>
      </c>
      <c r="V199">
        <v>3892.0752797689843</v>
      </c>
      <c r="W199">
        <v>3967.1831882086781</v>
      </c>
      <c r="X199">
        <v>3960.9248491366316</v>
      </c>
      <c r="Y199">
        <v>3961.352479633701</v>
      </c>
      <c r="Z199">
        <v>4006.8740867301572</v>
      </c>
      <c r="AA199">
        <v>4070.1498157184014</v>
      </c>
      <c r="AB199">
        <v>4094.8779414550422</v>
      </c>
      <c r="AC199">
        <v>3699.2837405139226</v>
      </c>
      <c r="AD199">
        <v>3830.3742617112412</v>
      </c>
      <c r="AE199">
        <v>3894.1666868897801</v>
      </c>
      <c r="AH199">
        <f t="shared" si="3"/>
        <v>1.986854719688691</v>
      </c>
      <c r="AL199" s="2"/>
    </row>
    <row r="200" spans="1:38" x14ac:dyDescent="0.3">
      <c r="A200" t="s">
        <v>430</v>
      </c>
      <c r="B200" s="1" t="s">
        <v>431</v>
      </c>
      <c r="C200" t="s">
        <v>33</v>
      </c>
      <c r="D200">
        <v>5702.3785843833066</v>
      </c>
      <c r="E200">
        <v>6022.8276144890951</v>
      </c>
      <c r="F200">
        <v>6375.2112775210917</v>
      </c>
      <c r="G200">
        <v>6427.286980992234</v>
      </c>
      <c r="H200">
        <v>6124.7208076427642</v>
      </c>
      <c r="I200">
        <v>6454.5717614771165</v>
      </c>
      <c r="J200">
        <v>5993.8282103819156</v>
      </c>
      <c r="K200">
        <v>6291.665275167341</v>
      </c>
      <c r="L200">
        <v>6566.827123739441</v>
      </c>
      <c r="M200">
        <v>7112.4910369994304</v>
      </c>
      <c r="N200">
        <v>7648.3034000784683</v>
      </c>
      <c r="O200">
        <v>8074.3340269094806</v>
      </c>
      <c r="P200">
        <v>8414.2535038756487</v>
      </c>
      <c r="Q200">
        <v>8376.1492462065162</v>
      </c>
      <c r="R200">
        <v>7862.8707647447673</v>
      </c>
      <c r="S200">
        <v>8396.9234202627831</v>
      </c>
      <c r="T200">
        <v>9201.337260598295</v>
      </c>
      <c r="U200">
        <v>9519.8150891091373</v>
      </c>
      <c r="V200">
        <v>10195.847578515262</v>
      </c>
      <c r="W200">
        <v>10556.117041150386</v>
      </c>
      <c r="X200">
        <v>11049.995110094245</v>
      </c>
      <c r="Y200">
        <v>11264.614574933474</v>
      </c>
      <c r="Z200">
        <v>11953.666417402625</v>
      </c>
      <c r="AA200">
        <v>12148.294249687428</v>
      </c>
      <c r="AB200">
        <v>12073.871552461795</v>
      </c>
      <c r="AC200">
        <v>12179.661169347984</v>
      </c>
      <c r="AD200">
        <v>13449.926169451206</v>
      </c>
      <c r="AE200">
        <v>14055.105564877724</v>
      </c>
      <c r="AH200">
        <f t="shared" si="3"/>
        <v>3.3975620005090912</v>
      </c>
      <c r="AL200" s="2"/>
    </row>
    <row r="201" spans="1:38" x14ac:dyDescent="0.3">
      <c r="A201" t="s">
        <v>432</v>
      </c>
      <c r="B201" s="1" t="s">
        <v>433</v>
      </c>
      <c r="C201" t="s">
        <v>33</v>
      </c>
      <c r="D201">
        <v>1965.3349100328198</v>
      </c>
      <c r="E201">
        <v>2060.7040987941477</v>
      </c>
      <c r="F201">
        <v>1799.6004367733306</v>
      </c>
      <c r="G201">
        <v>1897.8646708960903</v>
      </c>
      <c r="H201">
        <v>2176.8422053241152</v>
      </c>
      <c r="I201">
        <v>2261.6998650952091</v>
      </c>
      <c r="J201">
        <v>2326.3602574655729</v>
      </c>
      <c r="K201">
        <v>2300.6391874596534</v>
      </c>
      <c r="L201">
        <v>2345.8791826661218</v>
      </c>
      <c r="M201">
        <v>2432.1084623841234</v>
      </c>
      <c r="N201">
        <v>2711.9832500169114</v>
      </c>
      <c r="O201">
        <v>2968.1131610406783</v>
      </c>
      <c r="P201">
        <v>3249.8777474399149</v>
      </c>
      <c r="Q201">
        <v>3672.654739018848</v>
      </c>
      <c r="R201">
        <v>3835.8599588479015</v>
      </c>
      <c r="S201">
        <v>4119.5717987918706</v>
      </c>
      <c r="T201">
        <v>4643.316540839478</v>
      </c>
      <c r="U201">
        <v>5066.2317358257123</v>
      </c>
      <c r="V201">
        <v>5481.1568339405758</v>
      </c>
      <c r="W201">
        <v>5935.6971570625656</v>
      </c>
      <c r="X201">
        <v>6208.2966545015952</v>
      </c>
      <c r="Y201">
        <v>6478.4700302869196</v>
      </c>
      <c r="Z201">
        <v>6784.1743489948076</v>
      </c>
      <c r="AA201">
        <v>7089.941804880491</v>
      </c>
      <c r="AB201">
        <v>7422.3625207193409</v>
      </c>
      <c r="AC201">
        <v>7064.4465071882851</v>
      </c>
      <c r="AD201">
        <v>7275.9310531986202</v>
      </c>
      <c r="AE201">
        <v>7297.3110544305555</v>
      </c>
      <c r="AH201">
        <f t="shared" si="3"/>
        <v>4.978647623462451</v>
      </c>
      <c r="AL201" s="2"/>
    </row>
    <row r="202" spans="1:38" x14ac:dyDescent="0.3">
      <c r="A202" t="s">
        <v>434</v>
      </c>
      <c r="B202" s="1" t="s">
        <v>435</v>
      </c>
      <c r="C202" t="s">
        <v>33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>
        <v>25240.413194459503</v>
      </c>
      <c r="U202">
        <v>24009.411965320982</v>
      </c>
      <c r="V202">
        <v>23173.612312749803</v>
      </c>
      <c r="W202">
        <v>24190.689786148923</v>
      </c>
      <c r="X202">
        <v>25783.29410476764</v>
      </c>
      <c r="Y202">
        <v>26417.957344685645</v>
      </c>
      <c r="Z202">
        <v>24726.94739862387</v>
      </c>
      <c r="AA202">
        <v>25080.164489053139</v>
      </c>
      <c r="AB202">
        <v>25438.78328905717</v>
      </c>
      <c r="AC202">
        <v>18122.425019985814</v>
      </c>
      <c r="AD202">
        <v>19386.519800982671</v>
      </c>
      <c r="AE202">
        <v>20323.148775096324</v>
      </c>
      <c r="AH202" t="str">
        <f t="shared" si="3"/>
        <v>NA</v>
      </c>
      <c r="AL202" s="2"/>
    </row>
    <row r="203" spans="1:38" x14ac:dyDescent="0.3">
      <c r="A203" t="s">
        <v>436</v>
      </c>
      <c r="B203" s="1" t="s">
        <v>437</v>
      </c>
      <c r="C203" t="s">
        <v>33</v>
      </c>
      <c r="D203">
        <v>2613.0782592720598</v>
      </c>
      <c r="E203">
        <v>2450.6554048820658</v>
      </c>
      <c r="F203">
        <v>2690.4830652715727</v>
      </c>
      <c r="G203">
        <v>3106.2490763592136</v>
      </c>
      <c r="H203">
        <v>3055.7682383833212</v>
      </c>
      <c r="I203">
        <v>3026.7402918934613</v>
      </c>
      <c r="J203">
        <v>3032.0884454078764</v>
      </c>
      <c r="K203">
        <v>3325.0059590224996</v>
      </c>
      <c r="L203">
        <v>3161.0315056638597</v>
      </c>
      <c r="M203">
        <v>3050.3817551847301</v>
      </c>
      <c r="N203">
        <v>2872.9981942619738</v>
      </c>
      <c r="O203">
        <v>2908.4469524695105</v>
      </c>
      <c r="P203">
        <v>3079.6548850628342</v>
      </c>
      <c r="Q203">
        <v>3245.6300548808622</v>
      </c>
      <c r="R203">
        <v>3003.0185845986457</v>
      </c>
      <c r="S203">
        <v>2896.7632793135731</v>
      </c>
      <c r="T203">
        <v>3050.8922515880104</v>
      </c>
      <c r="U203">
        <v>2943.6136226503781</v>
      </c>
      <c r="V203">
        <v>3053.5914932896326</v>
      </c>
      <c r="W203">
        <v>3058.9147558249574</v>
      </c>
      <c r="X203">
        <v>3384.3832014763939</v>
      </c>
      <c r="Y203">
        <v>3584.1900642915821</v>
      </c>
      <c r="Z203">
        <v>3680.0838953174311</v>
      </c>
      <c r="AA203">
        <v>3718.4309772740544</v>
      </c>
      <c r="AB203">
        <v>4197.2420918971566</v>
      </c>
      <c r="AC203">
        <v>3976.7962341258258</v>
      </c>
      <c r="AD203">
        <v>3999.7610624915587</v>
      </c>
      <c r="AE203">
        <v>3988.4062410194811</v>
      </c>
      <c r="AH203">
        <f t="shared" si="3"/>
        <v>1.5784869708052485</v>
      </c>
      <c r="AL203" s="2"/>
    </row>
    <row r="204" spans="1:38" x14ac:dyDescent="0.3">
      <c r="A204" t="s">
        <v>438</v>
      </c>
      <c r="B204" s="1" t="s">
        <v>439</v>
      </c>
      <c r="C204" t="s">
        <v>33</v>
      </c>
      <c r="D204">
        <v>440.90267673568485</v>
      </c>
      <c r="E204">
        <v>468.03062000288566</v>
      </c>
      <c r="F204">
        <v>477.79401052618999</v>
      </c>
      <c r="G204">
        <v>486.53678445136563</v>
      </c>
      <c r="H204">
        <v>508.97467945358886</v>
      </c>
      <c r="I204">
        <v>508.76199205197139</v>
      </c>
      <c r="J204">
        <v>519.08632746960643</v>
      </c>
      <c r="K204">
        <v>547.14347672868303</v>
      </c>
      <c r="L204">
        <v>564.66457012716205</v>
      </c>
      <c r="M204">
        <v>585.52128315568177</v>
      </c>
      <c r="N204">
        <v>604.76600794777357</v>
      </c>
      <c r="O204">
        <v>650.74007529808216</v>
      </c>
      <c r="P204">
        <v>685.08807715640739</v>
      </c>
      <c r="Q204">
        <v>723.26833905888441</v>
      </c>
      <c r="R204">
        <v>750.26440459814398</v>
      </c>
      <c r="S204">
        <v>769.79037005670079</v>
      </c>
      <c r="T204">
        <v>817.95845040399627</v>
      </c>
      <c r="U204">
        <v>825.12181182941652</v>
      </c>
      <c r="V204">
        <v>830.48036928988586</v>
      </c>
      <c r="W204">
        <v>847.35228876840404</v>
      </c>
      <c r="X204">
        <v>864.18005928967216</v>
      </c>
      <c r="Y204">
        <v>875.7962531202536</v>
      </c>
      <c r="Z204">
        <v>872.18587649400672</v>
      </c>
      <c r="AA204">
        <v>896.16253191613737</v>
      </c>
      <c r="AB204">
        <v>922.02317405355348</v>
      </c>
      <c r="AC204">
        <v>918.12009785381463</v>
      </c>
      <c r="AD204">
        <v>920.54761447979558</v>
      </c>
      <c r="AE204">
        <v>934.34083896424386</v>
      </c>
      <c r="AH204">
        <f t="shared" si="3"/>
        <v>2.8205910831362146</v>
      </c>
      <c r="AL204" s="2"/>
    </row>
    <row r="205" spans="1:38" x14ac:dyDescent="0.3">
      <c r="A205" t="s">
        <v>440</v>
      </c>
      <c r="B205" s="1" t="s">
        <v>441</v>
      </c>
      <c r="C205" t="s">
        <v>33</v>
      </c>
      <c r="D205">
        <v>1497.81005859375</v>
      </c>
      <c r="E205">
        <v>1360.0419921875</v>
      </c>
      <c r="F205">
        <v>1331.31848144531</v>
      </c>
      <c r="G205">
        <v>1317.74645996094</v>
      </c>
      <c r="H205">
        <v>1327.5673828125</v>
      </c>
      <c r="I205">
        <v>1420.11669921875</v>
      </c>
      <c r="J205">
        <v>1561.41027832031</v>
      </c>
      <c r="K205">
        <v>1660.47790527344</v>
      </c>
      <c r="L205">
        <v>1833.31408691406</v>
      </c>
      <c r="M205">
        <v>2065.16650390625</v>
      </c>
      <c r="N205">
        <v>2144.248046875</v>
      </c>
      <c r="O205">
        <v>2322.24487304688</v>
      </c>
      <c r="P205">
        <v>2528.08129882813</v>
      </c>
      <c r="Q205">
        <v>2598.83325195313</v>
      </c>
      <c r="R205">
        <v>2215.27221679688</v>
      </c>
      <c r="S205">
        <v>2315.10009765625</v>
      </c>
      <c r="T205">
        <v>2449.9580078125</v>
      </c>
      <c r="U205">
        <v>2459.75708007813</v>
      </c>
      <c r="V205">
        <v>2466.484375</v>
      </c>
      <c r="W205">
        <v>2346.2373046875</v>
      </c>
      <c r="X205">
        <v>2124.66259765625</v>
      </c>
      <c r="Y205">
        <v>2185.3173828125</v>
      </c>
      <c r="Z205">
        <v>2246.73876953125</v>
      </c>
      <c r="AA205">
        <v>2336.9765625</v>
      </c>
      <c r="AB205">
        <v>2425.634765625</v>
      </c>
      <c r="AC205">
        <v>2350.40014648438</v>
      </c>
      <c r="AD205">
        <v>2452.98291015625</v>
      </c>
      <c r="AE205">
        <v>2032.85009765625</v>
      </c>
      <c r="AH205">
        <f t="shared" si="3"/>
        <v>1.1376624046611328</v>
      </c>
      <c r="AL205" s="2"/>
    </row>
    <row r="206" spans="1:38" x14ac:dyDescent="0.3">
      <c r="A206" t="s">
        <v>442</v>
      </c>
      <c r="B206" s="1" t="s">
        <v>443</v>
      </c>
      <c r="C206" t="s">
        <v>33</v>
      </c>
      <c r="D206">
        <v>62877.684079043262</v>
      </c>
      <c r="E206">
        <v>62935.984735798447</v>
      </c>
      <c r="F206">
        <v>63791.594054851659</v>
      </c>
      <c r="G206">
        <v>60144.814559819795</v>
      </c>
      <c r="H206">
        <v>58365.15517782954</v>
      </c>
      <c r="I206">
        <v>61187.769749795858</v>
      </c>
      <c r="J206">
        <v>58831.089666734399</v>
      </c>
      <c r="K206">
        <v>57286.496059566161</v>
      </c>
      <c r="L206">
        <v>59389.51035218282</v>
      </c>
      <c r="M206">
        <v>62139.586928017161</v>
      </c>
      <c r="N206">
        <v>60778.468607263218</v>
      </c>
      <c r="O206">
        <v>58336.562716470369</v>
      </c>
      <c r="P206">
        <v>50214.137092162717</v>
      </c>
      <c r="Q206">
        <v>43541.970000895031</v>
      </c>
      <c r="R206">
        <v>36076.527732264738</v>
      </c>
      <c r="S206">
        <v>34540.971505971022</v>
      </c>
      <c r="T206">
        <v>36288.333180433103</v>
      </c>
      <c r="U206">
        <v>36567.622290826381</v>
      </c>
      <c r="V206">
        <v>38034.96839687819</v>
      </c>
      <c r="W206">
        <v>39242.275310351957</v>
      </c>
      <c r="X206">
        <v>41525.138903128325</v>
      </c>
      <c r="Y206">
        <v>43457.513480278372</v>
      </c>
      <c r="Z206">
        <v>43419.563740704718</v>
      </c>
      <c r="AA206">
        <v>43644.147043818259</v>
      </c>
      <c r="AB206">
        <v>43785.417269443453</v>
      </c>
      <c r="AC206">
        <v>41276.055510238693</v>
      </c>
      <c r="AD206">
        <v>42715.440171311348</v>
      </c>
      <c r="AE206">
        <v>45698.010527517792</v>
      </c>
      <c r="AH206">
        <f t="shared" si="3"/>
        <v>-1.1750292055523914</v>
      </c>
      <c r="AL206" s="2"/>
    </row>
    <row r="207" spans="1:38" x14ac:dyDescent="0.3">
      <c r="A207" t="s">
        <v>444</v>
      </c>
      <c r="B207" s="1" t="s">
        <v>445</v>
      </c>
      <c r="C207" t="s">
        <v>33</v>
      </c>
      <c r="D207">
        <v>33009.30415097448</v>
      </c>
      <c r="E207">
        <v>33775.500900138228</v>
      </c>
      <c r="F207">
        <v>35347.763543374589</v>
      </c>
      <c r="G207">
        <v>36448.264219893455</v>
      </c>
      <c r="H207">
        <v>37440.794059223888</v>
      </c>
      <c r="I207">
        <v>38918.455057470754</v>
      </c>
      <c r="J207">
        <v>39768.666346397105</v>
      </c>
      <c r="K207">
        <v>40310.304939932823</v>
      </c>
      <c r="L207">
        <v>41385.540468491316</v>
      </c>
      <c r="M207">
        <v>42149.270335215318</v>
      </c>
      <c r="N207">
        <v>43007.362924589179</v>
      </c>
      <c r="O207">
        <v>43711.155017247103</v>
      </c>
      <c r="P207">
        <v>44508.605795291929</v>
      </c>
      <c r="Q207">
        <v>44060.003098060304</v>
      </c>
      <c r="R207">
        <v>41709.966167737541</v>
      </c>
      <c r="S207">
        <v>42310.749912752006</v>
      </c>
      <c r="T207">
        <v>42462.106734980713</v>
      </c>
      <c r="U207">
        <v>42805.842517266632</v>
      </c>
      <c r="V207">
        <v>43282.209751378752</v>
      </c>
      <c r="W207">
        <v>44337.678640273254</v>
      </c>
      <c r="X207">
        <v>44964.391143729204</v>
      </c>
      <c r="Y207">
        <v>45482.178288625437</v>
      </c>
      <c r="Z207">
        <v>46373.638531415476</v>
      </c>
      <c r="AA207">
        <v>46740.553592637742</v>
      </c>
      <c r="AB207">
        <v>47240.599622326998</v>
      </c>
      <c r="AC207">
        <v>42191.917366578477</v>
      </c>
      <c r="AD207">
        <v>45889.611022855352</v>
      </c>
      <c r="AE207">
        <v>47923.482238334778</v>
      </c>
      <c r="AH207">
        <f t="shared" si="3"/>
        <v>1.3903776478579877</v>
      </c>
      <c r="AL207" s="2"/>
    </row>
    <row r="208" spans="1:38" x14ac:dyDescent="0.3">
      <c r="A208" t="s">
        <v>446</v>
      </c>
      <c r="B208" s="1" t="s">
        <v>447</v>
      </c>
      <c r="C208" t="s">
        <v>33</v>
      </c>
      <c r="D208">
        <v>41820.680187623475</v>
      </c>
      <c r="E208">
        <v>42896.41648292094</v>
      </c>
      <c r="F208">
        <v>44267.905881748877</v>
      </c>
      <c r="G208">
        <v>45715.692645384894</v>
      </c>
      <c r="H208">
        <v>47360.536417717907</v>
      </c>
      <c r="I208">
        <v>48746.040960076723</v>
      </c>
      <c r="J208">
        <v>48726.581672729946</v>
      </c>
      <c r="K208">
        <v>49095.331798699575</v>
      </c>
      <c r="L208">
        <v>50036.234234932148</v>
      </c>
      <c r="M208">
        <v>51485.20741246971</v>
      </c>
      <c r="N208">
        <v>52789.731418775569</v>
      </c>
      <c r="O208">
        <v>53738.091725156082</v>
      </c>
      <c r="P208">
        <v>54299.6172405205</v>
      </c>
      <c r="Q208">
        <v>53854.160611657782</v>
      </c>
      <c r="R208">
        <v>51996.183495242156</v>
      </c>
      <c r="S208">
        <v>52963.464169712388</v>
      </c>
      <c r="T208">
        <v>53394.861838006102</v>
      </c>
      <c r="U208">
        <v>54213.459551638945</v>
      </c>
      <c r="V208">
        <v>54830.78406641636</v>
      </c>
      <c r="W208">
        <v>55675.38685368617</v>
      </c>
      <c r="X208">
        <v>56762.729451598891</v>
      </c>
      <c r="Y208">
        <v>57292.538782909076</v>
      </c>
      <c r="Z208">
        <v>58207.578310388024</v>
      </c>
      <c r="AA208">
        <v>59607.393660249611</v>
      </c>
      <c r="AB208">
        <v>60698.011299017853</v>
      </c>
      <c r="AC208">
        <v>58451.606715244328</v>
      </c>
      <c r="AD208">
        <v>61829.845626659931</v>
      </c>
      <c r="AE208">
        <v>62789.127921148269</v>
      </c>
      <c r="AH208">
        <f t="shared" si="3"/>
        <v>1.5165362245447289</v>
      </c>
      <c r="AL208" s="2"/>
    </row>
    <row r="209" spans="1:38" x14ac:dyDescent="0.3">
      <c r="A209" t="s">
        <v>448</v>
      </c>
      <c r="B209" s="1" t="s">
        <v>449</v>
      </c>
      <c r="C209" t="s">
        <v>33</v>
      </c>
      <c r="D209">
        <v>9765.152878838695</v>
      </c>
      <c r="E209">
        <v>10251.270748467372</v>
      </c>
      <c r="F209">
        <v>11064.298856242154</v>
      </c>
      <c r="G209">
        <v>11501.851144799546</v>
      </c>
      <c r="H209">
        <v>11270.676257243691</v>
      </c>
      <c r="I209">
        <v>11008.638157540796</v>
      </c>
      <c r="J209">
        <v>10557.504536381239</v>
      </c>
      <c r="K209">
        <v>9724.9879290813133</v>
      </c>
      <c r="L209">
        <v>9792.1633338697065</v>
      </c>
      <c r="M209">
        <v>10271.011784954491</v>
      </c>
      <c r="N209">
        <v>11024.388039362822</v>
      </c>
      <c r="O209">
        <v>11460.282507298672</v>
      </c>
      <c r="P209">
        <v>12186.595746246041</v>
      </c>
      <c r="Q209">
        <v>13031.858435521664</v>
      </c>
      <c r="R209">
        <v>13552.244563590526</v>
      </c>
      <c r="S209">
        <v>14572.763228318121</v>
      </c>
      <c r="T209">
        <v>15284.063280353548</v>
      </c>
      <c r="U209">
        <v>15780.264439593315</v>
      </c>
      <c r="V209">
        <v>16463.01551344138</v>
      </c>
      <c r="W209">
        <v>16943.691059897657</v>
      </c>
      <c r="X209">
        <v>16950.753169481555</v>
      </c>
      <c r="Y209">
        <v>17181.906762059469</v>
      </c>
      <c r="Z209">
        <v>17437.854920796864</v>
      </c>
      <c r="AA209">
        <v>17440.38193897875</v>
      </c>
      <c r="AB209">
        <v>17563.207938636227</v>
      </c>
      <c r="AC209">
        <v>16459.977982986096</v>
      </c>
      <c r="AD209">
        <v>17342.791061272983</v>
      </c>
      <c r="AE209">
        <v>18214.807540504153</v>
      </c>
      <c r="AH209">
        <f t="shared" si="3"/>
        <v>2.3358055670246181</v>
      </c>
      <c r="AL209" s="2"/>
    </row>
    <row r="210" spans="1:38" x14ac:dyDescent="0.3">
      <c r="A210" t="s">
        <v>450</v>
      </c>
      <c r="B210" s="1" t="s">
        <v>451</v>
      </c>
      <c r="C210" t="s">
        <v>33</v>
      </c>
      <c r="D210">
        <v>1142.9710593857944</v>
      </c>
      <c r="E210">
        <v>1140.3797508676232</v>
      </c>
      <c r="F210">
        <v>1177.2745315465986</v>
      </c>
      <c r="G210">
        <v>1208.2926390149419</v>
      </c>
      <c r="H210">
        <v>1246.737841762714</v>
      </c>
      <c r="I210">
        <v>1276.7603078885938</v>
      </c>
      <c r="J210">
        <v>1313.1922645226698</v>
      </c>
      <c r="K210">
        <v>1348.7637879607166</v>
      </c>
      <c r="L210">
        <v>1389.5872003153092</v>
      </c>
      <c r="M210">
        <v>1475.9696575239172</v>
      </c>
      <c r="N210">
        <v>1560.2920001313937</v>
      </c>
      <c r="O210">
        <v>1656.2225848201724</v>
      </c>
      <c r="P210">
        <v>1787.4902036058245</v>
      </c>
      <c r="Q210">
        <v>1917.8493618122391</v>
      </c>
      <c r="R210">
        <v>2037.5814877849114</v>
      </c>
      <c r="S210">
        <v>2131.3577198959947</v>
      </c>
      <c r="T210">
        <v>2231.0527125666463</v>
      </c>
      <c r="U210">
        <v>2354.5936431580199</v>
      </c>
      <c r="V210">
        <v>2487.2444032292128</v>
      </c>
      <c r="W210">
        <v>2613.7482483129602</v>
      </c>
      <c r="X210">
        <v>2753.9710578290051</v>
      </c>
      <c r="Y210">
        <v>2867.0511133365926</v>
      </c>
      <c r="Z210">
        <v>2943.0992064147808</v>
      </c>
      <c r="AA210">
        <v>3062.4862223403775</v>
      </c>
      <c r="AB210">
        <v>3185.3345552901847</v>
      </c>
      <c r="AC210">
        <v>3187.0489735864098</v>
      </c>
      <c r="AD210">
        <v>3356.0332547575854</v>
      </c>
      <c r="AE210">
        <v>3473.3616428672003</v>
      </c>
      <c r="AH210">
        <f t="shared" si="3"/>
        <v>4.2025446861504001</v>
      </c>
      <c r="AL210" s="2"/>
    </row>
    <row r="211" spans="1:38" x14ac:dyDescent="0.3">
      <c r="A211" t="s">
        <v>452</v>
      </c>
      <c r="B211" s="1" t="s">
        <v>453</v>
      </c>
      <c r="C211" t="s">
        <v>33</v>
      </c>
      <c r="D211">
        <v>2664.0389560049325</v>
      </c>
      <c r="E211">
        <v>2662.0370995507742</v>
      </c>
      <c r="F211">
        <v>2727.7563025037398</v>
      </c>
      <c r="G211">
        <v>2696.2912051345816</v>
      </c>
      <c r="H211">
        <v>2642.6844991352164</v>
      </c>
      <c r="I211">
        <v>2731.6066775591335</v>
      </c>
      <c r="J211">
        <v>2572.3707778350699</v>
      </c>
      <c r="K211">
        <v>2377.2275122624901</v>
      </c>
      <c r="L211">
        <v>2417.7712670170577</v>
      </c>
      <c r="M211">
        <v>2453.0574035372988</v>
      </c>
      <c r="N211">
        <v>2521.359603388169</v>
      </c>
      <c r="O211">
        <v>2669.7774314083958</v>
      </c>
      <c r="P211">
        <v>2681.3409760341951</v>
      </c>
      <c r="Q211">
        <v>2763.6611052502358</v>
      </c>
      <c r="R211">
        <v>2779.4440106353459</v>
      </c>
      <c r="S211">
        <v>2748.3418654812094</v>
      </c>
      <c r="T211">
        <v>2768.7470183554351</v>
      </c>
      <c r="U211">
        <v>2731.2926945210456</v>
      </c>
      <c r="V211">
        <v>2679.1754065274522</v>
      </c>
      <c r="W211">
        <v>2697.7730374514231</v>
      </c>
      <c r="X211">
        <v>2643.8868859095019</v>
      </c>
      <c r="Y211">
        <v>2701.5922514295539</v>
      </c>
      <c r="Z211">
        <v>2802.7789391687247</v>
      </c>
      <c r="AA211">
        <v>2815.587143795497</v>
      </c>
      <c r="AB211">
        <v>2838.988269499835</v>
      </c>
      <c r="AC211">
        <v>2634.2438839042948</v>
      </c>
      <c r="AD211">
        <v>2589.4211649422855</v>
      </c>
      <c r="AE211">
        <v>2575.9308052215088</v>
      </c>
      <c r="AH211">
        <f t="shared" si="3"/>
        <v>-0.12448700294197534</v>
      </c>
      <c r="AL211" s="2"/>
    </row>
    <row r="212" spans="1:38" x14ac:dyDescent="0.3">
      <c r="A212" t="s">
        <v>454</v>
      </c>
      <c r="B212" s="1" t="s">
        <v>455</v>
      </c>
      <c r="C212" t="s">
        <v>33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  <c r="AD212" t="s">
        <v>34</v>
      </c>
      <c r="AE212" t="s">
        <v>34</v>
      </c>
      <c r="AH212" t="str">
        <f t="shared" si="3"/>
        <v>NA</v>
      </c>
      <c r="AL212" s="2"/>
    </row>
    <row r="213" spans="1:38" x14ac:dyDescent="0.3">
      <c r="A213" t="s">
        <v>456</v>
      </c>
      <c r="B213" s="1" t="s">
        <v>457</v>
      </c>
      <c r="C213" t="s">
        <v>33</v>
      </c>
      <c r="D213">
        <v>906.13027302640478</v>
      </c>
      <c r="E213">
        <v>975.06685085503489</v>
      </c>
      <c r="F213">
        <v>1039.1350540380363</v>
      </c>
      <c r="G213">
        <v>1083.7911995225918</v>
      </c>
      <c r="H213">
        <v>1121.0604044327758</v>
      </c>
      <c r="I213">
        <v>1183.8541284484086</v>
      </c>
      <c r="J213">
        <v>1244.3065516983268</v>
      </c>
      <c r="K213">
        <v>1309.4303071125714</v>
      </c>
      <c r="L213">
        <v>1385.4487694485956</v>
      </c>
      <c r="M213">
        <v>1474.7408103218638</v>
      </c>
      <c r="N213">
        <v>1570.1932693480089</v>
      </c>
      <c r="O213">
        <v>1663.5595569971108</v>
      </c>
      <c r="P213">
        <v>1765.1226514283674</v>
      </c>
      <c r="Q213">
        <v>1846.8668323465636</v>
      </c>
      <c r="R213">
        <v>1926.62386911103</v>
      </c>
      <c r="S213">
        <v>2028.6057131841046</v>
      </c>
      <c r="T213">
        <v>2135.7821648208164</v>
      </c>
      <c r="U213">
        <v>2229.3200857027396</v>
      </c>
      <c r="V213">
        <v>2327.9328831022194</v>
      </c>
      <c r="W213">
        <v>2451.159388647211</v>
      </c>
      <c r="X213">
        <v>2595.2348437295786</v>
      </c>
      <c r="Y213">
        <v>2741.0527875265702</v>
      </c>
      <c r="Z213">
        <v>2903.028201948609</v>
      </c>
      <c r="AA213">
        <v>3090.7725950005752</v>
      </c>
      <c r="AB213">
        <v>3288.3528895018812</v>
      </c>
      <c r="AC213">
        <v>3352.0600110292776</v>
      </c>
      <c r="AD213">
        <v>3409.024999323633</v>
      </c>
      <c r="AE213">
        <v>3655.4626782785467</v>
      </c>
      <c r="AH213">
        <f t="shared" si="3"/>
        <v>5.3016675436850402</v>
      </c>
      <c r="AL213" s="2"/>
    </row>
    <row r="214" spans="1:38" x14ac:dyDescent="0.3">
      <c r="A214" t="s">
        <v>458</v>
      </c>
      <c r="B214" s="1" t="s">
        <v>459</v>
      </c>
      <c r="C214" t="s">
        <v>33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>
        <v>43205.724674038844</v>
      </c>
      <c r="L214">
        <v>43036.181513602161</v>
      </c>
      <c r="M214">
        <v>44466.287219021608</v>
      </c>
      <c r="N214">
        <v>46021.590573181893</v>
      </c>
      <c r="O214">
        <v>47671.567182811967</v>
      </c>
      <c r="P214">
        <v>49598.125907942747</v>
      </c>
      <c r="Q214">
        <v>50174.75289384729</v>
      </c>
      <c r="R214">
        <v>46862.807600187392</v>
      </c>
      <c r="S214">
        <v>47162.737557043074</v>
      </c>
      <c r="T214">
        <v>43320.176769501006</v>
      </c>
      <c r="U214">
        <v>36938.168208635121</v>
      </c>
      <c r="V214">
        <v>34663.646060212901</v>
      </c>
      <c r="W214">
        <v>34098.710997273847</v>
      </c>
      <c r="X214">
        <v>34007.352941176468</v>
      </c>
      <c r="Y214">
        <v>34614.748263324676</v>
      </c>
      <c r="Z214">
        <v>34435.49444557559</v>
      </c>
      <c r="AA214">
        <v>35183.235752482069</v>
      </c>
      <c r="AB214">
        <v>36328.068217050975</v>
      </c>
      <c r="AC214">
        <v>35758.794755452975</v>
      </c>
      <c r="AD214">
        <v>36925.332501883313</v>
      </c>
      <c r="AE214" t="s">
        <v>34</v>
      </c>
      <c r="AH214" t="str">
        <f t="shared" si="3"/>
        <v>NA</v>
      </c>
      <c r="AL214" s="2"/>
    </row>
    <row r="215" spans="1:38" x14ac:dyDescent="0.3">
      <c r="A215" t="s">
        <v>460</v>
      </c>
      <c r="B215" s="1" t="s">
        <v>461</v>
      </c>
      <c r="C215" t="s">
        <v>33</v>
      </c>
      <c r="D215">
        <v>2189.2676829923716</v>
      </c>
      <c r="E215">
        <v>2118.8353773207618</v>
      </c>
      <c r="F215">
        <v>2323.2148095819057</v>
      </c>
      <c r="G215">
        <v>2589.2151749930131</v>
      </c>
      <c r="H215">
        <v>2732.8810141442782</v>
      </c>
      <c r="I215">
        <v>2436.0030087404734</v>
      </c>
      <c r="J215">
        <v>2153.4598556800624</v>
      </c>
      <c r="K215">
        <v>1836.9655648274208</v>
      </c>
      <c r="L215">
        <v>2041.5922311756467</v>
      </c>
      <c r="M215">
        <v>2426.4156563038168</v>
      </c>
      <c r="N215">
        <v>2632.2462742395783</v>
      </c>
      <c r="O215">
        <v>2540.2676308312684</v>
      </c>
      <c r="P215">
        <v>2569.9843410895301</v>
      </c>
      <c r="Q215">
        <v>2685.9860182846378</v>
      </c>
      <c r="R215">
        <v>2840.0159496939491</v>
      </c>
      <c r="S215">
        <v>2927.0810195340341</v>
      </c>
      <c r="T215">
        <v>3128.1081106138422</v>
      </c>
      <c r="U215">
        <v>3237.9161999578896</v>
      </c>
      <c r="V215">
        <v>3309.6312024309809</v>
      </c>
      <c r="W215">
        <v>3227.8493448264458</v>
      </c>
      <c r="X215">
        <v>3272.1543236070793</v>
      </c>
      <c r="Y215">
        <v>3483.0990353297207</v>
      </c>
      <c r="Z215">
        <v>3462.9798610713601</v>
      </c>
      <c r="AA215">
        <v>3417.7944083796169</v>
      </c>
      <c r="AB215">
        <v>3378.4346209191031</v>
      </c>
      <c r="AC215">
        <v>2922.4680108484449</v>
      </c>
      <c r="AD215">
        <v>3051.4860700799491</v>
      </c>
      <c r="AE215">
        <v>3095.4998124360081</v>
      </c>
      <c r="AH215">
        <f t="shared" si="3"/>
        <v>1.2911617902775507</v>
      </c>
      <c r="AL215" s="2"/>
    </row>
    <row r="216" spans="1:38" x14ac:dyDescent="0.3">
      <c r="A216" t="s">
        <v>462</v>
      </c>
      <c r="B216" s="1" t="s">
        <v>463</v>
      </c>
      <c r="C216" t="s">
        <v>33</v>
      </c>
      <c r="D216">
        <v>2003.6134218769068</v>
      </c>
      <c r="E216">
        <v>2032.0013083691813</v>
      </c>
      <c r="F216">
        <v>2076.5115070388506</v>
      </c>
      <c r="G216">
        <v>2138.8033410192106</v>
      </c>
      <c r="H216">
        <v>2157.5035953792899</v>
      </c>
      <c r="I216">
        <v>2227.6509029313015</v>
      </c>
      <c r="J216">
        <v>2250.2041551320017</v>
      </c>
      <c r="K216">
        <v>2277.2312708850295</v>
      </c>
      <c r="L216">
        <v>2300.7625892657848</v>
      </c>
      <c r="M216">
        <v>2329.3296032897915</v>
      </c>
      <c r="N216">
        <v>2391.8322056467323</v>
      </c>
      <c r="O216">
        <v>2395.1342472784036</v>
      </c>
      <c r="P216">
        <v>2401.2791932870214</v>
      </c>
      <c r="Q216">
        <v>2415.5248348415485</v>
      </c>
      <c r="R216">
        <v>2435.7669211845864</v>
      </c>
      <c r="S216">
        <v>2547.6403460452784</v>
      </c>
      <c r="T216">
        <v>2159.8451458873528</v>
      </c>
      <c r="U216">
        <v>2148.4664783621097</v>
      </c>
      <c r="V216">
        <v>2188.6171982084834</v>
      </c>
      <c r="W216">
        <v>2123.9350396421223</v>
      </c>
      <c r="X216">
        <v>1488.4162671460242</v>
      </c>
      <c r="Y216">
        <v>1313.9736076483689</v>
      </c>
      <c r="Z216">
        <v>1215.7525938937063</v>
      </c>
      <c r="AA216">
        <v>1194.8205589674903</v>
      </c>
      <c r="AB216">
        <v>1182.5070935302053</v>
      </c>
      <c r="AC216">
        <v>1057.2816704786205</v>
      </c>
      <c r="AD216">
        <v>1024.5699049311031</v>
      </c>
      <c r="AE216">
        <v>1017.8730935873666</v>
      </c>
      <c r="AH216">
        <f t="shared" si="3"/>
        <v>-2.4770891343877222</v>
      </c>
      <c r="AL216" s="2"/>
    </row>
    <row r="217" spans="1:38" x14ac:dyDescent="0.3">
      <c r="A217" t="s">
        <v>464</v>
      </c>
      <c r="B217" s="1" t="s">
        <v>465</v>
      </c>
      <c r="C217" t="s">
        <v>33</v>
      </c>
      <c r="D217">
        <v>777.02330244670122</v>
      </c>
      <c r="E217">
        <v>805.14193441887801</v>
      </c>
      <c r="F217">
        <v>814.69686316510547</v>
      </c>
      <c r="G217">
        <v>790.83558095220053</v>
      </c>
      <c r="H217">
        <v>806.20867765118544</v>
      </c>
      <c r="I217">
        <v>814.7729654575229</v>
      </c>
      <c r="J217">
        <v>832.7657192402487</v>
      </c>
      <c r="K217">
        <v>844.09201098310882</v>
      </c>
      <c r="L217">
        <v>875.25443326412721</v>
      </c>
      <c r="M217">
        <v>907.49369732044693</v>
      </c>
      <c r="N217">
        <v>941.44695409719577</v>
      </c>
      <c r="O217">
        <v>981.34547430364569</v>
      </c>
      <c r="P217">
        <v>1026.4016031991689</v>
      </c>
      <c r="Q217">
        <v>1067.3868015854055</v>
      </c>
      <c r="R217">
        <v>1125.0890478329839</v>
      </c>
      <c r="S217">
        <v>1198.304816814245</v>
      </c>
      <c r="T217">
        <v>1222.9790578543855</v>
      </c>
      <c r="U217">
        <v>1273.1613057324128</v>
      </c>
      <c r="V217">
        <v>1294.5007700296908</v>
      </c>
      <c r="W217">
        <v>1312.0144334762558</v>
      </c>
      <c r="X217">
        <v>1307.9096491603236</v>
      </c>
      <c r="Y217">
        <v>1315.2505615951757</v>
      </c>
      <c r="Z217">
        <v>1319.607777476986</v>
      </c>
      <c r="AA217">
        <v>1331.4492443552542</v>
      </c>
      <c r="AB217">
        <v>1310.6222242771755</v>
      </c>
      <c r="AC217">
        <v>1237.2833031826219</v>
      </c>
      <c r="AD217">
        <v>1277.6120292264304</v>
      </c>
      <c r="AE217">
        <v>1308.1018381013705</v>
      </c>
      <c r="AH217">
        <f t="shared" si="3"/>
        <v>1.9478464188299016</v>
      </c>
      <c r="AL217" s="2"/>
    </row>
    <row r="218" spans="1:38" x14ac:dyDescent="0.3">
      <c r="A218" t="s">
        <v>466</v>
      </c>
      <c r="B218" s="1" t="s">
        <v>467</v>
      </c>
      <c r="C218" t="s">
        <v>33</v>
      </c>
      <c r="D218">
        <v>1609.9431099636913</v>
      </c>
      <c r="E218">
        <v>1747.4773959514164</v>
      </c>
      <c r="F218">
        <v>1765.2270612448669</v>
      </c>
      <c r="G218">
        <v>1786.9120628456724</v>
      </c>
      <c r="H218">
        <v>1746.872058536095</v>
      </c>
      <c r="I218">
        <v>1676.5154603082567</v>
      </c>
      <c r="J218">
        <v>1689.7564264835228</v>
      </c>
      <c r="K218">
        <v>1530.0064373878606</v>
      </c>
      <c r="L218">
        <v>1260.3911364553692</v>
      </c>
      <c r="M218">
        <v>1178.8902307294645</v>
      </c>
      <c r="N218">
        <v>1105.7551193581273</v>
      </c>
      <c r="O218">
        <v>1058.3255588564946</v>
      </c>
      <c r="P218">
        <v>1009.8274652859573</v>
      </c>
      <c r="Q218">
        <v>824.79170191131493</v>
      </c>
      <c r="R218">
        <v>914.49457402465498</v>
      </c>
      <c r="S218">
        <v>1096.8354780446361</v>
      </c>
      <c r="T218">
        <v>1239.2417933350066</v>
      </c>
      <c r="U218">
        <v>1408.4571669940733</v>
      </c>
      <c r="V218">
        <v>1422.3767099577453</v>
      </c>
      <c r="W218">
        <v>1412.2040116058815</v>
      </c>
      <c r="X218">
        <v>1410.3291734890802</v>
      </c>
      <c r="Y218">
        <v>1393.7170104858767</v>
      </c>
      <c r="Z218">
        <v>1421.2407691014625</v>
      </c>
      <c r="AA218">
        <v>1462.5902789097386</v>
      </c>
      <c r="AB218">
        <v>1342.9895861062369</v>
      </c>
      <c r="AC218">
        <v>1213.117057392592</v>
      </c>
      <c r="AD218">
        <v>1289.1990672084103</v>
      </c>
      <c r="AE218">
        <v>1345.7690822600753</v>
      </c>
      <c r="AH218">
        <f t="shared" si="3"/>
        <v>-0.6616281493907028</v>
      </c>
      <c r="AL218" s="2"/>
    </row>
    <row r="219" spans="1:38" x14ac:dyDescent="0.3">
      <c r="B219" s="1"/>
      <c r="AL219" s="2"/>
    </row>
    <row r="220" spans="1:38" x14ac:dyDescent="0.3">
      <c r="B220" s="1"/>
    </row>
    <row r="221" spans="1:38" x14ac:dyDescent="0.3">
      <c r="B221" s="1"/>
    </row>
    <row r="222" spans="1:38" x14ac:dyDescent="0.3">
      <c r="A222" t="s">
        <v>468</v>
      </c>
      <c r="B222" s="1"/>
    </row>
    <row r="223" spans="1:38" x14ac:dyDescent="0.3">
      <c r="A223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5564-A224-4092-8F00-1550BC1FD311}">
  <dimension ref="A1:AE438"/>
  <sheetViews>
    <sheetView zoomScale="69" workbookViewId="0">
      <pane xSplit="1" topLeftCell="H1" activePane="topRight" state="frozen"/>
      <selection pane="topRight" activeCell="AB6" sqref="AB6"/>
    </sheetView>
  </sheetViews>
  <sheetFormatPr baseColWidth="10" defaultColWidth="8.88671875" defaultRowHeight="15" customHeight="1" x14ac:dyDescent="0.3"/>
  <cols>
    <col min="1" max="1" width="15.88671875" customWidth="1"/>
    <col min="2" max="3" width="8.88671875" style="4"/>
    <col min="4" max="4" width="12.6640625" style="4" customWidth="1"/>
    <col min="5" max="5" width="8.88671875" style="4"/>
    <col min="6" max="6" width="13.109375" style="4" customWidth="1"/>
    <col min="7" max="7" width="11.6640625" style="4" customWidth="1"/>
    <col min="8" max="8" width="12.5546875" style="4" customWidth="1"/>
    <col min="9" max="9" width="11.33203125" style="4" customWidth="1"/>
    <col min="10" max="10" width="11.88671875" style="4" customWidth="1"/>
    <col min="11" max="11" width="11.5546875" style="4" customWidth="1"/>
    <col min="12" max="12" width="11.109375" style="4" customWidth="1"/>
    <col min="13" max="15" width="8.88671875" style="4"/>
    <col min="16" max="17" width="8.88671875" customWidth="1"/>
    <col min="18" max="18" width="12.88671875" customWidth="1"/>
    <col min="19" max="19" width="8.88671875" customWidth="1"/>
    <col min="20" max="20" width="14.109375" bestFit="1" customWidth="1"/>
    <col min="21" max="21" width="8.88671875" customWidth="1"/>
    <col min="23" max="23" width="10" customWidth="1"/>
  </cols>
  <sheetData>
    <row r="1" spans="1:29" ht="14.4" x14ac:dyDescent="0.3">
      <c r="B1" s="4" t="s">
        <v>489</v>
      </c>
      <c r="C1" s="4" t="s">
        <v>479</v>
      </c>
      <c r="D1" s="4" t="s">
        <v>480</v>
      </c>
      <c r="E1" s="4" t="s">
        <v>481</v>
      </c>
      <c r="F1" s="4" t="s">
        <v>482</v>
      </c>
      <c r="G1" s="4" t="s">
        <v>484</v>
      </c>
      <c r="H1" s="4" t="s">
        <v>485</v>
      </c>
      <c r="I1" s="4" t="s">
        <v>470</v>
      </c>
      <c r="J1" s="4" t="s">
        <v>471</v>
      </c>
      <c r="K1" s="4" t="s">
        <v>472</v>
      </c>
      <c r="L1" s="4" t="s">
        <v>473</v>
      </c>
      <c r="M1" s="4" t="s">
        <v>486</v>
      </c>
      <c r="N1" s="4" t="s">
        <v>487</v>
      </c>
      <c r="O1" s="4" t="s">
        <v>488</v>
      </c>
      <c r="P1" t="s">
        <v>474</v>
      </c>
      <c r="Q1" t="s">
        <v>499</v>
      </c>
      <c r="R1" t="s">
        <v>475</v>
      </c>
      <c r="S1" t="s">
        <v>476</v>
      </c>
      <c r="T1" t="s">
        <v>477</v>
      </c>
      <c r="U1" t="s">
        <v>500</v>
      </c>
      <c r="V1" s="10" t="s">
        <v>508</v>
      </c>
      <c r="W1" s="10" t="s">
        <v>512</v>
      </c>
      <c r="X1" s="10" t="s">
        <v>516</v>
      </c>
      <c r="Y1" s="10" t="s">
        <v>517</v>
      </c>
      <c r="Z1" s="10" t="s">
        <v>518</v>
      </c>
      <c r="AA1" s="10" t="s">
        <v>155</v>
      </c>
      <c r="AB1" s="10" t="s">
        <v>523</v>
      </c>
      <c r="AC1" s="13" t="s">
        <v>525</v>
      </c>
    </row>
    <row r="2" spans="1:29" ht="14.4" x14ac:dyDescent="0.3">
      <c r="A2" t="s">
        <v>31</v>
      </c>
      <c r="B2" s="4" t="str">
        <f>Tx_croissance!AH2</f>
        <v>NA</v>
      </c>
      <c r="C2" s="4" t="str">
        <f t="shared" ref="C2:C65" si="0">IFERROR(LN(P2),"NA")</f>
        <v>NA</v>
      </c>
      <c r="D2" s="4">
        <v>12.221165999888937</v>
      </c>
      <c r="E2" s="4">
        <v>3.495497911723318</v>
      </c>
      <c r="F2" s="4">
        <v>-1.5282862360278771</v>
      </c>
      <c r="G2" s="4">
        <v>59.095888888888886</v>
      </c>
      <c r="H2" s="4">
        <v>-2.4809624950091038</v>
      </c>
      <c r="I2" s="4">
        <v>115.71319876776801</v>
      </c>
      <c r="J2" s="4">
        <v>100.72019250052313</v>
      </c>
      <c r="K2" s="4">
        <v>29.139934221903484</v>
      </c>
      <c r="L2" s="4">
        <v>-1.42009029785792</v>
      </c>
      <c r="M2" s="4">
        <v>-1.4936952640612924</v>
      </c>
      <c r="N2" s="4">
        <v>-1.7212338199218111</v>
      </c>
      <c r="O2" s="4">
        <v>-1.3154747312267616</v>
      </c>
      <c r="P2" t="s">
        <v>37</v>
      </c>
      <c r="Q2">
        <v>7.8005405193609105</v>
      </c>
      <c r="R2">
        <v>28.969577222643576</v>
      </c>
      <c r="S2">
        <v>0</v>
      </c>
      <c r="T2">
        <v>3.8070327982473624</v>
      </c>
      <c r="U2" t="s">
        <v>37</v>
      </c>
      <c r="V2">
        <f>'VATtax et trade tax et ipc '!AI2</f>
        <v>2.4019430095671885</v>
      </c>
      <c r="W2" s="9" cm="1">
        <f t="array" ref="W2:W218">'VATtax et trade tax et ipc '!AK2:AK218</f>
        <v>3.0990709085955248</v>
      </c>
      <c r="X2">
        <f>'VATtax et trade tax et ipc '!AM2</f>
        <v>2.4633253107568307</v>
      </c>
      <c r="AA2">
        <v>0</v>
      </c>
      <c r="AB2">
        <v>1</v>
      </c>
      <c r="AC2">
        <v>38.778870323020719</v>
      </c>
    </row>
    <row r="3" spans="1:29" ht="14.4" x14ac:dyDescent="0.3">
      <c r="A3" t="s">
        <v>35</v>
      </c>
      <c r="B3" s="4">
        <f>Tx_croissance!AH3</f>
        <v>4.7096770861785542</v>
      </c>
      <c r="C3" s="4">
        <f t="shared" si="0"/>
        <v>7.3052022483565828</v>
      </c>
      <c r="D3" s="4">
        <v>28.234992482159708</v>
      </c>
      <c r="E3" s="4">
        <v>-0.5138705504210207</v>
      </c>
      <c r="F3" s="4">
        <v>-0.30570640997029846</v>
      </c>
      <c r="G3" s="4">
        <v>76.962703703703696</v>
      </c>
      <c r="H3" s="4">
        <v>-7.7433829583848535E-2</v>
      </c>
      <c r="I3" s="4">
        <v>87.204486017641813</v>
      </c>
      <c r="J3" s="4">
        <v>39.96787394417656</v>
      </c>
      <c r="K3" s="4">
        <v>5.6691786221095475</v>
      </c>
      <c r="L3" s="4">
        <v>-0.67244340355197585</v>
      </c>
      <c r="M3" s="4">
        <v>2.0878915054102758E-2</v>
      </c>
      <c r="N3" s="4">
        <v>-0.53877781021098314</v>
      </c>
      <c r="O3" s="4">
        <v>3.46980739268474E-2</v>
      </c>
      <c r="P3">
        <v>1488.0208811962684</v>
      </c>
      <c r="Q3">
        <v>16.430994424233223</v>
      </c>
      <c r="R3">
        <v>19.03424859947156</v>
      </c>
      <c r="S3">
        <v>13.1</v>
      </c>
      <c r="T3">
        <v>13.141789246019307</v>
      </c>
      <c r="U3">
        <v>66.809868330924814</v>
      </c>
      <c r="V3">
        <f>'VATtax et trade tax et ipc '!AI3</f>
        <v>13.416597410766219</v>
      </c>
      <c r="W3" s="9">
        <v>0.91035615051258922</v>
      </c>
      <c r="X3">
        <f>'VATtax et trade tax et ipc '!AM3</f>
        <v>3.7756395459925982</v>
      </c>
      <c r="Y3">
        <v>13.600788301996561</v>
      </c>
      <c r="Z3">
        <v>21.278513459582118</v>
      </c>
      <c r="AA3">
        <v>0</v>
      </c>
      <c r="AB3">
        <v>1</v>
      </c>
      <c r="AC3">
        <v>9.4345674770560262</v>
      </c>
    </row>
    <row r="4" spans="1:29" ht="14.4" x14ac:dyDescent="0.3">
      <c r="A4" t="s">
        <v>38</v>
      </c>
      <c r="B4" s="4">
        <f>Tx_croissance!AH4</f>
        <v>1.2472526869412581</v>
      </c>
      <c r="C4" s="4">
        <f t="shared" si="0"/>
        <v>7.9593136492308236</v>
      </c>
      <c r="D4" s="4">
        <v>30.7227781263542</v>
      </c>
      <c r="E4" s="4">
        <v>1.6948479591379182</v>
      </c>
      <c r="F4" s="4">
        <v>-0.57214573646585143</v>
      </c>
      <c r="G4" s="4">
        <v>72.826666666666654</v>
      </c>
      <c r="H4" s="4">
        <v>-1.2189323181907341</v>
      </c>
      <c r="I4" s="4">
        <v>107.48071975707998</v>
      </c>
      <c r="J4" s="4">
        <v>22.097866344451887</v>
      </c>
      <c r="K4" s="4">
        <v>5.4010473276887643</v>
      </c>
      <c r="L4" s="4">
        <v>-0.64930454517404235</v>
      </c>
      <c r="M4" s="4">
        <v>-0.96427201355497016</v>
      </c>
      <c r="N4" s="4">
        <v>-0.84774297724167502</v>
      </c>
      <c r="O4" s="4">
        <v>-0.97832619150479705</v>
      </c>
      <c r="P4">
        <v>2862.1078682782077</v>
      </c>
      <c r="Q4" t="s">
        <v>37</v>
      </c>
      <c r="R4" t="e">
        <v>#DIV/0!</v>
      </c>
      <c r="S4">
        <v>7.626666666666666</v>
      </c>
      <c r="T4" t="e">
        <v>#DIV/0!</v>
      </c>
      <c r="U4" t="s">
        <v>37</v>
      </c>
      <c r="V4" t="str">
        <f>'VATtax et trade tax et ipc '!AI4</f>
        <v>NA</v>
      </c>
      <c r="W4" s="9" t="str">
        <v>NA</v>
      </c>
      <c r="X4" t="str">
        <f>'VATtax et trade tax et ipc '!AM4</f>
        <v>NA</v>
      </c>
      <c r="Z4">
        <v>29.136944292613631</v>
      </c>
      <c r="AA4">
        <v>0</v>
      </c>
      <c r="AB4">
        <v>1</v>
      </c>
      <c r="AC4" t="s">
        <v>37</v>
      </c>
    </row>
    <row r="5" spans="1:29" ht="14.4" x14ac:dyDescent="0.3">
      <c r="A5" t="s">
        <v>40</v>
      </c>
      <c r="B5" s="4" t="str">
        <f>Tx_croissance!AH5</f>
        <v>NA</v>
      </c>
      <c r="C5" s="4" t="str">
        <f t="shared" si="0"/>
        <v>NA</v>
      </c>
      <c r="D5" s="4" t="s">
        <v>37</v>
      </c>
      <c r="E5" s="4">
        <v>-0.59425674574293208</v>
      </c>
      <c r="F5" s="4">
        <v>0.45066374932464792</v>
      </c>
      <c r="G5" s="4" t="s">
        <v>37</v>
      </c>
      <c r="H5" s="4">
        <v>0.9998160694774838</v>
      </c>
      <c r="I5" s="4">
        <v>107.93092019217362</v>
      </c>
      <c r="J5" s="4">
        <v>86.952466964721722</v>
      </c>
      <c r="K5" s="4">
        <v>38.05699144090925</v>
      </c>
      <c r="L5" s="4">
        <v>0.88248916833024316</v>
      </c>
      <c r="M5" s="4">
        <v>0.26575817873603413</v>
      </c>
      <c r="N5" s="4">
        <v>1.1612325185223629</v>
      </c>
      <c r="O5" s="4">
        <v>0.91652831860951045</v>
      </c>
      <c r="P5" t="s">
        <v>37</v>
      </c>
      <c r="Q5" t="s">
        <v>37</v>
      </c>
      <c r="R5" t="e">
        <v>#DIV/0!</v>
      </c>
      <c r="S5" t="e">
        <v>#DIV/0!</v>
      </c>
      <c r="T5" t="e">
        <v>#DIV/0!</v>
      </c>
      <c r="U5" t="s">
        <v>37</v>
      </c>
      <c r="V5" t="str">
        <f>'VATtax et trade tax et ipc '!AI5</f>
        <v>NA</v>
      </c>
      <c r="W5" s="9" t="str">
        <v>NA</v>
      </c>
      <c r="X5" t="str">
        <f>'VATtax et trade tax et ipc '!AM5</f>
        <v>NA</v>
      </c>
      <c r="AA5">
        <v>0</v>
      </c>
      <c r="AB5">
        <v>0</v>
      </c>
      <c r="AC5" t="s">
        <v>37</v>
      </c>
    </row>
    <row r="6" spans="1:29" ht="14.4" x14ac:dyDescent="0.3">
      <c r="A6" t="s">
        <v>42</v>
      </c>
      <c r="B6" s="4">
        <f>Tx_croissance!AH6</f>
        <v>1.2707206743316268</v>
      </c>
      <c r="C6" s="4">
        <f t="shared" si="0"/>
        <v>10.241793934673346</v>
      </c>
      <c r="D6" s="4" t="s">
        <v>37</v>
      </c>
      <c r="E6" s="4">
        <v>0.95837133374962202</v>
      </c>
      <c r="F6" s="4">
        <v>1.5724520335594809</v>
      </c>
      <c r="G6" s="4" t="s">
        <v>37</v>
      </c>
      <c r="H6" s="4">
        <v>1.3621017585198079</v>
      </c>
      <c r="I6" s="4">
        <v>89.527079264322921</v>
      </c>
      <c r="J6" s="4">
        <v>89.524159386044474</v>
      </c>
      <c r="K6" s="4">
        <v>13.653440643759339</v>
      </c>
      <c r="L6" s="4">
        <v>1.2529249787330621</v>
      </c>
      <c r="M6" s="4">
        <v>1.3059024289250372</v>
      </c>
      <c r="N6" s="4">
        <v>1.328359524408977</v>
      </c>
      <c r="O6" s="4">
        <v>1.3110088358322776</v>
      </c>
      <c r="P6">
        <v>28051.403200512588</v>
      </c>
      <c r="Q6" t="s">
        <v>37</v>
      </c>
      <c r="R6" t="e">
        <v>#DIV/0!</v>
      </c>
      <c r="S6" t="e">
        <v>#DIV/0!</v>
      </c>
      <c r="T6" t="e">
        <v>#DIV/0!</v>
      </c>
      <c r="U6" t="s">
        <v>37</v>
      </c>
      <c r="V6" t="str">
        <f>'VATtax et trade tax et ipc '!AI6</f>
        <v>NA</v>
      </c>
      <c r="W6" s="9" t="str">
        <v>NA</v>
      </c>
      <c r="X6" t="str">
        <f>'VATtax et trade tax et ipc '!AM6</f>
        <v>NA</v>
      </c>
      <c r="AA6">
        <v>0</v>
      </c>
      <c r="AB6">
        <v>0</v>
      </c>
      <c r="AC6" t="s">
        <v>37</v>
      </c>
    </row>
    <row r="7" spans="1:29" ht="14.4" x14ac:dyDescent="0.3">
      <c r="A7" t="s">
        <v>44</v>
      </c>
      <c r="B7" s="4">
        <f>Tx_croissance!AH7</f>
        <v>1.3160423881662053</v>
      </c>
      <c r="C7" s="4">
        <f t="shared" si="0"/>
        <v>7.4239910969527534</v>
      </c>
      <c r="D7" s="4">
        <v>26.839838412968692</v>
      </c>
      <c r="E7" s="4">
        <v>3.4720108275055046</v>
      </c>
      <c r="F7" s="4">
        <v>-1.0962019488215446</v>
      </c>
      <c r="G7" s="4">
        <v>54.111888888888906</v>
      </c>
      <c r="H7" s="4">
        <v>-0.76937486231327057</v>
      </c>
      <c r="I7" s="4">
        <v>110.11878267923994</v>
      </c>
      <c r="J7" s="4">
        <v>90.954864501953082</v>
      </c>
      <c r="K7" s="4">
        <v>49.5935249328613</v>
      </c>
      <c r="L7" s="4">
        <v>-1.2330975284179053</v>
      </c>
      <c r="M7" s="4">
        <v>-1.0589671259125073</v>
      </c>
      <c r="N7" s="4">
        <v>-1.268366634845733</v>
      </c>
      <c r="O7" s="4">
        <v>-1.1383518204092977</v>
      </c>
      <c r="P7">
        <v>1675.7080928898997</v>
      </c>
      <c r="Q7">
        <v>16.951172104289917</v>
      </c>
      <c r="R7">
        <v>75.134266217575714</v>
      </c>
      <c r="S7">
        <v>23.919999999999998</v>
      </c>
      <c r="T7">
        <v>40.214544037144009</v>
      </c>
      <c r="U7" t="s">
        <v>37</v>
      </c>
      <c r="V7">
        <f>'VATtax et trade tax et ipc '!AI7</f>
        <v>1.1549995203053824</v>
      </c>
      <c r="W7" s="9">
        <v>0.70915725378224259</v>
      </c>
      <c r="X7">
        <f>'VATtax et trade tax et ipc '!AM7</f>
        <v>7.7522471644150377</v>
      </c>
      <c r="AA7">
        <v>0</v>
      </c>
      <c r="AB7">
        <v>1</v>
      </c>
      <c r="AC7">
        <v>6.4242977597438991</v>
      </c>
    </row>
    <row r="8" spans="1:29" ht="14.4" x14ac:dyDescent="0.3">
      <c r="A8" t="s">
        <v>46</v>
      </c>
      <c r="B8" s="4">
        <f>Tx_croissance!AH8</f>
        <v>0.90711749431502398</v>
      </c>
      <c r="C8" s="4">
        <f t="shared" si="0"/>
        <v>9.5166680395896321</v>
      </c>
      <c r="D8" s="4" t="s">
        <v>37</v>
      </c>
      <c r="E8" s="4">
        <v>1.1964416165904683</v>
      </c>
      <c r="F8" s="4">
        <v>1.2284782968069377</v>
      </c>
      <c r="G8" s="4">
        <v>76.391518518518509</v>
      </c>
      <c r="H8" s="4">
        <v>0.86728527396917376</v>
      </c>
      <c r="I8" s="4">
        <v>114.70298092181871</v>
      </c>
      <c r="J8" s="4">
        <v>98.955016502967197</v>
      </c>
      <c r="K8" s="4">
        <v>74.241268952687577</v>
      </c>
      <c r="L8" s="4">
        <v>0.80119645347197854</v>
      </c>
      <c r="M8" s="4">
        <v>0.54966119490563869</v>
      </c>
      <c r="N8" s="4">
        <v>0.71992284556229913</v>
      </c>
      <c r="O8" s="4">
        <v>0.55544067174196243</v>
      </c>
      <c r="P8">
        <v>13584.273462779563</v>
      </c>
      <c r="Q8" t="s">
        <v>37</v>
      </c>
      <c r="R8" t="e">
        <v>#DIV/0!</v>
      </c>
      <c r="S8">
        <v>27.873333333333328</v>
      </c>
      <c r="T8" t="e">
        <v>#DIV/0!</v>
      </c>
      <c r="U8" t="s">
        <v>37</v>
      </c>
      <c r="V8" t="str">
        <f>'VATtax et trade tax et ipc '!AI8</f>
        <v>NA</v>
      </c>
      <c r="W8" s="9" t="str">
        <v>NA</v>
      </c>
      <c r="X8" t="str">
        <f>'VATtax et trade tax et ipc '!AM8</f>
        <v>NA</v>
      </c>
      <c r="AA8">
        <v>0</v>
      </c>
      <c r="AB8">
        <v>0</v>
      </c>
      <c r="AC8" t="s">
        <v>37</v>
      </c>
    </row>
    <row r="9" spans="1:29" ht="14.4" x14ac:dyDescent="0.3">
      <c r="A9" t="s">
        <v>48</v>
      </c>
      <c r="B9" s="4">
        <f>Tx_croissance!AH9</f>
        <v>0.97085591360437373</v>
      </c>
      <c r="C9" s="4">
        <f t="shared" si="0"/>
        <v>9.2072688171574342</v>
      </c>
      <c r="D9" s="4">
        <v>16.526854307492393</v>
      </c>
      <c r="E9" s="4">
        <v>1.046792114217747</v>
      </c>
      <c r="F9" s="4">
        <v>0.30916600115597248</v>
      </c>
      <c r="G9" s="4">
        <v>75.272592592592616</v>
      </c>
      <c r="H9" s="4">
        <v>-6.2694980559172109E-2</v>
      </c>
      <c r="I9" s="4">
        <v>99.739046641758506</v>
      </c>
      <c r="J9" s="4">
        <v>89.307829770174877</v>
      </c>
      <c r="K9" s="4">
        <v>41.944903646196636</v>
      </c>
      <c r="L9" s="4">
        <v>-0.34692160878330469</v>
      </c>
      <c r="M9" s="4">
        <v>-0.52550968776146589</v>
      </c>
      <c r="N9" s="4">
        <v>-0.51334566467752063</v>
      </c>
      <c r="O9" s="4">
        <v>0.40665429333845776</v>
      </c>
      <c r="P9">
        <v>9969.331575797225</v>
      </c>
      <c r="Q9">
        <v>10.465761446513493</v>
      </c>
      <c r="R9">
        <v>21.450258158248797</v>
      </c>
      <c r="S9">
        <v>2.7199999999999998</v>
      </c>
      <c r="T9">
        <v>13.771817447865642</v>
      </c>
      <c r="U9" t="s">
        <v>37</v>
      </c>
      <c r="V9">
        <f>'VATtax et trade tax et ipc '!AI9</f>
        <v>3.9050876422032501</v>
      </c>
      <c r="W9" s="9">
        <v>1.5709462885388403</v>
      </c>
      <c r="X9">
        <f>'VATtax et trade tax et ipc '!AM9</f>
        <v>1.3523402556516593</v>
      </c>
      <c r="Y9">
        <v>8.054357651723091</v>
      </c>
      <c r="Z9">
        <v>17.937746110701493</v>
      </c>
      <c r="AA9">
        <v>0</v>
      </c>
      <c r="AB9">
        <v>0</v>
      </c>
      <c r="AC9">
        <v>6.1704261835478356</v>
      </c>
    </row>
    <row r="10" spans="1:29" ht="14.4" x14ac:dyDescent="0.3">
      <c r="A10" t="s">
        <v>50</v>
      </c>
      <c r="B10" s="4">
        <f>Tx_croissance!AH10</f>
        <v>6.5264997148175574</v>
      </c>
      <c r="C10" s="4">
        <f t="shared" si="0"/>
        <v>6.8331314008550814</v>
      </c>
      <c r="D10" s="4">
        <v>24.927533566819015</v>
      </c>
      <c r="E10" s="4">
        <v>-0.69069392769890059</v>
      </c>
      <c r="F10" s="4">
        <v>-7.5531619562146435E-2</v>
      </c>
      <c r="G10" s="4">
        <v>72.329666666666682</v>
      </c>
      <c r="H10" s="4">
        <v>-0.27584208697468665</v>
      </c>
      <c r="I10" s="4" t="s">
        <v>37</v>
      </c>
      <c r="J10" s="4" t="s">
        <v>37</v>
      </c>
      <c r="K10" s="4" t="s">
        <v>37</v>
      </c>
      <c r="L10" s="4">
        <v>-0.55545039374070859</v>
      </c>
      <c r="M10" s="4">
        <v>0.15242438095932209</v>
      </c>
      <c r="N10" s="4">
        <v>-0.35538289075096446</v>
      </c>
      <c r="O10" s="4">
        <v>-0.47553954801211756</v>
      </c>
      <c r="P10">
        <v>928.09249657732209</v>
      </c>
      <c r="Q10">
        <v>18.749481035258842</v>
      </c>
      <c r="R10">
        <v>32.915449139780144</v>
      </c>
      <c r="S10">
        <v>16.62</v>
      </c>
      <c r="T10">
        <v>27.46684677353386</v>
      </c>
      <c r="U10">
        <v>57.836664820454381</v>
      </c>
      <c r="V10">
        <f>'VATtax et trade tax et ipc '!AI10</f>
        <v>12.528263913879696</v>
      </c>
      <c r="W10" s="9">
        <v>1.3716237004173217</v>
      </c>
      <c r="X10">
        <f>'VATtax et trade tax et ipc '!AM10</f>
        <v>9.0651098096401217</v>
      </c>
      <c r="Z10">
        <v>16.153955432999123</v>
      </c>
      <c r="AA10">
        <v>0</v>
      </c>
      <c r="AB10">
        <v>1</v>
      </c>
      <c r="AC10">
        <v>5.3095739134657549</v>
      </c>
    </row>
    <row r="11" spans="1:29" ht="14.4" x14ac:dyDescent="0.3">
      <c r="A11" t="s">
        <v>52</v>
      </c>
      <c r="B11" s="4">
        <f>Tx_croissance!AH11</f>
        <v>0.35870916832234645</v>
      </c>
      <c r="C11" s="4">
        <f t="shared" si="0"/>
        <v>10.292076499522411</v>
      </c>
      <c r="D11" s="4" t="s">
        <v>37</v>
      </c>
      <c r="E11" s="4">
        <v>1.2643373851428286</v>
      </c>
      <c r="F11" s="4">
        <v>-0.22971241517613325</v>
      </c>
      <c r="G11" s="4">
        <v>74.586444444444453</v>
      </c>
      <c r="H11" s="4">
        <v>1.276862608759026</v>
      </c>
      <c r="I11" s="4">
        <v>115.11915079752613</v>
      </c>
      <c r="J11" s="4">
        <v>113.40095728093917</v>
      </c>
      <c r="K11" s="4" t="s">
        <v>37</v>
      </c>
      <c r="L11" s="4">
        <v>1.1393865472392033</v>
      </c>
      <c r="M11" s="4">
        <v>1.0875310897827142</v>
      </c>
      <c r="N11" s="4">
        <v>1.1622112016928821</v>
      </c>
      <c r="O11" s="4">
        <v>1.1683587055457263</v>
      </c>
      <c r="P11">
        <v>29497.96330754802</v>
      </c>
      <c r="Q11" t="s">
        <v>37</v>
      </c>
      <c r="R11" t="e">
        <v>#DIV/0!</v>
      </c>
      <c r="S11" t="e">
        <v>#DIV/0!</v>
      </c>
      <c r="T11" t="e">
        <v>#DIV/0!</v>
      </c>
      <c r="U11" t="s">
        <v>37</v>
      </c>
      <c r="V11" t="str">
        <f>'VATtax et trade tax et ipc '!AI11</f>
        <v>NA</v>
      </c>
      <c r="W11" s="9" t="str">
        <v>NA</v>
      </c>
      <c r="X11" t="str">
        <f>'VATtax et trade tax et ipc '!AM11</f>
        <v>NA</v>
      </c>
      <c r="AA11">
        <v>0</v>
      </c>
      <c r="AB11">
        <v>0</v>
      </c>
      <c r="AC11" t="s">
        <v>37</v>
      </c>
    </row>
    <row r="12" spans="1:29" ht="14.4" x14ac:dyDescent="0.3">
      <c r="A12" t="s">
        <v>54</v>
      </c>
      <c r="B12" s="4">
        <f>Tx_croissance!AH12</f>
        <v>1.6403107806285844</v>
      </c>
      <c r="C12" s="4">
        <f t="shared" si="0"/>
        <v>10.579234082688659</v>
      </c>
      <c r="D12" s="4">
        <v>25.51446364691779</v>
      </c>
      <c r="E12" s="4">
        <v>1.3528713968254225</v>
      </c>
      <c r="F12" s="4">
        <v>1.1339918939690841</v>
      </c>
      <c r="G12" s="4">
        <v>81.006775067750709</v>
      </c>
      <c r="H12" s="4">
        <v>0.98132157574097334</v>
      </c>
      <c r="I12" s="4">
        <v>102.78112482141559</v>
      </c>
      <c r="J12" s="4">
        <v>146.69508056640632</v>
      </c>
      <c r="K12" s="4">
        <v>101.18495330810543</v>
      </c>
      <c r="L12" s="4">
        <v>1.8690128525098169</v>
      </c>
      <c r="M12" s="4">
        <v>1.7265004118283593</v>
      </c>
      <c r="N12" s="4">
        <v>1.7302952110767356</v>
      </c>
      <c r="O12" s="4">
        <v>1.3990896940231321</v>
      </c>
      <c r="P12">
        <v>39309.994664562306</v>
      </c>
      <c r="Q12">
        <v>21.895614685810628</v>
      </c>
      <c r="R12">
        <v>72.064757098004989</v>
      </c>
      <c r="S12">
        <v>26.266666666666666</v>
      </c>
      <c r="T12">
        <v>64.892736463016064</v>
      </c>
      <c r="U12">
        <v>35.458215191787325</v>
      </c>
      <c r="V12">
        <f>'VATtax et trade tax et ipc '!AI12</f>
        <v>5.4911305186201282</v>
      </c>
      <c r="W12" s="9">
        <v>0.67024512878229447</v>
      </c>
      <c r="X12">
        <f>'VATtax et trade tax et ipc '!AM12</f>
        <v>16.43439508730507</v>
      </c>
      <c r="Y12">
        <v>21.159593906172482</v>
      </c>
      <c r="Z12">
        <v>25.0952916833049</v>
      </c>
      <c r="AA12">
        <v>0</v>
      </c>
      <c r="AB12">
        <v>0</v>
      </c>
      <c r="AC12">
        <v>2.8204188901731198</v>
      </c>
    </row>
    <row r="13" spans="1:29" ht="14.4" x14ac:dyDescent="0.3">
      <c r="A13" t="s">
        <v>56</v>
      </c>
      <c r="B13" s="4">
        <f>Tx_croissance!AH13</f>
        <v>1.2054259563035741</v>
      </c>
      <c r="C13" s="4">
        <f t="shared" si="0"/>
        <v>10.427934532542604</v>
      </c>
      <c r="D13" s="4">
        <v>23.921076906988251</v>
      </c>
      <c r="E13" s="4">
        <v>0.46585596877797164</v>
      </c>
      <c r="F13" s="4">
        <v>1.6610912581284845</v>
      </c>
      <c r="G13" s="4">
        <v>79.828726287262896</v>
      </c>
      <c r="H13" s="4">
        <v>1.0967105949918428</v>
      </c>
      <c r="I13" s="4">
        <v>101.69800426341857</v>
      </c>
      <c r="J13" s="4">
        <v>100.66311786792896</v>
      </c>
      <c r="K13" s="4">
        <v>73.446606686240742</v>
      </c>
      <c r="L13" s="4">
        <v>1.6486806174119308</v>
      </c>
      <c r="M13" s="4">
        <v>1.4838394125302627</v>
      </c>
      <c r="N13" s="4">
        <v>1.828032463788986</v>
      </c>
      <c r="O13" s="4">
        <v>1.3867747584978731</v>
      </c>
      <c r="P13">
        <v>33790.484985750394</v>
      </c>
      <c r="Q13">
        <v>22.430874931191898</v>
      </c>
      <c r="R13">
        <v>46.996991171468864</v>
      </c>
      <c r="S13">
        <v>16.86</v>
      </c>
      <c r="T13">
        <v>27.534630109908196</v>
      </c>
      <c r="U13">
        <v>80.368534045843063</v>
      </c>
      <c r="V13">
        <f>'VATtax et trade tax et ipc '!AI13</f>
        <v>11.745177970728017</v>
      </c>
      <c r="W13" s="9">
        <v>-2.7464446061433263E-3</v>
      </c>
      <c r="X13">
        <f>'VATtax et trade tax et ipc '!AM13</f>
        <v>11.936039722043537</v>
      </c>
      <c r="Y13">
        <v>24.600106166880181</v>
      </c>
      <c r="Z13">
        <v>25.299057945883202</v>
      </c>
      <c r="AA13">
        <v>0</v>
      </c>
      <c r="AB13">
        <v>0</v>
      </c>
      <c r="AC13">
        <v>9.8863037269157558E-3</v>
      </c>
    </row>
    <row r="14" spans="1:29" ht="14.4" x14ac:dyDescent="0.3">
      <c r="A14" t="s">
        <v>58</v>
      </c>
      <c r="B14" s="4">
        <f>Tx_croissance!AH14</f>
        <v>6.1970332963708241</v>
      </c>
      <c r="C14" s="4">
        <f t="shared" si="0"/>
        <v>7.0053336935541548</v>
      </c>
      <c r="D14" s="4">
        <v>26.805767377282432</v>
      </c>
      <c r="E14" s="4">
        <v>1.0320248637633018</v>
      </c>
      <c r="F14" s="4">
        <v>1.6619660506645839</v>
      </c>
      <c r="G14" s="4">
        <v>68.094740740740733</v>
      </c>
      <c r="H14" s="4">
        <v>-0.74111290959020437</v>
      </c>
      <c r="I14" s="4">
        <v>98.485198974609375</v>
      </c>
      <c r="J14" s="4">
        <v>84.919172433706436</v>
      </c>
      <c r="K14" s="4">
        <v>25.630760417265062</v>
      </c>
      <c r="L14" s="4">
        <v>-1.0847096368670461</v>
      </c>
      <c r="M14" s="4">
        <v>-0.47731127124279737</v>
      </c>
      <c r="N14" s="4">
        <v>-0.8202803060412408</v>
      </c>
      <c r="O14" s="4">
        <v>-1.3069318284591045</v>
      </c>
      <c r="P14">
        <v>1102.4978900740705</v>
      </c>
      <c r="Q14">
        <v>14.193998686104255</v>
      </c>
      <c r="R14">
        <v>36.10159545526831</v>
      </c>
      <c r="S14">
        <v>13.4</v>
      </c>
      <c r="T14">
        <v>15.683281198748949</v>
      </c>
      <c r="U14">
        <v>11.253910465636334</v>
      </c>
      <c r="V14">
        <f>'VATtax et trade tax et ipc '!AI14</f>
        <v>8.2392437809861185</v>
      </c>
      <c r="W14" s="9">
        <v>1.4743464499495562</v>
      </c>
      <c r="X14">
        <f>'VATtax et trade tax et ipc '!AM14</f>
        <v>6.0267987679035508</v>
      </c>
      <c r="Y14">
        <v>17.954072546630425</v>
      </c>
      <c r="Z14">
        <v>15.643452994657418</v>
      </c>
      <c r="AA14">
        <v>0</v>
      </c>
      <c r="AB14">
        <v>1</v>
      </c>
      <c r="AC14">
        <v>7.593968520071118</v>
      </c>
    </row>
    <row r="15" spans="1:29" ht="14.4" x14ac:dyDescent="0.3">
      <c r="A15" t="s">
        <v>60</v>
      </c>
      <c r="B15" s="4">
        <f>Tx_croissance!AH15</f>
        <v>0.23678120276600101</v>
      </c>
      <c r="C15" s="4">
        <f t="shared" si="0"/>
        <v>10.254516041830103</v>
      </c>
      <c r="D15" s="4">
        <v>26.505854738571223</v>
      </c>
      <c r="E15" s="4">
        <v>1.1876734690773236</v>
      </c>
      <c r="F15" s="4">
        <v>-0.55437020864337683</v>
      </c>
      <c r="G15" s="4">
        <v>72.391037037037052</v>
      </c>
      <c r="H15" s="4">
        <v>0.94337776799996664</v>
      </c>
      <c r="I15" s="4">
        <v>96.945865631103473</v>
      </c>
      <c r="J15" s="4">
        <v>29.503661155700691</v>
      </c>
      <c r="K15" s="4">
        <v>3.1290701429049168</v>
      </c>
      <c r="L15" s="4">
        <v>1.2644202907880147</v>
      </c>
      <c r="M15" s="4">
        <v>0.58671983581249731</v>
      </c>
      <c r="N15" s="4">
        <v>0.75484676876415813</v>
      </c>
      <c r="O15" s="4">
        <v>0.98894457022349069</v>
      </c>
      <c r="P15">
        <v>28410.555903393575</v>
      </c>
      <c r="Q15">
        <v>12.933436461954535</v>
      </c>
      <c r="R15" t="e">
        <v>#DIV/0!</v>
      </c>
      <c r="S15">
        <v>0</v>
      </c>
      <c r="T15" t="e">
        <v>#DIV/0!</v>
      </c>
      <c r="U15">
        <v>42.184054564233165</v>
      </c>
      <c r="V15">
        <f>'VATtax et trade tax et ipc '!AI15</f>
        <v>5.7376245755868345</v>
      </c>
      <c r="W15" s="9">
        <v>5.1727749830925731</v>
      </c>
      <c r="X15" t="str">
        <f>'VATtax et trade tax et ipc '!AM15</f>
        <v>NA</v>
      </c>
      <c r="Y15">
        <v>17.346165062700496</v>
      </c>
      <c r="Z15">
        <v>25.438611840186642</v>
      </c>
      <c r="AA15">
        <v>0</v>
      </c>
      <c r="AB15">
        <v>0</v>
      </c>
      <c r="AC15">
        <v>35.734648357171551</v>
      </c>
    </row>
    <row r="16" spans="1:29" ht="14.4" x14ac:dyDescent="0.3">
      <c r="A16" t="s">
        <v>62</v>
      </c>
      <c r="B16" s="4">
        <f>Tx_croissance!AH16</f>
        <v>0.66403742863350157</v>
      </c>
      <c r="C16" s="4">
        <f t="shared" si="0"/>
        <v>9.9234553883798942</v>
      </c>
      <c r="D16" s="4">
        <v>23.467915963733702</v>
      </c>
      <c r="E16" s="4">
        <v>3.2461176321175373</v>
      </c>
      <c r="F16" s="4">
        <v>0.9119812759260334</v>
      </c>
      <c r="G16" s="4">
        <v>77.50811111111112</v>
      </c>
      <c r="H16" s="4">
        <v>-0.45629006046025694</v>
      </c>
      <c r="I16" s="4">
        <v>102.61713592529296</v>
      </c>
      <c r="J16" s="4">
        <v>155.73887207031257</v>
      </c>
      <c r="K16" s="4">
        <v>67.336748657226551</v>
      </c>
      <c r="L16" s="4">
        <v>0.20715693105012178</v>
      </c>
      <c r="M16" s="4">
        <v>0.68849758058786392</v>
      </c>
      <c r="N16" s="4">
        <v>0.42452548622774583</v>
      </c>
      <c r="O16" s="4">
        <v>-1.089448335270087</v>
      </c>
      <c r="P16">
        <v>20403.37053278352</v>
      </c>
      <c r="Q16">
        <v>4.8338217789062439</v>
      </c>
      <c r="R16">
        <v>27.343120147935743</v>
      </c>
      <c r="S16">
        <v>0</v>
      </c>
      <c r="T16">
        <v>4.3790231282251657</v>
      </c>
      <c r="U16">
        <v>23.769770551307246</v>
      </c>
      <c r="V16">
        <f>'VATtax et trade tax et ipc '!AI16</f>
        <v>0.31447792956420234</v>
      </c>
      <c r="W16" s="9">
        <v>0.63554918150039841</v>
      </c>
      <c r="X16">
        <f>'VATtax et trade tax et ipc '!AM16</f>
        <v>0.43292225646109023</v>
      </c>
      <c r="Y16">
        <v>4.7967629715723819</v>
      </c>
      <c r="Z16">
        <v>17.327453729537769</v>
      </c>
      <c r="AA16">
        <v>0</v>
      </c>
      <c r="AB16">
        <v>0</v>
      </c>
      <c r="AC16">
        <v>41.223080769984897</v>
      </c>
    </row>
    <row r="17" spans="1:29" ht="14.4" x14ac:dyDescent="0.3">
      <c r="A17" t="s">
        <v>64</v>
      </c>
      <c r="B17" s="4">
        <f>Tx_croissance!AH17</f>
        <v>4.3885533521681896</v>
      </c>
      <c r="C17" s="4">
        <f t="shared" si="0"/>
        <v>6.3273816844120958</v>
      </c>
      <c r="D17" s="4">
        <v>26.658803776755082</v>
      </c>
      <c r="E17" s="4">
        <v>1.4017431961220912</v>
      </c>
      <c r="F17" s="4">
        <v>0.45139073704679805</v>
      </c>
      <c r="G17" s="4">
        <v>67.719222222222228</v>
      </c>
      <c r="H17" s="4">
        <v>-1.1891144501666229</v>
      </c>
      <c r="I17" s="4">
        <v>103.30039073802801</v>
      </c>
      <c r="J17" s="4">
        <v>39.306518145969946</v>
      </c>
      <c r="K17" s="4">
        <v>8.4604723453521782</v>
      </c>
      <c r="L17" s="4">
        <v>-1.0820966064929955</v>
      </c>
      <c r="M17" s="4">
        <v>-0.93982781221469247</v>
      </c>
      <c r="N17" s="4">
        <v>-0.82140677918990479</v>
      </c>
      <c r="O17" s="4">
        <v>-0.48791287854934734</v>
      </c>
      <c r="P17">
        <v>559.68923064433318</v>
      </c>
      <c r="Q17">
        <v>7.5968698513679795</v>
      </c>
      <c r="R17">
        <v>25.449191727696032</v>
      </c>
      <c r="S17">
        <v>31.071428571428573</v>
      </c>
      <c r="T17">
        <v>20.23259379819903</v>
      </c>
      <c r="U17">
        <v>31.510095595475217</v>
      </c>
      <c r="V17">
        <f>'VATtax et trade tax et ipc '!AI17</f>
        <v>4.0092421201274986</v>
      </c>
      <c r="W17" s="9">
        <v>1.8015977669397973</v>
      </c>
      <c r="X17">
        <f>'VATtax et trade tax et ipc '!AM17</f>
        <v>2.5116353470973372</v>
      </c>
      <c r="Z17">
        <v>19.119795822139899</v>
      </c>
      <c r="AA17">
        <v>0</v>
      </c>
      <c r="AB17">
        <v>1</v>
      </c>
      <c r="AC17">
        <v>28.821819300350946</v>
      </c>
    </row>
    <row r="18" spans="1:29" ht="14.4" x14ac:dyDescent="0.3">
      <c r="A18" t="s">
        <v>66</v>
      </c>
      <c r="B18" s="4">
        <f>Tx_croissance!AH18</f>
        <v>0.57238029268311674</v>
      </c>
      <c r="C18" s="4">
        <f t="shared" si="0"/>
        <v>9.5623417185497779</v>
      </c>
      <c r="D18" s="4">
        <v>16.778978136657106</v>
      </c>
      <c r="E18" s="4">
        <v>0.26202587077539646</v>
      </c>
      <c r="F18" s="4">
        <v>-0.75506116574009263</v>
      </c>
      <c r="G18" s="4">
        <v>75.431555555555548</v>
      </c>
      <c r="H18" s="4">
        <v>1.0822522441546123</v>
      </c>
      <c r="I18" s="4">
        <v>67.930977574101206</v>
      </c>
      <c r="J18" s="4">
        <v>24.278902012368913</v>
      </c>
      <c r="K18" s="4">
        <v>3.9475651979446407</v>
      </c>
      <c r="L18" s="4">
        <v>1.4049003720283502</v>
      </c>
      <c r="M18" s="4">
        <v>0.75509912768999732</v>
      </c>
      <c r="N18" s="4">
        <v>0.9886083429058391</v>
      </c>
      <c r="O18" s="4">
        <v>1.125243768095969</v>
      </c>
      <c r="P18">
        <v>14219.104384243399</v>
      </c>
      <c r="Q18">
        <v>25.246765229102841</v>
      </c>
      <c r="R18">
        <v>34.357318956265907</v>
      </c>
      <c r="S18">
        <v>19.622222222222224</v>
      </c>
      <c r="T18">
        <v>31.820107898765343</v>
      </c>
      <c r="U18">
        <v>99.753457777147901</v>
      </c>
      <c r="V18">
        <f>'VATtax et trade tax et ipc '!AI18</f>
        <v>13.164133294525993</v>
      </c>
      <c r="W18" s="9">
        <v>2.5135495009841775</v>
      </c>
      <c r="X18">
        <f>'VATtax et trade tax et ipc '!AM18</f>
        <v>9.2873307831481515</v>
      </c>
      <c r="Z18">
        <v>11.661807580174926</v>
      </c>
      <c r="AA18">
        <v>0</v>
      </c>
      <c r="AB18">
        <v>0</v>
      </c>
      <c r="AC18">
        <v>9.1156997595478675</v>
      </c>
    </row>
    <row r="19" spans="1:29" ht="14.4" x14ac:dyDescent="0.3">
      <c r="A19" t="s">
        <v>68</v>
      </c>
      <c r="B19" s="4">
        <f>Tx_croissance!AH19</f>
        <v>4.5078850277210369</v>
      </c>
      <c r="C19" s="4">
        <f t="shared" si="0"/>
        <v>7.5424719955223853</v>
      </c>
      <c r="D19" s="4">
        <v>27.849920837981227</v>
      </c>
      <c r="E19" s="4">
        <v>-0.36706016942889519</v>
      </c>
      <c r="F19" s="4">
        <v>1.1357789325217409</v>
      </c>
      <c r="G19" s="4">
        <v>70.638431797651322</v>
      </c>
      <c r="H19" s="4">
        <v>7.8517445595935001E-2</v>
      </c>
      <c r="I19" s="4">
        <v>105.78866230357777</v>
      </c>
      <c r="J19" s="4">
        <v>55.475698471069336</v>
      </c>
      <c r="K19" s="4">
        <v>12.775785052258041</v>
      </c>
      <c r="L19" s="4">
        <v>-0.43211971931547538</v>
      </c>
      <c r="M19" s="4">
        <v>-1.1852768560250593</v>
      </c>
      <c r="N19" s="4">
        <v>-1.0220174665252373</v>
      </c>
      <c r="O19" s="4">
        <v>-1.4641736969351766</v>
      </c>
      <c r="P19">
        <v>1886.487655007038</v>
      </c>
      <c r="Q19">
        <v>17.440359913639085</v>
      </c>
      <c r="R19">
        <v>11.051499307910536</v>
      </c>
      <c r="S19">
        <v>15.879999999999999</v>
      </c>
      <c r="T19">
        <v>6.1935302321377366</v>
      </c>
      <c r="U19">
        <v>21.037599065203977</v>
      </c>
      <c r="V19">
        <f>'VATtax et trade tax et ipc '!AI19</f>
        <v>8.0357777669994697</v>
      </c>
      <c r="W19" s="9">
        <v>3.1923354359104668</v>
      </c>
      <c r="X19">
        <f>'VATtax et trade tax et ipc '!AM19</f>
        <v>0.8592833743809255</v>
      </c>
      <c r="Y19">
        <v>19.887646928000134</v>
      </c>
      <c r="Z19">
        <v>24.697906970997423</v>
      </c>
      <c r="AA19">
        <v>0</v>
      </c>
      <c r="AB19">
        <v>0</v>
      </c>
      <c r="AC19">
        <v>9.6035609643448758</v>
      </c>
    </row>
    <row r="20" spans="1:29" ht="14.4" x14ac:dyDescent="0.3">
      <c r="A20" t="s">
        <v>70</v>
      </c>
      <c r="B20" s="4">
        <f>Tx_croissance!AH20</f>
        <v>1.2814956810908829</v>
      </c>
      <c r="C20" s="4">
        <f t="shared" si="0"/>
        <v>10.352327939087159</v>
      </c>
      <c r="D20" s="4">
        <v>22.601563239267069</v>
      </c>
      <c r="E20" s="4">
        <v>0.5153448008838184</v>
      </c>
      <c r="F20" s="4">
        <v>-0.83133648025492801</v>
      </c>
      <c r="G20" s="4">
        <v>79.565085817524846</v>
      </c>
      <c r="H20" s="4">
        <v>0.77021380141377438</v>
      </c>
      <c r="I20" s="4">
        <v>101.35387703224461</v>
      </c>
      <c r="J20" s="4">
        <v>92.131931446216726</v>
      </c>
      <c r="K20" s="4">
        <v>55.878956547489871</v>
      </c>
      <c r="L20" s="4">
        <v>1.4378620435794194</v>
      </c>
      <c r="M20" s="4">
        <v>1.2696098834276202</v>
      </c>
      <c r="N20" s="4">
        <v>1.3549161205689126</v>
      </c>
      <c r="O20" s="4">
        <v>1.3580423792203267</v>
      </c>
      <c r="P20">
        <v>31329.892072750969</v>
      </c>
      <c r="Q20">
        <v>25.085864083239173</v>
      </c>
      <c r="R20">
        <v>57.613329009471109</v>
      </c>
      <c r="S20">
        <v>8.4999999999999982</v>
      </c>
      <c r="T20">
        <v>35.425657282590564</v>
      </c>
      <c r="U20">
        <v>106.06019635288365</v>
      </c>
      <c r="V20">
        <f>'VATtax et trade tax et ipc '!AI20</f>
        <v>10.118285378244192</v>
      </c>
      <c r="W20" s="9" t="str">
        <v>NA</v>
      </c>
      <c r="X20">
        <f>'VATtax et trade tax et ipc '!AM20</f>
        <v>13.953596962534847</v>
      </c>
      <c r="Y20">
        <v>25.622419403190001</v>
      </c>
      <c r="Z20">
        <v>21.231740740969485</v>
      </c>
      <c r="AA20">
        <v>0</v>
      </c>
      <c r="AB20">
        <v>0</v>
      </c>
      <c r="AC20" t="s">
        <v>37</v>
      </c>
    </row>
    <row r="21" spans="1:29" ht="14.4" x14ac:dyDescent="0.3">
      <c r="A21" t="s">
        <v>72</v>
      </c>
      <c r="B21" s="4">
        <f>Tx_croissance!AH21</f>
        <v>0.81824313359040168</v>
      </c>
      <c r="C21" s="4">
        <f t="shared" si="0"/>
        <v>8.5109322704450268</v>
      </c>
      <c r="D21" s="4">
        <v>17.747519291201105</v>
      </c>
      <c r="E21" s="4">
        <v>2.5506878923525811</v>
      </c>
      <c r="F21" s="4">
        <v>1.5396026074886324</v>
      </c>
      <c r="G21" s="4">
        <v>71.090037037037007</v>
      </c>
      <c r="H21" s="4">
        <v>0.21959279026486919</v>
      </c>
      <c r="I21" s="4">
        <v>96.892599626020967</v>
      </c>
      <c r="J21" s="4">
        <v>90.570099792480505</v>
      </c>
      <c r="K21" s="4">
        <v>40.954325834910073</v>
      </c>
      <c r="L21" s="4">
        <v>-0.1597543898193787</v>
      </c>
      <c r="M21" s="4">
        <v>-0.28267077387620998</v>
      </c>
      <c r="N21" s="4">
        <v>-0.39967278600670397</v>
      </c>
      <c r="O21" s="4">
        <v>0.65727730716268218</v>
      </c>
      <c r="P21">
        <v>4968.7931887733002</v>
      </c>
      <c r="Q21">
        <v>16.427326761904176</v>
      </c>
      <c r="R21">
        <v>27.729822837293973</v>
      </c>
      <c r="S21">
        <v>24.699999999999992</v>
      </c>
      <c r="T21">
        <v>23.391048858059929</v>
      </c>
      <c r="U21">
        <v>59.624879469442611</v>
      </c>
      <c r="V21">
        <f>'VATtax et trade tax et ipc '!AI21</f>
        <v>6.3035174909616023</v>
      </c>
      <c r="W21" s="9">
        <v>4.6893769431049082</v>
      </c>
      <c r="X21">
        <f>'VATtax et trade tax et ipc '!AM21</f>
        <v>4.621668311752023</v>
      </c>
      <c r="Y21">
        <v>14.243195780430598</v>
      </c>
      <c r="Z21">
        <v>19.561072392521289</v>
      </c>
      <c r="AA21">
        <v>0</v>
      </c>
      <c r="AB21">
        <v>0</v>
      </c>
      <c r="AC21">
        <v>43.637765876444639</v>
      </c>
    </row>
    <row r="22" spans="1:29" ht="14.4" x14ac:dyDescent="0.3">
      <c r="A22" t="s">
        <v>74</v>
      </c>
      <c r="B22" s="4">
        <f>Tx_croissance!AH22</f>
        <v>1.6630841791481776</v>
      </c>
      <c r="C22" s="4">
        <f t="shared" si="0"/>
        <v>6.690034911802015</v>
      </c>
      <c r="D22" s="4">
        <v>19.800556619233607</v>
      </c>
      <c r="E22" s="4">
        <v>2.9029332080211909</v>
      </c>
      <c r="F22" s="4">
        <v>-0.2037761025130749</v>
      </c>
      <c r="G22" s="4">
        <v>57.924814814814802</v>
      </c>
      <c r="H22" s="4">
        <v>0.25150337590215094</v>
      </c>
      <c r="I22" s="4" t="s">
        <v>37</v>
      </c>
      <c r="J22" s="4">
        <v>83.060658968411957</v>
      </c>
      <c r="K22" s="4">
        <v>14.3343200683594</v>
      </c>
      <c r="L22" s="4">
        <v>-0.54896374264111125</v>
      </c>
      <c r="M22" s="4">
        <v>-0.45623376220464706</v>
      </c>
      <c r="N22" s="4">
        <v>-0.50650970591232181</v>
      </c>
      <c r="O22" s="4">
        <v>0.18884808779694129</v>
      </c>
      <c r="P22">
        <v>804.3503329733785</v>
      </c>
      <c r="Q22">
        <v>12.269846926438937</v>
      </c>
      <c r="R22" t="e">
        <v>#DIV/0!</v>
      </c>
      <c r="S22">
        <v>15.426666666666669</v>
      </c>
      <c r="T22" t="e">
        <v>#DIV/0!</v>
      </c>
      <c r="U22" t="s">
        <v>37</v>
      </c>
      <c r="V22" t="str">
        <f>'VATtax et trade tax et ipc '!AI22</f>
        <v>NA</v>
      </c>
      <c r="W22" s="9" t="str">
        <v>NA</v>
      </c>
      <c r="X22" t="str">
        <f>'VATtax et trade tax et ipc '!AM22</f>
        <v>NA</v>
      </c>
      <c r="Z22">
        <v>17.564867383775333</v>
      </c>
      <c r="AA22">
        <v>0</v>
      </c>
      <c r="AB22">
        <v>1</v>
      </c>
      <c r="AC22" t="s">
        <v>37</v>
      </c>
    </row>
    <row r="23" spans="1:29" ht="14.4" x14ac:dyDescent="0.3">
      <c r="A23" t="s">
        <v>76</v>
      </c>
      <c r="B23" s="4">
        <f>Tx_croissance!AH23</f>
        <v>0.64051094214159221</v>
      </c>
      <c r="C23" s="4">
        <f t="shared" si="0"/>
        <v>11.402198102798769</v>
      </c>
      <c r="D23" s="4">
        <v>12.636802822959162</v>
      </c>
      <c r="E23" s="4">
        <v>0.24498999536849111</v>
      </c>
      <c r="F23" s="4">
        <v>-0.50903460569679737</v>
      </c>
      <c r="G23" s="4">
        <v>79.759666666666689</v>
      </c>
      <c r="H23" s="4">
        <v>0.89314560343821814</v>
      </c>
      <c r="I23" s="4">
        <v>93.126174926757798</v>
      </c>
      <c r="J23" s="4">
        <v>84.573197841644287</v>
      </c>
      <c r="K23" s="4">
        <v>35.5843851669975</v>
      </c>
      <c r="L23" s="4">
        <v>1.2607274850209549</v>
      </c>
      <c r="M23" s="4">
        <v>1.2075272972385092</v>
      </c>
      <c r="N23" s="4">
        <v>0.90820859426942946</v>
      </c>
      <c r="O23" s="4">
        <v>1.0565775593121844</v>
      </c>
      <c r="P23">
        <v>89518.277635025792</v>
      </c>
      <c r="Q23" t="s">
        <v>37</v>
      </c>
      <c r="R23" t="e">
        <v>#DIV/0!</v>
      </c>
      <c r="S23" t="e">
        <v>#DIV/0!</v>
      </c>
      <c r="T23" t="e">
        <v>#DIV/0!</v>
      </c>
      <c r="U23" t="s">
        <v>37</v>
      </c>
      <c r="V23" t="str">
        <f>'VATtax et trade tax et ipc '!AI23</f>
        <v>NA</v>
      </c>
      <c r="W23" s="9" t="str">
        <v>NA</v>
      </c>
      <c r="X23" t="str">
        <f>'VATtax et trade tax et ipc '!AM23</f>
        <v>NA</v>
      </c>
      <c r="AA23">
        <v>0</v>
      </c>
      <c r="AB23">
        <v>0</v>
      </c>
      <c r="AC23" t="s">
        <v>37</v>
      </c>
    </row>
    <row r="24" spans="1:29" ht="14.4" x14ac:dyDescent="0.3">
      <c r="A24" t="s">
        <v>78</v>
      </c>
      <c r="B24" s="4" t="str">
        <f>Tx_croissance!AH24</f>
        <v>NA</v>
      </c>
      <c r="C24" s="4">
        <f t="shared" si="0"/>
        <v>6.8505578055645202</v>
      </c>
      <c r="D24" s="4">
        <v>50.534339212943351</v>
      </c>
      <c r="E24" s="4">
        <v>1.4506694828291902</v>
      </c>
      <c r="F24" s="4">
        <v>1.1320169369379671</v>
      </c>
      <c r="G24" s="4">
        <v>66.759296296296313</v>
      </c>
      <c r="H24" s="4">
        <v>0.89031047622362802</v>
      </c>
      <c r="I24" s="4">
        <v>100.13653264726909</v>
      </c>
      <c r="J24" s="4">
        <v>98.674236899928118</v>
      </c>
      <c r="K24" s="4">
        <v>71.284453392028794</v>
      </c>
      <c r="L24" s="4">
        <v>1.0714155261715257</v>
      </c>
      <c r="M24" s="4">
        <v>-0.63584255644430698</v>
      </c>
      <c r="N24" s="4">
        <v>0.3395169259359439</v>
      </c>
      <c r="O24" s="4">
        <v>-0.47107942382960299</v>
      </c>
      <c r="P24">
        <v>944.40755556375018</v>
      </c>
      <c r="Q24">
        <v>9.2555309195788542</v>
      </c>
      <c r="R24">
        <v>53.832345142268636</v>
      </c>
      <c r="S24">
        <v>33.419999999999987</v>
      </c>
      <c r="T24">
        <v>18.025830508347923</v>
      </c>
      <c r="U24">
        <v>69.061865050533569</v>
      </c>
      <c r="V24">
        <f>'VATtax et trade tax et ipc '!AI24</f>
        <v>4.9238723050620337</v>
      </c>
      <c r="W24" s="9">
        <v>0.79130598017240472</v>
      </c>
      <c r="X24">
        <f>'VATtax et trade tax et ipc '!AM24</f>
        <v>6.2481379236624042</v>
      </c>
      <c r="Y24">
        <v>6.8982550376609373</v>
      </c>
      <c r="Z24">
        <v>42.317707532988983</v>
      </c>
      <c r="AA24">
        <v>0</v>
      </c>
      <c r="AB24">
        <v>1</v>
      </c>
      <c r="AC24">
        <v>3.2686867762393552</v>
      </c>
    </row>
    <row r="25" spans="1:29" ht="14.4" x14ac:dyDescent="0.3">
      <c r="A25" t="s">
        <v>80</v>
      </c>
      <c r="B25" s="4">
        <f>Tx_croissance!AH25</f>
        <v>1.9385795329555311</v>
      </c>
      <c r="C25" s="4">
        <f t="shared" si="0"/>
        <v>7.5319022304825305</v>
      </c>
      <c r="D25" s="4">
        <v>17.404930675773208</v>
      </c>
      <c r="E25" s="4">
        <v>1.6535912837442848</v>
      </c>
      <c r="F25" s="4">
        <v>0.46562960247198742</v>
      </c>
      <c r="G25" s="4">
        <v>64.634925925925927</v>
      </c>
      <c r="H25" s="4">
        <v>-0.45960037037730217</v>
      </c>
      <c r="I25" s="4">
        <v>115.0373487119322</v>
      </c>
      <c r="J25" s="4">
        <v>78.156678835550949</v>
      </c>
      <c r="K25" s="4">
        <v>21.133021137931127</v>
      </c>
      <c r="L25" s="4">
        <v>-0.68099136029680574</v>
      </c>
      <c r="M25" s="4">
        <v>-0.71039482906538376</v>
      </c>
      <c r="N25" s="4">
        <v>-0.90665773302316699</v>
      </c>
      <c r="O25" s="4">
        <v>-1.4136565761873532E-2</v>
      </c>
      <c r="P25">
        <v>1866.6529325816714</v>
      </c>
      <c r="Q25">
        <v>11.206035473413193</v>
      </c>
      <c r="R25">
        <v>11.104857692653866</v>
      </c>
      <c r="S25">
        <v>0</v>
      </c>
      <c r="T25">
        <v>6.6839740244379877</v>
      </c>
      <c r="U25">
        <v>54.801788215178057</v>
      </c>
      <c r="V25">
        <f>'VATtax et trade tax et ipc '!AI25</f>
        <v>4.4863966134292319</v>
      </c>
      <c r="W25" s="9">
        <v>0.37027744790764816</v>
      </c>
      <c r="X25">
        <f>'VATtax et trade tax et ipc '!AM25</f>
        <v>0.70856583689499941</v>
      </c>
      <c r="Y25">
        <v>9.7223294940958542</v>
      </c>
      <c r="Z25">
        <v>15.533527147692599</v>
      </c>
      <c r="AA25">
        <v>0</v>
      </c>
      <c r="AB25">
        <v>1</v>
      </c>
      <c r="AC25">
        <v>7.1759693649465479</v>
      </c>
    </row>
    <row r="26" spans="1:29" ht="14.4" x14ac:dyDescent="0.3">
      <c r="A26" t="s">
        <v>82</v>
      </c>
      <c r="B26" s="4">
        <f>Tx_croissance!AH26</f>
        <v>7.9975228122102671</v>
      </c>
      <c r="C26" s="4">
        <f t="shared" si="0"/>
        <v>6.6651978681911501</v>
      </c>
      <c r="D26" s="4">
        <v>24.760236629866544</v>
      </c>
      <c r="E26" s="4">
        <v>-0.54094737012553695</v>
      </c>
      <c r="F26" s="4">
        <v>-0.51303611695766438</v>
      </c>
      <c r="G26" s="4">
        <v>75.672074074074075</v>
      </c>
      <c r="H26" s="4">
        <v>-0.45036886058126885</v>
      </c>
      <c r="I26" s="4">
        <v>104.79966697692862</v>
      </c>
      <c r="J26" s="4">
        <v>88.698726654052734</v>
      </c>
      <c r="K26" s="4">
        <v>33.223890304565423</v>
      </c>
      <c r="L26" s="4">
        <v>-0.42206777880589169</v>
      </c>
      <c r="M26" s="4">
        <v>-0.29567339938754822</v>
      </c>
      <c r="N26" s="4">
        <v>-0.36336777545511723</v>
      </c>
      <c r="O26" s="4">
        <v>-7.5485842127818573E-2</v>
      </c>
      <c r="P26">
        <v>784.61870070541556</v>
      </c>
      <c r="Q26">
        <v>19.921778238340799</v>
      </c>
      <c r="R26">
        <v>12.128133796668855</v>
      </c>
      <c r="S26">
        <v>11.166666666666666</v>
      </c>
      <c r="T26">
        <v>6.2870853915366167</v>
      </c>
      <c r="U26">
        <v>47.350149061287588</v>
      </c>
      <c r="V26">
        <f>'VATtax et trade tax et ipc '!AI26</f>
        <v>21.712007434436501</v>
      </c>
      <c r="W26" s="9">
        <v>0.54791373582601843</v>
      </c>
      <c r="X26">
        <f>'VATtax et trade tax et ipc '!AM26</f>
        <v>3.3420054246105124</v>
      </c>
      <c r="Z26">
        <v>12.26847306137001</v>
      </c>
      <c r="AA26">
        <v>0</v>
      </c>
      <c r="AB26">
        <v>1</v>
      </c>
      <c r="AC26">
        <v>3.41753388620354</v>
      </c>
    </row>
    <row r="27" spans="1:29" ht="14.4" x14ac:dyDescent="0.3">
      <c r="A27" t="s">
        <v>84</v>
      </c>
      <c r="B27" s="4">
        <f>Tx_croissance!AH27</f>
        <v>1.6572814937970026</v>
      </c>
      <c r="C27" s="4">
        <f t="shared" si="0"/>
        <v>8.359713516676063</v>
      </c>
      <c r="D27" s="4">
        <v>26.430882278831803</v>
      </c>
      <c r="E27" s="4">
        <v>1.9973978547097797</v>
      </c>
      <c r="F27" s="4">
        <v>-0.78058553114533469</v>
      </c>
      <c r="G27" s="4">
        <v>57.751111111111101</v>
      </c>
      <c r="H27" s="4">
        <v>1.0226195032397905</v>
      </c>
      <c r="I27" s="4" t="s">
        <v>37</v>
      </c>
      <c r="J27" s="4">
        <v>76.921760559082017</v>
      </c>
      <c r="K27" s="4" t="s">
        <v>37</v>
      </c>
      <c r="L27" s="4">
        <v>0.85730212926864591</v>
      </c>
      <c r="M27" s="4">
        <v>0.66657609492540359</v>
      </c>
      <c r="N27" s="4">
        <v>0.52307551354169846</v>
      </c>
      <c r="O27" s="4">
        <v>0.53779006625215209</v>
      </c>
      <c r="P27">
        <v>4271.4708859156899</v>
      </c>
      <c r="Q27">
        <v>24.130139805262637</v>
      </c>
      <c r="R27">
        <v>41.685926806084211</v>
      </c>
      <c r="S27">
        <v>19.213333333333331</v>
      </c>
      <c r="T27">
        <v>26.27628020756374</v>
      </c>
      <c r="U27">
        <v>15.464161355958963</v>
      </c>
      <c r="V27">
        <f>'VATtax et trade tax et ipc '!AI27</f>
        <v>5.9470779745916706</v>
      </c>
      <c r="W27" s="9">
        <v>11.656960148040167</v>
      </c>
      <c r="X27">
        <f>'VATtax et trade tax et ipc '!AM27</f>
        <v>12.011415138691635</v>
      </c>
      <c r="Y27">
        <v>16.765795854874867</v>
      </c>
      <c r="Z27">
        <v>26.977627304753625</v>
      </c>
      <c r="AA27">
        <v>0</v>
      </c>
      <c r="AB27">
        <v>0</v>
      </c>
      <c r="AC27">
        <v>39.280682345129875</v>
      </c>
    </row>
    <row r="28" spans="1:29" ht="14.4" x14ac:dyDescent="0.3">
      <c r="A28" t="s">
        <v>86</v>
      </c>
      <c r="B28" s="4">
        <f>Tx_croissance!AH28</f>
        <v>1.1274772069382433</v>
      </c>
      <c r="C28" s="4">
        <f t="shared" si="0"/>
        <v>8.7833224905254124</v>
      </c>
      <c r="D28" s="4">
        <v>18.155146960100719</v>
      </c>
      <c r="E28" s="4">
        <v>1.0386143950645204</v>
      </c>
      <c r="F28" s="4">
        <v>0.43479059884945542</v>
      </c>
      <c r="G28" s="4">
        <v>72.110111111111109</v>
      </c>
      <c r="H28" s="4">
        <v>-0.22298418984670806</v>
      </c>
      <c r="I28" s="4">
        <v>114.16318130493168</v>
      </c>
      <c r="J28" s="4">
        <v>102.71184234619132</v>
      </c>
      <c r="K28" s="4">
        <v>41.292827752920317</v>
      </c>
      <c r="L28" s="4">
        <v>-0.18316957672747469</v>
      </c>
      <c r="M28" s="4">
        <v>3.7600805439675831E-2</v>
      </c>
      <c r="N28" s="4">
        <v>-0.22986734705045811</v>
      </c>
      <c r="O28" s="4">
        <v>0.41737558444341022</v>
      </c>
      <c r="P28">
        <v>6524.5188533732226</v>
      </c>
      <c r="Q28">
        <v>13.975226342190554</v>
      </c>
      <c r="R28">
        <v>51.190242239652932</v>
      </c>
      <c r="S28">
        <v>22.342857142857145</v>
      </c>
      <c r="T28">
        <v>25.028306063894782</v>
      </c>
      <c r="U28">
        <v>74.247132321351103</v>
      </c>
      <c r="V28">
        <f>'VATtax et trade tax et ipc '!AI28</f>
        <v>9.4143722960603213</v>
      </c>
      <c r="W28" s="9">
        <v>0.99148006919935083</v>
      </c>
      <c r="X28">
        <f>'VATtax et trade tax et ipc '!AM28</f>
        <v>11.983305971715279</v>
      </c>
      <c r="Z28">
        <v>20.286297620941408</v>
      </c>
      <c r="AA28">
        <v>0</v>
      </c>
      <c r="AB28">
        <v>0</v>
      </c>
      <c r="AC28">
        <v>4.3004342003287102</v>
      </c>
    </row>
    <row r="29" spans="1:29" ht="14.4" x14ac:dyDescent="0.3">
      <c r="A29" t="s">
        <v>88</v>
      </c>
      <c r="B29" s="4" t="str">
        <f>Tx_croissance!AH29</f>
        <v>NA</v>
      </c>
      <c r="C29" s="4" t="str">
        <f t="shared" si="0"/>
        <v>NA</v>
      </c>
      <c r="D29" s="4" t="s">
        <v>37</v>
      </c>
      <c r="E29" s="4">
        <v>2.1274138308832393</v>
      </c>
      <c r="F29" s="4">
        <v>-0.22076099878177047</v>
      </c>
      <c r="G29" s="4">
        <v>74.936481481481465</v>
      </c>
      <c r="H29" s="4" t="s">
        <v>37</v>
      </c>
      <c r="I29" s="4">
        <v>99.755564256147949</v>
      </c>
      <c r="J29" s="4">
        <v>107.51421598954634</v>
      </c>
      <c r="K29" s="4">
        <v>55.078339168003637</v>
      </c>
      <c r="L29" s="4" t="s">
        <v>37</v>
      </c>
      <c r="M29" s="4" t="s">
        <v>37</v>
      </c>
      <c r="N29" s="4" t="s">
        <v>37</v>
      </c>
      <c r="O29" s="4" t="s">
        <v>37</v>
      </c>
      <c r="P29" t="s">
        <v>37</v>
      </c>
      <c r="Q29" t="s">
        <v>37</v>
      </c>
      <c r="R29" t="e">
        <v>#DIV/0!</v>
      </c>
      <c r="S29" t="e">
        <v>#DIV/0!</v>
      </c>
      <c r="T29" t="e">
        <v>#DIV/0!</v>
      </c>
      <c r="U29" t="s">
        <v>37</v>
      </c>
      <c r="V29" t="str">
        <f>'VATtax et trade tax et ipc '!AI29</f>
        <v>NA</v>
      </c>
      <c r="W29" s="9" t="str">
        <v>NA</v>
      </c>
      <c r="X29" t="str">
        <f>'VATtax et trade tax et ipc '!AM29</f>
        <v>NA</v>
      </c>
      <c r="AA29">
        <v>0</v>
      </c>
      <c r="AB29">
        <v>0</v>
      </c>
      <c r="AC29" t="s">
        <v>37</v>
      </c>
    </row>
    <row r="30" spans="1:29" ht="14.4" x14ac:dyDescent="0.3">
      <c r="A30" t="s">
        <v>90</v>
      </c>
      <c r="B30" s="4">
        <f>Tx_croissance!AH30</f>
        <v>-0.75369466003554209</v>
      </c>
      <c r="C30" s="4">
        <f t="shared" si="0"/>
        <v>10.477734164711583</v>
      </c>
      <c r="D30" s="4">
        <v>26.477194116886245</v>
      </c>
      <c r="E30" s="4">
        <v>1.537486311880105</v>
      </c>
      <c r="F30" s="4">
        <v>0.96167487775286109</v>
      </c>
      <c r="G30" s="4">
        <v>74.443962962962956</v>
      </c>
      <c r="H30" s="4">
        <v>1.1823547755678496</v>
      </c>
      <c r="I30" s="4">
        <v>102.4183000417857</v>
      </c>
      <c r="J30" s="4">
        <v>87.681695689325736</v>
      </c>
      <c r="K30" s="4">
        <v>20.312394432399579</v>
      </c>
      <c r="L30" s="4">
        <v>0.608666678269704</v>
      </c>
      <c r="M30" s="4">
        <v>0.95820407072703029</v>
      </c>
      <c r="N30" s="4">
        <v>0.58958852011710394</v>
      </c>
      <c r="O30" s="4">
        <v>-0.79594648381074273</v>
      </c>
      <c r="P30">
        <v>35515.843252588296</v>
      </c>
      <c r="Q30" t="s">
        <v>37</v>
      </c>
      <c r="R30" t="e">
        <v>#DIV/0!</v>
      </c>
      <c r="S30">
        <v>11.507142857142856</v>
      </c>
      <c r="T30" t="e">
        <v>#DIV/0!</v>
      </c>
      <c r="U30" t="s">
        <v>37</v>
      </c>
      <c r="V30" t="str">
        <f>'VATtax et trade tax et ipc '!AI30</f>
        <v>NA</v>
      </c>
      <c r="W30" s="9" t="str">
        <v>NA</v>
      </c>
      <c r="X30" t="str">
        <f>'VATtax et trade tax et ipc '!AM30</f>
        <v>NA</v>
      </c>
      <c r="Z30">
        <v>36.661698956780924</v>
      </c>
      <c r="AA30">
        <v>0</v>
      </c>
      <c r="AB30">
        <v>0</v>
      </c>
      <c r="AC30" t="s">
        <v>37</v>
      </c>
    </row>
    <row r="31" spans="1:29" ht="14.4" x14ac:dyDescent="0.3">
      <c r="A31" t="s">
        <v>92</v>
      </c>
      <c r="B31" s="4">
        <f>Tx_croissance!AH31</f>
        <v>3.2515765098376948</v>
      </c>
      <c r="C31" s="4">
        <f t="shared" si="0"/>
        <v>8.3004406307875858</v>
      </c>
      <c r="D31" s="4">
        <v>19.762658405448558</v>
      </c>
      <c r="E31" s="4">
        <v>-0.95353455741038318</v>
      </c>
      <c r="F31" s="4">
        <v>-2.1032883708054829E-2</v>
      </c>
      <c r="G31" s="4">
        <v>72.952646793134605</v>
      </c>
      <c r="H31" s="4">
        <v>0.28493552765576169</v>
      </c>
      <c r="I31" s="4">
        <v>94.839586257934585</v>
      </c>
      <c r="J31" s="4">
        <v>62.908112049102797</v>
      </c>
      <c r="K31" s="4">
        <v>10.06249213218689</v>
      </c>
      <c r="L31" s="4">
        <v>-0.21097232548830416</v>
      </c>
      <c r="M31" s="4">
        <v>0.52859139132002986</v>
      </c>
      <c r="N31" s="4">
        <v>-0.12190506809080633</v>
      </c>
      <c r="O31" s="4">
        <v>0.45300525923569995</v>
      </c>
      <c r="P31">
        <v>4025.6458265701817</v>
      </c>
      <c r="Q31">
        <v>19.40170383341087</v>
      </c>
      <c r="R31">
        <v>28.876291193857679</v>
      </c>
      <c r="S31">
        <v>5.1933333333333334</v>
      </c>
      <c r="T31">
        <v>15.908964098414522</v>
      </c>
      <c r="U31">
        <v>35.144067210550638</v>
      </c>
      <c r="V31">
        <f>'VATtax et trade tax et ipc '!AI31</f>
        <v>13.424182754316085</v>
      </c>
      <c r="W31" s="9">
        <v>0.18066000452130176</v>
      </c>
      <c r="X31">
        <f>'VATtax et trade tax et ipc '!AM31</f>
        <v>5.2190909568991364</v>
      </c>
      <c r="Y31">
        <v>11.15666426532735</v>
      </c>
      <c r="Z31">
        <v>16.668561085603958</v>
      </c>
      <c r="AA31">
        <v>0</v>
      </c>
      <c r="AB31">
        <v>0</v>
      </c>
      <c r="AC31">
        <v>2.9037661015694529</v>
      </c>
    </row>
    <row r="32" spans="1:29" ht="14.4" x14ac:dyDescent="0.3">
      <c r="A32" t="s">
        <v>94</v>
      </c>
      <c r="B32" s="4">
        <f>Tx_croissance!AH32</f>
        <v>2.7088643373257115</v>
      </c>
      <c r="C32" s="4">
        <f t="shared" si="0"/>
        <v>5.8748968569886744</v>
      </c>
      <c r="D32" s="4">
        <v>18.681560892210189</v>
      </c>
      <c r="E32" s="4">
        <v>2.8912110379816371</v>
      </c>
      <c r="F32" s="4">
        <v>-0.71028563628594077</v>
      </c>
      <c r="G32" s="4">
        <v>54.921555555555557</v>
      </c>
      <c r="H32" s="4">
        <v>-0.52705766540020649</v>
      </c>
      <c r="I32" s="4">
        <v>102.91693840026861</v>
      </c>
      <c r="J32" s="4">
        <v>73.603632119985747</v>
      </c>
      <c r="K32" s="4">
        <v>15.048077640533448</v>
      </c>
      <c r="L32" s="4">
        <v>-0.1942563413952787</v>
      </c>
      <c r="M32" s="4">
        <v>-0.3229311760514974</v>
      </c>
      <c r="N32" s="4">
        <v>-0.51396337586144603</v>
      </c>
      <c r="O32" s="4">
        <v>-0.27706748154014343</v>
      </c>
      <c r="P32">
        <v>355.9879411088869</v>
      </c>
      <c r="Q32">
        <v>12.702878477261086</v>
      </c>
      <c r="R32">
        <v>26.265196250332401</v>
      </c>
      <c r="S32">
        <v>16.619999999999994</v>
      </c>
      <c r="T32">
        <v>18.570684914864678</v>
      </c>
      <c r="U32">
        <v>55.439710116787261</v>
      </c>
      <c r="V32">
        <f>'VATtax et trade tax et ipc '!AI32</f>
        <v>8.5054230556997421</v>
      </c>
      <c r="W32" s="9">
        <v>2.4602460131492179</v>
      </c>
      <c r="X32">
        <f>'VATtax et trade tax et ipc '!AM32</f>
        <v>4.356467089305017</v>
      </c>
      <c r="Z32">
        <v>22.479806726741398</v>
      </c>
      <c r="AA32">
        <v>0</v>
      </c>
      <c r="AB32">
        <v>1</v>
      </c>
      <c r="AC32">
        <v>15.793083498123409</v>
      </c>
    </row>
    <row r="33" spans="1:29" ht="14.4" x14ac:dyDescent="0.3">
      <c r="A33" t="s">
        <v>96</v>
      </c>
      <c r="B33" s="4">
        <f>Tx_croissance!AH33</f>
        <v>-1.107068748530704</v>
      </c>
      <c r="C33" s="4">
        <f t="shared" si="0"/>
        <v>5.8696250538761561</v>
      </c>
      <c r="D33" s="4">
        <v>11.193934815537336</v>
      </c>
      <c r="E33" s="4">
        <v>2.9860086360575067</v>
      </c>
      <c r="F33" s="4">
        <v>-1.3055630922317503</v>
      </c>
      <c r="G33" s="4">
        <v>54.540592592592603</v>
      </c>
      <c r="H33" s="4">
        <v>-1.7116443564494441</v>
      </c>
      <c r="I33" s="4">
        <v>72.826495306832427</v>
      </c>
      <c r="J33" s="4">
        <v>13.562921387808657</v>
      </c>
      <c r="K33" s="4">
        <v>2.1412544647852583</v>
      </c>
      <c r="L33" s="4">
        <v>-1.1802308112382891</v>
      </c>
      <c r="M33" s="4">
        <v>-1.0978512391448019</v>
      </c>
      <c r="N33" s="4">
        <v>-1.2744364961981776</v>
      </c>
      <c r="O33" s="4">
        <v>-1.1844698737065</v>
      </c>
      <c r="P33">
        <v>354.11618088360126</v>
      </c>
      <c r="Q33" t="s">
        <v>37</v>
      </c>
      <c r="R33">
        <v>24.565343803606012</v>
      </c>
      <c r="S33">
        <v>25.619999999999997</v>
      </c>
      <c r="T33">
        <v>17.21988941398876</v>
      </c>
      <c r="U33">
        <v>144.22052705661184</v>
      </c>
      <c r="V33">
        <f>'VATtax et trade tax et ipc '!AI33</f>
        <v>0.82351818082293737</v>
      </c>
      <c r="W33" s="9">
        <v>0.44399097893075001</v>
      </c>
      <c r="X33">
        <f>'VATtax et trade tax et ipc '!AM33</f>
        <v>0.41593261964379441</v>
      </c>
      <c r="Y33">
        <v>16.678206578459065</v>
      </c>
      <c r="Z33">
        <v>6.4429993536653658</v>
      </c>
      <c r="AA33">
        <v>0</v>
      </c>
      <c r="AB33">
        <v>1</v>
      </c>
      <c r="AC33">
        <v>18.121549291259484</v>
      </c>
    </row>
    <row r="34" spans="1:29" ht="14.4" x14ac:dyDescent="0.3">
      <c r="A34" t="s">
        <v>98</v>
      </c>
      <c r="B34" s="4">
        <f>Tx_croissance!AH34</f>
        <v>3.8240248248575082</v>
      </c>
      <c r="C34" s="4">
        <f t="shared" si="0"/>
        <v>7.145730700877726</v>
      </c>
      <c r="D34" s="4" t="s">
        <v>37</v>
      </c>
      <c r="E34" s="4">
        <v>1.3923290035708746</v>
      </c>
      <c r="F34" s="4">
        <v>1.5781369403980321E-2</v>
      </c>
      <c r="G34" s="4">
        <v>72.108037037037036</v>
      </c>
      <c r="H34" s="4">
        <v>0.86119937027494087</v>
      </c>
      <c r="I34" s="4">
        <v>99.134542050568911</v>
      </c>
      <c r="J34" s="4">
        <v>106.40358768809917</v>
      </c>
      <c r="K34" s="4">
        <v>68.096207573300319</v>
      </c>
      <c r="L34" s="4">
        <v>0.85061408703525843</v>
      </c>
      <c r="M34" s="4">
        <v>-0.14638214080514442</v>
      </c>
      <c r="N34" s="4">
        <v>0.49301043028632785</v>
      </c>
      <c r="O34" s="4">
        <v>0.86588946357369423</v>
      </c>
      <c r="P34">
        <v>1268.6780107411025</v>
      </c>
      <c r="Q34">
        <v>17.988902923349805</v>
      </c>
      <c r="R34">
        <v>30.578555310957412</v>
      </c>
      <c r="S34">
        <v>19.373333333333331</v>
      </c>
      <c r="T34">
        <v>18.595746871531581</v>
      </c>
      <c r="U34" t="s">
        <v>37</v>
      </c>
      <c r="V34">
        <f>'VATtax et trade tax et ipc '!AI34</f>
        <v>10.288914902226292</v>
      </c>
      <c r="W34" s="9">
        <v>4.1933457755480097</v>
      </c>
      <c r="X34">
        <f>'VATtax et trade tax et ipc '!AM34</f>
        <v>6.3904352900116255</v>
      </c>
      <c r="AA34">
        <v>0</v>
      </c>
      <c r="AB34">
        <v>1</v>
      </c>
      <c r="AC34">
        <v>19.578391970124727</v>
      </c>
    </row>
    <row r="35" spans="1:29" ht="14.4" x14ac:dyDescent="0.3">
      <c r="A35" t="s">
        <v>100</v>
      </c>
      <c r="B35" s="4">
        <f>Tx_croissance!AH35</f>
        <v>5.1987922136586873</v>
      </c>
      <c r="C35" s="4">
        <f t="shared" si="0"/>
        <v>5.9373313772636376</v>
      </c>
      <c r="D35" s="4">
        <v>18.68954707754127</v>
      </c>
      <c r="E35" s="4">
        <v>1.6256615120908171</v>
      </c>
      <c r="F35" s="4">
        <v>-0.78932999322811781</v>
      </c>
      <c r="G35" s="4">
        <v>64.998222222222225</v>
      </c>
      <c r="H35" s="4">
        <v>-0.3287812447330602</v>
      </c>
      <c r="I35" s="4">
        <v>102.53374833327085</v>
      </c>
      <c r="J35" s="4">
        <v>98.211111450195233</v>
      </c>
      <c r="K35" s="4">
        <v>50.570208916297332</v>
      </c>
      <c r="L35" s="4">
        <v>-1.1679486483335504</v>
      </c>
      <c r="M35" s="4">
        <v>-0.46765459515154367</v>
      </c>
      <c r="N35" s="4">
        <v>-1.0834277917941411</v>
      </c>
      <c r="O35" s="4">
        <v>-1.0185148318608601</v>
      </c>
      <c r="P35">
        <v>378.92237820650183</v>
      </c>
      <c r="Q35">
        <v>12.198873944291638</v>
      </c>
      <c r="R35">
        <v>19.106239572437666</v>
      </c>
      <c r="S35">
        <v>19.319999999999997</v>
      </c>
      <c r="T35">
        <v>13.931059566410756</v>
      </c>
      <c r="U35" t="s">
        <v>37</v>
      </c>
      <c r="V35">
        <f>'VATtax et trade tax et ipc '!AI35</f>
        <v>9.8419962005871291</v>
      </c>
      <c r="W35" s="9">
        <v>2.9951230006746683</v>
      </c>
      <c r="X35">
        <f>'VATtax et trade tax et ipc '!AM35</f>
        <v>3.9723906013340304</v>
      </c>
      <c r="Z35">
        <v>13.916832948061622</v>
      </c>
      <c r="AA35">
        <v>0</v>
      </c>
      <c r="AB35">
        <v>1</v>
      </c>
      <c r="AC35">
        <v>20.012258552446987</v>
      </c>
    </row>
    <row r="36" spans="1:29" ht="14.4" x14ac:dyDescent="0.3">
      <c r="A36" t="s">
        <v>102</v>
      </c>
      <c r="B36" s="4">
        <f>Tx_croissance!AH36</f>
        <v>1.1824100790988723</v>
      </c>
      <c r="C36" s="4">
        <f t="shared" si="0"/>
        <v>6.956266035762277</v>
      </c>
      <c r="D36" s="4">
        <v>18.571177776825319</v>
      </c>
      <c r="E36" s="4">
        <v>2.7710439629573416</v>
      </c>
      <c r="F36" s="4">
        <v>-0.88050299386183417</v>
      </c>
      <c r="G36" s="4">
        <v>56.344259259259253</v>
      </c>
      <c r="H36" s="4">
        <v>-0.81236008057991693</v>
      </c>
      <c r="I36" s="4" t="s">
        <v>37</v>
      </c>
      <c r="J36" s="4" t="s">
        <v>37</v>
      </c>
      <c r="K36" s="4" t="s">
        <v>37</v>
      </c>
      <c r="L36" s="4">
        <v>-1.1602667396267268</v>
      </c>
      <c r="M36" s="4">
        <v>-0.87568120410044969</v>
      </c>
      <c r="N36" s="4">
        <v>-1.1248984858393667</v>
      </c>
      <c r="O36" s="4">
        <v>-1.0582847371697428</v>
      </c>
      <c r="P36">
        <v>1049.7066632233832</v>
      </c>
      <c r="Q36">
        <v>10.26904243466195</v>
      </c>
      <c r="R36">
        <v>29.234388878141356</v>
      </c>
      <c r="S36">
        <v>31.766666666666659</v>
      </c>
      <c r="T36">
        <v>22.387120347739014</v>
      </c>
      <c r="U36">
        <v>90.182967199400721</v>
      </c>
      <c r="V36">
        <f>'VATtax et trade tax et ipc '!AI36</f>
        <v>6.8490888410333373</v>
      </c>
      <c r="W36" s="9">
        <v>2.3225539500524324</v>
      </c>
      <c r="X36">
        <f>'VATtax et trade tax et ipc '!AM36</f>
        <v>4.1975948232901636</v>
      </c>
      <c r="Y36">
        <v>7.1836689710836801</v>
      </c>
      <c r="Z36">
        <v>17.333570646268665</v>
      </c>
      <c r="AA36">
        <v>0</v>
      </c>
      <c r="AB36">
        <v>1</v>
      </c>
      <c r="AC36">
        <v>17.959751061626779</v>
      </c>
    </row>
    <row r="37" spans="1:29" ht="14.4" x14ac:dyDescent="0.3">
      <c r="A37" t="s">
        <v>104</v>
      </c>
      <c r="B37" s="4">
        <f>Tx_croissance!AH37</f>
        <v>1.1936863136035925</v>
      </c>
      <c r="C37" s="4">
        <f t="shared" si="0"/>
        <v>10.39244271252443</v>
      </c>
      <c r="D37" s="4">
        <v>22.067825032743094</v>
      </c>
      <c r="E37" s="4">
        <v>1.0515855445938436</v>
      </c>
      <c r="F37" s="4">
        <v>1.7686002900203064</v>
      </c>
      <c r="G37" s="4">
        <v>80.547308943089433</v>
      </c>
      <c r="H37" s="4">
        <v>1.0500719820459687</v>
      </c>
      <c r="I37" s="4">
        <v>101.98572723388665</v>
      </c>
      <c r="J37" s="4">
        <v>94.32557014797051</v>
      </c>
      <c r="K37" s="4">
        <v>61.490331503061149</v>
      </c>
      <c r="L37" s="4">
        <v>1.8909337023893993</v>
      </c>
      <c r="M37" s="4">
        <v>1.6459304491678868</v>
      </c>
      <c r="N37" s="4">
        <v>1.725627576311429</v>
      </c>
      <c r="O37" s="4">
        <v>1.4662966827551525</v>
      </c>
      <c r="P37">
        <v>32612.232026779377</v>
      </c>
      <c r="Q37">
        <v>13.205866010956219</v>
      </c>
      <c r="R37">
        <v>76.32988824427629</v>
      </c>
      <c r="S37">
        <v>10.90666666666667</v>
      </c>
      <c r="T37">
        <v>53.395991757190295</v>
      </c>
      <c r="U37">
        <v>57.577368611460194</v>
      </c>
      <c r="V37">
        <f>'VATtax et trade tax et ipc '!AI37</f>
        <v>2.7428266813205955</v>
      </c>
      <c r="W37" s="9">
        <v>0.24116830614708989</v>
      </c>
      <c r="X37">
        <f>'VATtax et trade tax et ipc '!AM37</f>
        <v>9.9209641781121505</v>
      </c>
      <c r="Y37">
        <v>13.287062255522647</v>
      </c>
      <c r="Z37">
        <v>18.34730003210597</v>
      </c>
      <c r="AA37">
        <v>0</v>
      </c>
      <c r="AB37">
        <v>0</v>
      </c>
      <c r="AC37" t="s">
        <v>37</v>
      </c>
    </row>
    <row r="38" spans="1:29" ht="14.4" x14ac:dyDescent="0.3">
      <c r="A38" t="s">
        <v>106</v>
      </c>
      <c r="B38" s="4" t="str">
        <f>Tx_croissance!AH38</f>
        <v>NA</v>
      </c>
      <c r="C38" s="4" t="str">
        <f t="shared" si="0"/>
        <v>NA</v>
      </c>
      <c r="D38" s="4" t="s">
        <v>37</v>
      </c>
      <c r="E38" s="4">
        <v>2.7944841235053901</v>
      </c>
      <c r="F38" s="4">
        <v>1.3340246975421908</v>
      </c>
      <c r="G38" s="4">
        <v>82.190243902439036</v>
      </c>
      <c r="H38" s="4">
        <v>1.1169589857260385</v>
      </c>
      <c r="I38" s="4">
        <v>103.89109455455424</v>
      </c>
      <c r="J38" s="4">
        <v>77.333902972677478</v>
      </c>
      <c r="K38" s="4">
        <v>29.060356889452247</v>
      </c>
      <c r="L38" s="4">
        <v>0.99684620276093427</v>
      </c>
      <c r="M38" s="4">
        <v>1.1143373176455498</v>
      </c>
      <c r="N38" s="4">
        <v>0.97377473364273737</v>
      </c>
      <c r="O38" s="4">
        <v>0.79565808052817977</v>
      </c>
      <c r="P38" t="s">
        <v>37</v>
      </c>
      <c r="Q38" t="s">
        <v>37</v>
      </c>
      <c r="R38" t="e">
        <v>#DIV/0!</v>
      </c>
      <c r="S38" t="e">
        <v>#DIV/0!</v>
      </c>
      <c r="T38" t="e">
        <v>#DIV/0!</v>
      </c>
      <c r="U38" t="s">
        <v>37</v>
      </c>
      <c r="V38" t="str">
        <f>'VATtax et trade tax et ipc '!AI38</f>
        <v>NA</v>
      </c>
      <c r="W38" s="9" t="str">
        <v>NA</v>
      </c>
      <c r="X38" t="str">
        <f>'VATtax et trade tax et ipc '!AM38</f>
        <v>NA</v>
      </c>
      <c r="AA38">
        <v>0</v>
      </c>
      <c r="AB38">
        <v>0</v>
      </c>
      <c r="AC38" t="s">
        <v>37</v>
      </c>
    </row>
    <row r="39" spans="1:29" ht="14.4" x14ac:dyDescent="0.3">
      <c r="A39" t="s">
        <v>108</v>
      </c>
      <c r="B39" s="4">
        <f>Tx_croissance!AH39</f>
        <v>-0.99971072743909595</v>
      </c>
      <c r="C39" s="4">
        <f t="shared" si="0"/>
        <v>6.1703299190968757</v>
      </c>
      <c r="D39" s="4">
        <v>12.951630086636689</v>
      </c>
      <c r="E39" s="4">
        <v>1.9988947620624542</v>
      </c>
      <c r="F39" s="4">
        <v>-1.5470560739437724</v>
      </c>
      <c r="G39" s="4">
        <v>49.143666666666668</v>
      </c>
      <c r="H39" s="4">
        <v>-1.8363351325194037</v>
      </c>
      <c r="I39" s="4">
        <v>78.425447387695314</v>
      </c>
      <c r="J39" s="4">
        <v>46.217831993103047</v>
      </c>
      <c r="K39" s="4">
        <v>7.6705320040384937</v>
      </c>
      <c r="L39" s="4">
        <v>-1.1691322426001234</v>
      </c>
      <c r="M39" s="4">
        <v>-1.2455817709366479</v>
      </c>
      <c r="N39" s="4">
        <v>-1.5203607554237044</v>
      </c>
      <c r="O39" s="4">
        <v>-1.1112255851427721</v>
      </c>
      <c r="P39">
        <v>478.34389484485098</v>
      </c>
      <c r="Q39">
        <v>7.4168613205302805</v>
      </c>
      <c r="R39">
        <v>22.577926342755053</v>
      </c>
      <c r="S39">
        <v>0</v>
      </c>
      <c r="T39">
        <v>11.379808880774627</v>
      </c>
      <c r="U39" t="s">
        <v>37</v>
      </c>
      <c r="V39">
        <f>'VATtax et trade tax et ipc '!AI39</f>
        <v>5.1847997397259329</v>
      </c>
      <c r="W39" s="9">
        <v>2.766907914041246</v>
      </c>
      <c r="X39">
        <f>'VATtax et trade tax et ipc '!AM39</f>
        <v>2.3348733695122208</v>
      </c>
      <c r="Z39">
        <v>13.053911575317246</v>
      </c>
      <c r="AA39">
        <v>0</v>
      </c>
      <c r="AB39">
        <v>1</v>
      </c>
      <c r="AC39">
        <v>25.002107415544671</v>
      </c>
    </row>
    <row r="40" spans="1:29" ht="14.4" x14ac:dyDescent="0.3">
      <c r="A40" t="s">
        <v>110</v>
      </c>
      <c r="B40" s="4">
        <f>Tx_croissance!AH40</f>
        <v>1.4518321518682598</v>
      </c>
      <c r="C40" s="4">
        <f t="shared" si="0"/>
        <v>5.9914632771018024</v>
      </c>
      <c r="D40" s="4">
        <v>25.112544812001893</v>
      </c>
      <c r="E40" s="4">
        <v>3.5316886701807895</v>
      </c>
      <c r="F40" s="4">
        <v>-1.3283807436625164</v>
      </c>
      <c r="G40" s="4">
        <v>49.565370370370374</v>
      </c>
      <c r="H40" s="4">
        <v>-1.408701330423354</v>
      </c>
      <c r="I40" s="4">
        <v>102.10664848045066</v>
      </c>
      <c r="J40" s="4">
        <v>39.452959272596573</v>
      </c>
      <c r="K40" s="4">
        <v>9.6269120931625327</v>
      </c>
      <c r="L40" s="4">
        <v>-1.4089353779951725</v>
      </c>
      <c r="M40" s="4">
        <v>-1.1191017801562941</v>
      </c>
      <c r="N40" s="4">
        <v>-1.3720945715904227</v>
      </c>
      <c r="O40" s="4">
        <v>-1.3026839171846702</v>
      </c>
      <c r="P40">
        <v>399.99949199785084</v>
      </c>
      <c r="Q40" t="s">
        <v>37</v>
      </c>
      <c r="R40" t="e">
        <v>#DIV/0!</v>
      </c>
      <c r="S40">
        <v>31.300000000000008</v>
      </c>
      <c r="T40" t="e">
        <v>#DIV/0!</v>
      </c>
      <c r="U40" t="s">
        <v>37</v>
      </c>
      <c r="V40" t="str">
        <f>'VATtax et trade tax et ipc '!AI40</f>
        <v>NA</v>
      </c>
      <c r="W40" s="9" t="str">
        <v>NA</v>
      </c>
      <c r="X40" t="str">
        <f>'VATtax et trade tax et ipc '!AM40</f>
        <v>NA</v>
      </c>
      <c r="Z40">
        <v>14.357196642741791</v>
      </c>
      <c r="AA40">
        <v>0</v>
      </c>
      <c r="AB40">
        <v>1</v>
      </c>
      <c r="AC40" t="s">
        <v>37</v>
      </c>
    </row>
    <row r="41" spans="1:29" ht="14.4" x14ac:dyDescent="0.3">
      <c r="A41" t="s">
        <v>112</v>
      </c>
      <c r="B41" s="4" t="str">
        <f>Tx_croissance!AH41</f>
        <v>NA</v>
      </c>
      <c r="C41" s="4" t="str">
        <f t="shared" si="0"/>
        <v>NA</v>
      </c>
      <c r="D41" s="4" t="s">
        <v>37</v>
      </c>
      <c r="E41" s="4">
        <v>0.71573515863206605</v>
      </c>
      <c r="F41" s="4">
        <v>1.0032517537474632</v>
      </c>
      <c r="G41" s="4">
        <v>80.382518518518523</v>
      </c>
      <c r="H41" s="4" t="s">
        <v>37</v>
      </c>
      <c r="I41" s="4">
        <v>93.562249898910451</v>
      </c>
      <c r="J41" s="4">
        <v>39.913814024491757</v>
      </c>
      <c r="K41" s="4">
        <v>5.35610824281519</v>
      </c>
      <c r="L41" s="4" t="s">
        <v>37</v>
      </c>
      <c r="M41" s="4" t="s">
        <v>37</v>
      </c>
      <c r="N41" s="4" t="s">
        <v>37</v>
      </c>
      <c r="O41" s="4" t="s">
        <v>37</v>
      </c>
      <c r="Q41" t="s">
        <v>37</v>
      </c>
      <c r="R41" t="e">
        <v>#DIV/0!</v>
      </c>
      <c r="S41" t="e">
        <v>#DIV/0!</v>
      </c>
      <c r="T41" t="e">
        <v>#DIV/0!</v>
      </c>
      <c r="U41" t="s">
        <v>37</v>
      </c>
      <c r="V41" t="str">
        <f>'VATtax et trade tax et ipc '!AI41</f>
        <v>NA</v>
      </c>
      <c r="W41" s="9" t="str">
        <v>NA</v>
      </c>
      <c r="X41" t="str">
        <f>'VATtax et trade tax et ipc '!AM41</f>
        <v>NA</v>
      </c>
      <c r="AA41">
        <v>0</v>
      </c>
      <c r="AB41">
        <v>0</v>
      </c>
      <c r="AC41" t="s">
        <v>37</v>
      </c>
    </row>
    <row r="42" spans="1:29" ht="14.4" x14ac:dyDescent="0.3">
      <c r="A42" t="s">
        <v>114</v>
      </c>
      <c r="B42" s="4">
        <f>Tx_croissance!AH42</f>
        <v>2.5480120028799735</v>
      </c>
      <c r="C42" s="4">
        <f t="shared" si="0"/>
        <v>8.8925511803677413</v>
      </c>
      <c r="D42" s="4">
        <v>24.151439342434568</v>
      </c>
      <c r="E42" s="4">
        <v>1.149023696123477</v>
      </c>
      <c r="F42" s="4">
        <v>0.1648327239284603</v>
      </c>
      <c r="G42" s="4">
        <v>78.096703703703682</v>
      </c>
      <c r="H42" s="4">
        <v>0.45257032305623107</v>
      </c>
      <c r="I42" s="4">
        <v>100.21441442316228</v>
      </c>
      <c r="J42" s="4">
        <v>43.993693033854186</v>
      </c>
      <c r="K42" s="4">
        <v>6.9048594994978458</v>
      </c>
      <c r="L42" s="4">
        <v>1.276511882742245</v>
      </c>
      <c r="M42" s="4">
        <v>1.3410719434420268</v>
      </c>
      <c r="N42" s="4">
        <v>1.1240321521957723</v>
      </c>
      <c r="O42" s="4">
        <v>1.018749766051769</v>
      </c>
      <c r="P42">
        <v>7277.5618935664934</v>
      </c>
      <c r="Q42">
        <v>17.267805784979355</v>
      </c>
      <c r="R42">
        <v>34.623006813948059</v>
      </c>
      <c r="S42">
        <v>20.926666666666666</v>
      </c>
      <c r="T42">
        <v>27.744197924079426</v>
      </c>
      <c r="U42">
        <v>13.879093085368565</v>
      </c>
      <c r="V42">
        <f>'VATtax et trade tax et ipc '!AI42</f>
        <v>9.447212460832846</v>
      </c>
      <c r="W42" s="9">
        <v>0.34229695887667866</v>
      </c>
      <c r="X42">
        <f>'VATtax et trade tax et ipc '!AM42</f>
        <v>6.3054997406791244</v>
      </c>
      <c r="Y42">
        <v>15.100753945570919</v>
      </c>
      <c r="Z42">
        <v>25.750478506478942</v>
      </c>
      <c r="AA42">
        <v>0</v>
      </c>
      <c r="AB42">
        <v>0</v>
      </c>
      <c r="AC42">
        <v>2.1741540188965085</v>
      </c>
    </row>
    <row r="43" spans="1:29" ht="14.4" x14ac:dyDescent="0.3">
      <c r="A43" t="s">
        <v>116</v>
      </c>
      <c r="B43" s="4">
        <f>Tx_croissance!AH43</f>
        <v>7.8037544131452918</v>
      </c>
      <c r="C43" s="4">
        <f t="shared" si="0"/>
        <v>7.3264850013933591</v>
      </c>
      <c r="D43" s="4">
        <v>39.149925993832696</v>
      </c>
      <c r="E43" s="4">
        <v>0.60584618866221884</v>
      </c>
      <c r="F43" s="4">
        <v>-0.1473529766565965</v>
      </c>
      <c r="G43" s="4">
        <v>74.667629629629644</v>
      </c>
      <c r="H43" s="4">
        <v>-0.44223798283686239</v>
      </c>
      <c r="I43" s="4">
        <v>118.87128143310544</v>
      </c>
      <c r="J43" s="4">
        <v>90.810650507609026</v>
      </c>
      <c r="K43" s="4">
        <v>39.585270368135895</v>
      </c>
      <c r="L43" s="4">
        <v>-0.36800980614498252</v>
      </c>
      <c r="M43" s="4">
        <v>-0.30139017043014366</v>
      </c>
      <c r="N43" s="4">
        <v>-0.41876497608609492</v>
      </c>
      <c r="O43" s="4">
        <v>-1.5854380428791037</v>
      </c>
      <c r="P43">
        <v>1520.0294693662854</v>
      </c>
      <c r="Q43">
        <v>9.3939525401548085</v>
      </c>
      <c r="R43">
        <v>31.816323035574669</v>
      </c>
      <c r="S43">
        <v>10.328571428571427</v>
      </c>
      <c r="T43">
        <v>22.364506849841082</v>
      </c>
      <c r="U43" t="s">
        <v>37</v>
      </c>
      <c r="V43">
        <f>'VATtax et trade tax et ipc '!AI43</f>
        <v>7.8198475454829364</v>
      </c>
      <c r="W43" s="9">
        <v>0.46575801137573059</v>
      </c>
      <c r="X43">
        <f>'VATtax et trade tax et ipc '!AM43</f>
        <v>4.1425574227222377</v>
      </c>
      <c r="Z43">
        <v>32.340968806108464</v>
      </c>
      <c r="AA43">
        <v>0</v>
      </c>
      <c r="AB43">
        <v>0</v>
      </c>
      <c r="AC43">
        <v>4.544446286260186</v>
      </c>
    </row>
    <row r="44" spans="1:29" ht="14.4" x14ac:dyDescent="0.3">
      <c r="A44" t="s">
        <v>118</v>
      </c>
      <c r="B44" s="4">
        <f>Tx_croissance!AH44</f>
        <v>1.8507404674235284</v>
      </c>
      <c r="C44" s="4">
        <f t="shared" si="0"/>
        <v>8.3357810678335724</v>
      </c>
      <c r="D44" s="4">
        <v>20.241807295087064</v>
      </c>
      <c r="E44" s="4">
        <v>1.375227827906311</v>
      </c>
      <c r="F44" s="4">
        <v>-1.5955256273349132</v>
      </c>
      <c r="G44" s="4">
        <v>73.69670370370369</v>
      </c>
      <c r="H44" s="4">
        <v>-1.4401394501328468</v>
      </c>
      <c r="I44" s="4">
        <v>101.31864166259766</v>
      </c>
      <c r="J44" s="4">
        <v>48.692416191101088</v>
      </c>
      <c r="K44" s="4">
        <v>5.6211945306171067</v>
      </c>
      <c r="L44" s="4">
        <v>-0.33412936826546996</v>
      </c>
      <c r="M44" s="4">
        <v>0.16580784289787218</v>
      </c>
      <c r="N44" s="4">
        <v>-0.47267378804584342</v>
      </c>
      <c r="O44" s="4">
        <v>-0.11648014930930617</v>
      </c>
      <c r="P44">
        <v>4170.4576952960915</v>
      </c>
      <c r="Q44">
        <v>13.866986745696444</v>
      </c>
      <c r="R44">
        <v>38.714822455647251</v>
      </c>
      <c r="S44">
        <v>19.959999999999997</v>
      </c>
      <c r="T44">
        <v>21.832052518001241</v>
      </c>
      <c r="U44">
        <v>58.838246601230153</v>
      </c>
      <c r="V44">
        <f>'VATtax et trade tax et ipc '!AI44</f>
        <v>9.2435083951654864</v>
      </c>
      <c r="W44" s="9">
        <v>0.72767807688595298</v>
      </c>
      <c r="X44">
        <f>'VATtax et trade tax et ipc '!AM44</f>
        <v>7.4433927129524227</v>
      </c>
      <c r="Z44">
        <v>22.39616479136463</v>
      </c>
      <c r="AA44">
        <v>0</v>
      </c>
      <c r="AB44">
        <v>0</v>
      </c>
      <c r="AC44">
        <v>4.9393550328039826</v>
      </c>
    </row>
    <row r="45" spans="1:29" ht="14.4" x14ac:dyDescent="0.3">
      <c r="A45" t="s">
        <v>120</v>
      </c>
      <c r="B45" s="4">
        <f>Tx_croissance!AH45</f>
        <v>0.67923633838355979</v>
      </c>
      <c r="C45" s="4">
        <f t="shared" si="0"/>
        <v>7.0345067788222044</v>
      </c>
      <c r="D45" s="4">
        <v>15.83498103590925</v>
      </c>
      <c r="E45" s="4">
        <v>2.0337449037454922</v>
      </c>
      <c r="F45" s="4">
        <v>-1.6554850339889533</v>
      </c>
      <c r="G45" s="4">
        <v>60.854037037037045</v>
      </c>
      <c r="H45" s="4">
        <v>-0.27499165432527634</v>
      </c>
      <c r="I45" s="4">
        <v>108.02458537708631</v>
      </c>
      <c r="J45" s="4">
        <v>79.114567184448248</v>
      </c>
      <c r="K45" s="4">
        <v>12.535652440786363</v>
      </c>
      <c r="L45" s="4">
        <v>-0.85735599944988905</v>
      </c>
      <c r="M45" s="4">
        <v>-1.2677856683731084</v>
      </c>
      <c r="N45" s="4">
        <v>-1.0391197080413506</v>
      </c>
      <c r="O45" s="4">
        <v>-0.48531914750734995</v>
      </c>
      <c r="P45">
        <v>1135.134901525397</v>
      </c>
      <c r="Q45" t="s">
        <v>37</v>
      </c>
      <c r="R45" t="e">
        <v>#DIV/0!</v>
      </c>
      <c r="S45">
        <v>31.500000000000004</v>
      </c>
      <c r="T45" t="e">
        <v>#DIV/0!</v>
      </c>
      <c r="U45" t="s">
        <v>37</v>
      </c>
      <c r="V45" t="str">
        <f>'VATtax et trade tax et ipc '!AI45</f>
        <v>NA</v>
      </c>
      <c r="W45" s="9" t="str">
        <v>NA</v>
      </c>
      <c r="X45" t="str">
        <f>'VATtax et trade tax et ipc '!AM45</f>
        <v>NA</v>
      </c>
      <c r="Z45">
        <v>17.116421460510704</v>
      </c>
      <c r="AA45">
        <v>0</v>
      </c>
      <c r="AB45">
        <v>1</v>
      </c>
      <c r="AC45" t="s">
        <v>37</v>
      </c>
    </row>
    <row r="46" spans="1:29" ht="14.4" x14ac:dyDescent="0.3">
      <c r="A46" t="s">
        <v>122</v>
      </c>
      <c r="B46" s="4">
        <f>Tx_croissance!AH46</f>
        <v>0.46729696871419257</v>
      </c>
      <c r="C46" s="4">
        <f t="shared" si="0"/>
        <v>6.1447128715285215</v>
      </c>
      <c r="D46" s="4">
        <v>15.714788309813942</v>
      </c>
      <c r="E46" s="4">
        <v>3.1044314843068395</v>
      </c>
      <c r="F46" s="4">
        <v>-1.2024508118629449</v>
      </c>
      <c r="G46" s="4">
        <v>55.174518518518532</v>
      </c>
      <c r="H46" s="4">
        <v>-2.1516317923863739</v>
      </c>
      <c r="I46" s="4">
        <v>109.68691312349762</v>
      </c>
      <c r="J46" s="4">
        <v>93.56845885056714</v>
      </c>
      <c r="K46" s="4">
        <v>48.267352485656758</v>
      </c>
      <c r="L46" s="4">
        <v>-1.4495875934759779</v>
      </c>
      <c r="M46" s="4">
        <v>-1.5190175473690035</v>
      </c>
      <c r="N46" s="4">
        <v>-1.696350157260895</v>
      </c>
      <c r="O46" s="4">
        <v>-1.434362103541692</v>
      </c>
      <c r="P46">
        <v>466.24575741029645</v>
      </c>
      <c r="Q46">
        <v>8.2127363384739009</v>
      </c>
      <c r="R46" t="e">
        <v>#DIV/0!</v>
      </c>
      <c r="S46">
        <v>44.379999999999995</v>
      </c>
      <c r="T46" t="e">
        <v>#DIV/0!</v>
      </c>
      <c r="U46">
        <v>209.5729130756454</v>
      </c>
      <c r="V46" t="str">
        <f>'VATtax et trade tax et ipc '!AI46</f>
        <v>NA</v>
      </c>
      <c r="W46" s="9" t="str">
        <v>NA</v>
      </c>
      <c r="X46" t="str">
        <f>'VATtax et trade tax et ipc '!AM46</f>
        <v>NA</v>
      </c>
      <c r="Z46">
        <v>9.6536063354739827</v>
      </c>
      <c r="AA46">
        <v>0</v>
      </c>
      <c r="AB46">
        <v>1</v>
      </c>
      <c r="AC46" t="s">
        <v>37</v>
      </c>
    </row>
    <row r="47" spans="1:29" ht="14.4" x14ac:dyDescent="0.3">
      <c r="A47" t="s">
        <v>124</v>
      </c>
      <c r="B47" s="4">
        <f>Tx_croissance!AH47</f>
        <v>-0.76685751239843336</v>
      </c>
      <c r="C47" s="4">
        <f t="shared" si="0"/>
        <v>7.6487430311614721</v>
      </c>
      <c r="D47" s="4">
        <v>34.971849524130981</v>
      </c>
      <c r="E47" s="4">
        <v>2.8751130419897253</v>
      </c>
      <c r="F47" s="4">
        <v>-0.32221308847268476</v>
      </c>
      <c r="G47" s="4">
        <v>58.835074074074086</v>
      </c>
      <c r="H47" s="4">
        <v>-0.67157251162764975</v>
      </c>
      <c r="I47" s="4">
        <v>102.23933846609927</v>
      </c>
      <c r="J47" s="4">
        <v>92.254179495352247</v>
      </c>
      <c r="K47" s="4">
        <v>49.526064554850294</v>
      </c>
      <c r="L47" s="4">
        <v>-1.1947402631243076</v>
      </c>
      <c r="M47" s="4">
        <v>-1.2518736720085135</v>
      </c>
      <c r="N47" s="4">
        <v>-1.2059673319260285</v>
      </c>
      <c r="O47" s="4">
        <v>-1.1353800843159401</v>
      </c>
      <c r="P47">
        <v>2098.0068021575994</v>
      </c>
      <c r="Q47">
        <v>8.1402567409660964</v>
      </c>
      <c r="R47">
        <v>36.138539854193887</v>
      </c>
      <c r="S47">
        <v>1.2333333333333334</v>
      </c>
      <c r="T47">
        <v>9.5538659404353385</v>
      </c>
      <c r="U47">
        <v>42.854813096500507</v>
      </c>
      <c r="V47">
        <f>'VATtax et trade tax et ipc '!AI47</f>
        <v>4.0723336969321844</v>
      </c>
      <c r="W47" s="9">
        <v>1.6156456940034951</v>
      </c>
      <c r="X47">
        <f>'VATtax et trade tax et ipc '!AM47</f>
        <v>3.8587380312574835</v>
      </c>
      <c r="Z47">
        <v>34.300345578488923</v>
      </c>
      <c r="AA47">
        <v>0</v>
      </c>
      <c r="AB47">
        <v>1</v>
      </c>
      <c r="AC47">
        <v>17.729974186507356</v>
      </c>
    </row>
    <row r="48" spans="1:29" ht="14.4" x14ac:dyDescent="0.3">
      <c r="A48" t="s">
        <v>126</v>
      </c>
      <c r="B48" s="4">
        <f>Tx_croissance!AH48</f>
        <v>2.513508266730291</v>
      </c>
      <c r="C48" s="4">
        <f t="shared" si="0"/>
        <v>8.8345754646833967</v>
      </c>
      <c r="D48" s="4">
        <v>19.484288378865138</v>
      </c>
      <c r="E48" s="4">
        <v>1.4118084118906586</v>
      </c>
      <c r="F48" s="4">
        <v>0.27578656158099552</v>
      </c>
      <c r="G48" s="4">
        <v>78.340222222222209</v>
      </c>
      <c r="H48" s="4">
        <v>0.67705353970328985</v>
      </c>
      <c r="I48" s="4">
        <v>148.09909820556646</v>
      </c>
      <c r="J48" s="4">
        <v>107.88845062255849</v>
      </c>
      <c r="K48" s="4">
        <v>19.283001679640559</v>
      </c>
      <c r="L48" s="4">
        <v>0.56095784405867266</v>
      </c>
      <c r="M48" s="5">
        <v>0.5730249981085459</v>
      </c>
      <c r="N48" s="4">
        <v>0.5004368660350641</v>
      </c>
      <c r="O48" s="4">
        <v>1.053203945358594</v>
      </c>
      <c r="P48">
        <v>6867.6376721881124</v>
      </c>
      <c r="Q48">
        <v>13.070253184418418</v>
      </c>
      <c r="R48">
        <v>26.191495371255719</v>
      </c>
      <c r="S48">
        <v>19.219999999999995</v>
      </c>
      <c r="T48">
        <v>14.900218643196441</v>
      </c>
      <c r="U48">
        <v>36.404018026379191</v>
      </c>
      <c r="V48">
        <f>'VATtax et trade tax et ipc '!AI48</f>
        <v>7.5611044754904864</v>
      </c>
      <c r="W48" s="9">
        <v>1.144549379528363</v>
      </c>
      <c r="X48">
        <f>'VATtax et trade tax et ipc '!AM48</f>
        <v>3.6775852927446122</v>
      </c>
      <c r="Y48">
        <v>12.245037959189521</v>
      </c>
      <c r="Z48">
        <v>19.79151686838054</v>
      </c>
      <c r="AA48">
        <v>0</v>
      </c>
      <c r="AB48">
        <v>0</v>
      </c>
      <c r="AC48">
        <v>6.5183947032381742</v>
      </c>
    </row>
    <row r="49" spans="1:29" ht="14.4" x14ac:dyDescent="0.3">
      <c r="A49" t="s">
        <v>128</v>
      </c>
      <c r="B49" s="4">
        <f>Tx_croissance!AH49</f>
        <v>1.3080166540101912</v>
      </c>
      <c r="C49" s="4">
        <f t="shared" si="0"/>
        <v>7.4448981164304113</v>
      </c>
      <c r="D49" s="4">
        <v>18.682952945432696</v>
      </c>
      <c r="E49" s="4">
        <v>2.5467415003471849</v>
      </c>
      <c r="F49" s="4">
        <v>-0.88630609773099456</v>
      </c>
      <c r="G49" s="4">
        <v>54.350074074074065</v>
      </c>
      <c r="H49" s="4">
        <v>-1.2378576872870324</v>
      </c>
      <c r="I49" s="4">
        <v>101.50554729643314</v>
      </c>
      <c r="J49" s="4">
        <v>93.930293655395516</v>
      </c>
      <c r="K49" s="4">
        <v>31.052102327346795</v>
      </c>
      <c r="L49" s="4">
        <v>-0.77235408624013324</v>
      </c>
      <c r="M49" s="4">
        <v>-0.61731690478821599</v>
      </c>
      <c r="N49" s="4">
        <v>-1.013622645288706</v>
      </c>
      <c r="O49" s="4">
        <v>-0.77897927723824933</v>
      </c>
      <c r="P49">
        <v>1711.110949179965</v>
      </c>
      <c r="Q49">
        <v>11.284121650562005</v>
      </c>
      <c r="R49">
        <v>24.001889698746581</v>
      </c>
      <c r="S49">
        <v>9.2266666666666666</v>
      </c>
      <c r="T49">
        <v>21.0686304217989</v>
      </c>
      <c r="U49">
        <v>171.0654426272832</v>
      </c>
      <c r="V49">
        <f>'VATtax et trade tax et ipc '!AI49</f>
        <v>3.833693710039801</v>
      </c>
      <c r="W49" s="9">
        <v>4.3561805140322312</v>
      </c>
      <c r="X49">
        <f>'VATtax et trade tax et ipc '!AM49</f>
        <v>2.8785341121701782</v>
      </c>
      <c r="Y49">
        <v>18.819074586303376</v>
      </c>
      <c r="Z49">
        <v>13.686123144887633</v>
      </c>
      <c r="AA49">
        <v>0</v>
      </c>
      <c r="AB49">
        <v>1</v>
      </c>
      <c r="AC49">
        <v>25.830102701150306</v>
      </c>
    </row>
    <row r="50" spans="1:29" ht="14.4" x14ac:dyDescent="0.3">
      <c r="A50" t="s">
        <v>130</v>
      </c>
      <c r="B50" s="4">
        <f>Tx_croissance!AH50</f>
        <v>3.0887277879133146</v>
      </c>
      <c r="C50" s="4">
        <f t="shared" si="0"/>
        <v>8.8964429642071057</v>
      </c>
      <c r="D50" s="4">
        <v>21.456077743042499</v>
      </c>
      <c r="E50" s="4">
        <v>-0.6706277028100045</v>
      </c>
      <c r="F50" s="4">
        <v>0.46999866686140507</v>
      </c>
      <c r="G50" s="4">
        <v>75.61083107497744</v>
      </c>
      <c r="H50" s="4">
        <v>0.55476514855399728</v>
      </c>
      <c r="I50" s="4">
        <v>99.534515380859418</v>
      </c>
      <c r="J50" s="4">
        <v>96.522403717040973</v>
      </c>
      <c r="K50" s="4">
        <v>51.422262538563125</v>
      </c>
      <c r="L50" s="4">
        <v>3.5110513136411683E-2</v>
      </c>
      <c r="M50" s="4">
        <v>0.33765799303849531</v>
      </c>
      <c r="N50" s="4">
        <v>8.1630564838026984E-2</v>
      </c>
      <c r="O50" s="4">
        <v>0.46350857739647228</v>
      </c>
      <c r="P50">
        <v>7305.9397758080377</v>
      </c>
      <c r="Q50">
        <v>20.832934122392057</v>
      </c>
      <c r="R50">
        <v>14.524366231270887</v>
      </c>
      <c r="S50">
        <v>0</v>
      </c>
      <c r="T50">
        <v>7.6764104935646298</v>
      </c>
      <c r="U50">
        <v>64.935983037170914</v>
      </c>
      <c r="V50">
        <f>'VATtax et trade tax et ipc '!AI50</f>
        <v>16.609941548232875</v>
      </c>
      <c r="W50" s="9">
        <v>0.67552121083322847</v>
      </c>
      <c r="X50">
        <f>'VATtax et trade tax et ipc '!AM50</f>
        <v>2.8075052817946711</v>
      </c>
      <c r="Y50">
        <v>22.62493482917866</v>
      </c>
      <c r="Z50">
        <v>14.27080772641304</v>
      </c>
      <c r="AA50">
        <v>0</v>
      </c>
      <c r="AB50">
        <v>0</v>
      </c>
      <c r="AC50">
        <v>4.8252168619690314</v>
      </c>
    </row>
    <row r="51" spans="1:29" ht="14.4" x14ac:dyDescent="0.3">
      <c r="A51" t="s">
        <v>132</v>
      </c>
      <c r="B51" s="4">
        <f>Tx_croissance!AH51</f>
        <v>3.006021091786315</v>
      </c>
      <c r="C51" s="4">
        <f t="shared" si="0"/>
        <v>8.1162607851771895</v>
      </c>
      <c r="D51" s="4">
        <v>9.7640577572859453</v>
      </c>
      <c r="E51" s="4">
        <v>0.10504727948611549</v>
      </c>
      <c r="F51" s="4">
        <v>-0.32861936489158933</v>
      </c>
      <c r="G51" s="4">
        <v>76.810888888888911</v>
      </c>
      <c r="H51" s="4">
        <v>0.42467795277480036</v>
      </c>
      <c r="I51" s="4">
        <v>101.72619939733423</v>
      </c>
      <c r="J51" s="4">
        <v>97.732341625072294</v>
      </c>
      <c r="K51" s="4">
        <v>50.902378011632848</v>
      </c>
      <c r="L51" s="4">
        <v>0.18608776961142823</v>
      </c>
      <c r="M51" s="4">
        <v>-1.4367847144603736</v>
      </c>
      <c r="N51" s="4">
        <v>-0.74579874426126436</v>
      </c>
      <c r="O51" s="4">
        <v>-1.6014569600423163</v>
      </c>
      <c r="P51">
        <v>3348.4766336695207</v>
      </c>
      <c r="Q51" t="s">
        <v>37</v>
      </c>
      <c r="R51" t="e">
        <v>#DIV/0!</v>
      </c>
      <c r="S51" t="e">
        <v>#DIV/0!</v>
      </c>
      <c r="T51" t="e">
        <v>#DIV/0!</v>
      </c>
      <c r="U51" t="s">
        <v>37</v>
      </c>
      <c r="V51" t="str">
        <f>'VATtax et trade tax et ipc '!AI51</f>
        <v>NA</v>
      </c>
      <c r="W51" s="9" t="str">
        <v>NA</v>
      </c>
      <c r="X51" t="str">
        <f>'VATtax et trade tax et ipc '!AM51</f>
        <v>NA</v>
      </c>
      <c r="Z51">
        <v>7.7540244188360221</v>
      </c>
      <c r="AA51">
        <v>0</v>
      </c>
      <c r="AB51">
        <v>0</v>
      </c>
      <c r="AC51" t="s">
        <v>37</v>
      </c>
    </row>
    <row r="52" spans="1:29" ht="14.4" x14ac:dyDescent="0.3">
      <c r="A52" t="s">
        <v>134</v>
      </c>
      <c r="B52" s="4" t="str">
        <f>Tx_croissance!AH52</f>
        <v>NA</v>
      </c>
      <c r="C52" s="4" t="str">
        <f t="shared" si="0"/>
        <v>NA</v>
      </c>
      <c r="D52" s="4">
        <v>27.893034012204975</v>
      </c>
      <c r="E52" s="4">
        <v>0.13010667852995192</v>
      </c>
      <c r="F52" s="4">
        <v>1.151938930153847</v>
      </c>
      <c r="G52" s="4">
        <v>74.986319290465644</v>
      </c>
      <c r="H52" s="4" t="s">
        <v>37</v>
      </c>
      <c r="I52" s="4">
        <v>103.66583421495217</v>
      </c>
      <c r="J52" s="4">
        <v>102.06227535671663</v>
      </c>
      <c r="K52" s="4">
        <v>63.694100697835289</v>
      </c>
      <c r="L52" s="4" t="s">
        <v>37</v>
      </c>
      <c r="M52" s="4" t="s">
        <v>37</v>
      </c>
      <c r="N52" s="4" t="s">
        <v>37</v>
      </c>
      <c r="O52" s="4" t="s">
        <v>37</v>
      </c>
      <c r="P52" t="s">
        <v>37</v>
      </c>
      <c r="Q52" t="s">
        <v>37</v>
      </c>
      <c r="R52" t="e">
        <v>#DIV/0!</v>
      </c>
      <c r="S52" t="e">
        <v>#DIV/0!</v>
      </c>
      <c r="T52" t="e">
        <v>#DIV/0!</v>
      </c>
      <c r="U52" t="s">
        <v>37</v>
      </c>
      <c r="V52" t="str">
        <f>'VATtax et trade tax et ipc '!AI52</f>
        <v>NA</v>
      </c>
      <c r="W52" s="9" t="str">
        <v>NA</v>
      </c>
      <c r="X52" t="str">
        <f>'VATtax et trade tax et ipc '!AM52</f>
        <v>NA</v>
      </c>
      <c r="AA52">
        <v>0</v>
      </c>
      <c r="AB52">
        <v>0</v>
      </c>
      <c r="AC52" t="s">
        <v>37</v>
      </c>
    </row>
    <row r="53" spans="1:29" ht="14.4" x14ac:dyDescent="0.3">
      <c r="A53" t="s">
        <v>136</v>
      </c>
      <c r="B53" s="4">
        <f>Tx_croissance!AH53</f>
        <v>1.688505878251112</v>
      </c>
      <c r="C53" s="4">
        <f t="shared" si="0"/>
        <v>9.8757346908674339</v>
      </c>
      <c r="D53" s="4">
        <v>20.487526691089617</v>
      </c>
      <c r="E53" s="4">
        <v>1.4050360703920581</v>
      </c>
      <c r="F53" s="4">
        <v>0.90859836836656005</v>
      </c>
      <c r="G53" s="4">
        <v>78.85488888888888</v>
      </c>
      <c r="H53" s="4">
        <v>0.47913135215640068</v>
      </c>
      <c r="I53" s="4">
        <v>47.79826411494502</v>
      </c>
      <c r="J53" s="4">
        <v>29.626817398071292</v>
      </c>
      <c r="K53" s="4">
        <v>1.8603226949771239</v>
      </c>
      <c r="L53" s="4">
        <v>0.91918926810224788</v>
      </c>
      <c r="M53" s="4">
        <v>1.125774219632149</v>
      </c>
      <c r="N53" s="4">
        <v>0.93126446505387583</v>
      </c>
      <c r="O53" s="4">
        <v>1.0111689344048498</v>
      </c>
      <c r="P53">
        <v>19452.57421875</v>
      </c>
      <c r="Q53">
        <v>25.646916651396211</v>
      </c>
      <c r="R53">
        <v>39.495769721941123</v>
      </c>
      <c r="S53">
        <v>8.7833333333333314</v>
      </c>
      <c r="T53">
        <v>25.392068932052851</v>
      </c>
      <c r="U53" t="s">
        <v>37</v>
      </c>
      <c r="V53">
        <f>'VATtax et trade tax et ipc '!AI53</f>
        <v>14.960180750500452</v>
      </c>
      <c r="W53" s="9">
        <v>0.49656062341690754</v>
      </c>
      <c r="X53">
        <f>'VATtax et trade tax et ipc '!AM53</f>
        <v>11.159525016337776</v>
      </c>
      <c r="Y53">
        <v>31.498138396407665</v>
      </c>
      <c r="Z53">
        <v>25.202284043680436</v>
      </c>
      <c r="AA53">
        <v>0</v>
      </c>
      <c r="AB53">
        <v>0</v>
      </c>
      <c r="AC53">
        <v>2.57700304082468</v>
      </c>
    </row>
    <row r="54" spans="1:29" ht="14.4" x14ac:dyDescent="0.3">
      <c r="A54" t="s">
        <v>138</v>
      </c>
      <c r="B54" s="4">
        <f>Tx_croissance!AH54</f>
        <v>2.2089034629583892</v>
      </c>
      <c r="C54" s="4">
        <f t="shared" si="0"/>
        <v>9.325377424446744</v>
      </c>
      <c r="D54" s="4">
        <v>28.431804605276216</v>
      </c>
      <c r="E54" s="4">
        <v>0.1151252935029566</v>
      </c>
      <c r="F54" s="4">
        <v>1.9949622452259066</v>
      </c>
      <c r="G54" s="4">
        <v>76.67018066847335</v>
      </c>
      <c r="H54" s="4">
        <v>0.94670983776450146</v>
      </c>
      <c r="I54" s="4">
        <v>105.74501634680706</v>
      </c>
      <c r="J54" s="4">
        <v>105.673040691175</v>
      </c>
      <c r="K54" s="4" t="s">
        <v>37</v>
      </c>
      <c r="L54" s="4">
        <v>0.44749744857350987</v>
      </c>
      <c r="M54" s="4">
        <v>1.131395551065604</v>
      </c>
      <c r="N54" s="4">
        <v>0.95421065886815359</v>
      </c>
      <c r="O54" s="4">
        <v>0.97204656402269995</v>
      </c>
      <c r="P54">
        <v>11219.15006524568</v>
      </c>
      <c r="Q54">
        <v>14.848986927600613</v>
      </c>
      <c r="R54">
        <v>34.821608967179856</v>
      </c>
      <c r="S54">
        <v>5.6</v>
      </c>
      <c r="T54">
        <v>15.823995119900953</v>
      </c>
      <c r="U54" t="s">
        <v>37</v>
      </c>
      <c r="V54">
        <f>'VATtax et trade tax et ipc '!AI54</f>
        <v>8.977546772311884</v>
      </c>
      <c r="W54" s="9">
        <v>0.32758997189895528</v>
      </c>
      <c r="X54">
        <f>'VATtax et trade tax et ipc '!AM54</f>
        <v>4.991855358920537</v>
      </c>
      <c r="Y54">
        <v>16.238177392053903</v>
      </c>
      <c r="Z54">
        <v>33.791766741464357</v>
      </c>
      <c r="AA54">
        <v>0</v>
      </c>
      <c r="AB54">
        <v>0</v>
      </c>
      <c r="AC54">
        <v>3.9064034225403041</v>
      </c>
    </row>
    <row r="55" spans="1:29" ht="14.4" x14ac:dyDescent="0.3">
      <c r="A55" t="s">
        <v>140</v>
      </c>
      <c r="B55" s="4">
        <f>Tx_croissance!AH55</f>
        <v>1.2360883056694583</v>
      </c>
      <c r="C55" s="4">
        <f t="shared" si="0"/>
        <v>10.676144608611429</v>
      </c>
      <c r="D55" s="4">
        <v>20.807551586619432</v>
      </c>
      <c r="E55" s="4">
        <v>0.44864493847770165</v>
      </c>
      <c r="F55" s="4">
        <v>-0.90152479459842061</v>
      </c>
      <c r="G55" s="4">
        <v>78.642475158084906</v>
      </c>
      <c r="H55" s="4">
        <v>1.0694790557026865</v>
      </c>
      <c r="I55" s="4">
        <v>100.27587768554682</v>
      </c>
      <c r="J55" s="4">
        <v>125.42091487004215</v>
      </c>
      <c r="K55" s="4">
        <v>72.282714110154373</v>
      </c>
      <c r="L55" s="4">
        <v>2.3091208239396419</v>
      </c>
      <c r="M55" s="4">
        <v>1.7534288664658881</v>
      </c>
      <c r="N55" s="4">
        <v>1.8998708029588054</v>
      </c>
      <c r="O55" s="4">
        <v>1.5698434611161547</v>
      </c>
      <c r="P55">
        <v>43310.250090105415</v>
      </c>
      <c r="Q55">
        <v>31.200161847467918</v>
      </c>
      <c r="R55">
        <v>49.441769372102307</v>
      </c>
      <c r="S55">
        <v>20.840000000000007</v>
      </c>
      <c r="T55">
        <v>41.26203652069109</v>
      </c>
      <c r="U55" t="s">
        <v>37</v>
      </c>
      <c r="V55">
        <f>'VATtax et trade tax et ipc '!AI55</f>
        <v>14.397135640974605</v>
      </c>
      <c r="W55" s="9">
        <v>2.0085721813158128E-2</v>
      </c>
      <c r="X55">
        <f>'VATtax et trade tax et ipc '!AM55</f>
        <v>16.243639289367799</v>
      </c>
      <c r="Y55">
        <v>31.660832017883468</v>
      </c>
      <c r="Z55">
        <v>19.474849664932083</v>
      </c>
      <c r="AA55">
        <v>0</v>
      </c>
      <c r="AB55">
        <v>0</v>
      </c>
      <c r="AC55" t="s">
        <v>37</v>
      </c>
    </row>
    <row r="56" spans="1:29" ht="14.4" x14ac:dyDescent="0.3">
      <c r="A56" t="s">
        <v>142</v>
      </c>
      <c r="B56" s="4" t="str">
        <f>Tx_croissance!AH56</f>
        <v>NA</v>
      </c>
      <c r="C56" s="4" t="str">
        <f t="shared" si="0"/>
        <v>NA</v>
      </c>
      <c r="D56" s="4">
        <v>28.454183405668978</v>
      </c>
      <c r="E56" s="4">
        <v>2.0947494176151809</v>
      </c>
      <c r="F56" s="4">
        <v>0.40929534348348778</v>
      </c>
      <c r="G56" s="4">
        <v>59.432037037037055</v>
      </c>
      <c r="H56" s="4">
        <v>-0.31838734479000164</v>
      </c>
      <c r="I56" s="4">
        <v>108.05088269269029</v>
      </c>
      <c r="J56" s="4">
        <v>73.378681846286938</v>
      </c>
      <c r="K56" s="4">
        <v>50.165856497628333</v>
      </c>
      <c r="L56" s="4">
        <v>-0.61709194257855415</v>
      </c>
      <c r="M56" s="4">
        <v>-0.74347208067774762</v>
      </c>
      <c r="N56" s="4">
        <v>-0.88744256397088384</v>
      </c>
      <c r="O56" s="4">
        <v>-1.2020426938931139</v>
      </c>
      <c r="P56" t="s">
        <v>37</v>
      </c>
      <c r="Q56" t="s">
        <v>37</v>
      </c>
      <c r="R56" t="e">
        <v>#DIV/0!</v>
      </c>
      <c r="S56">
        <v>17.699999999999996</v>
      </c>
      <c r="T56" t="e">
        <v>#DIV/0!</v>
      </c>
      <c r="U56" t="s">
        <v>37</v>
      </c>
      <c r="V56" t="str">
        <f>'VATtax et trade tax et ipc '!AI56</f>
        <v>NA</v>
      </c>
      <c r="W56" s="9" t="str">
        <v>NA</v>
      </c>
      <c r="X56" t="str">
        <f>'VATtax et trade tax et ipc '!AM56</f>
        <v>NA</v>
      </c>
      <c r="AA56">
        <v>0</v>
      </c>
      <c r="AB56">
        <v>1</v>
      </c>
      <c r="AC56" t="s">
        <v>37</v>
      </c>
    </row>
    <row r="57" spans="1:29" ht="14.4" x14ac:dyDescent="0.3">
      <c r="A57" t="s">
        <v>144</v>
      </c>
      <c r="B57" s="4">
        <f>Tx_croissance!AH57</f>
        <v>1.0754384638753889</v>
      </c>
      <c r="C57" s="4">
        <f t="shared" si="0"/>
        <v>8.6122344587694748</v>
      </c>
      <c r="D57" s="4" t="e">
        <v>#DIV/0!</v>
      </c>
      <c r="E57" s="4">
        <v>0.17813655519273558</v>
      </c>
      <c r="F57" s="4">
        <v>-0.44736435614565079</v>
      </c>
      <c r="G57" s="4">
        <v>71.468444444444444</v>
      </c>
      <c r="H57" s="4">
        <v>0.9439052479962512</v>
      </c>
      <c r="I57" s="4">
        <v>109.11002595084052</v>
      </c>
      <c r="J57" s="4">
        <v>78.364137088551246</v>
      </c>
      <c r="K57" s="4">
        <v>32.154688676198326</v>
      </c>
      <c r="L57" s="4">
        <v>0.7086138824621836</v>
      </c>
      <c r="M57" s="4">
        <v>0.50996858750780427</v>
      </c>
      <c r="N57" s="4">
        <v>0.72506797313690186</v>
      </c>
      <c r="O57" s="4">
        <v>0.96337550878524825</v>
      </c>
      <c r="P57">
        <v>5498.5211803644333</v>
      </c>
      <c r="Q57" t="s">
        <v>37</v>
      </c>
      <c r="R57" t="e">
        <v>#DIV/0!</v>
      </c>
      <c r="S57">
        <v>25.033333333333339</v>
      </c>
      <c r="T57" t="e">
        <v>#DIV/0!</v>
      </c>
      <c r="U57" t="s">
        <v>37</v>
      </c>
      <c r="V57" t="str">
        <f>'VATtax et trade tax et ipc '!AI57</f>
        <v>NA</v>
      </c>
      <c r="W57" s="9" t="str">
        <v>NA</v>
      </c>
      <c r="X57" t="str">
        <f>'VATtax et trade tax et ipc '!AM57</f>
        <v>NA</v>
      </c>
      <c r="AA57">
        <v>0</v>
      </c>
      <c r="AB57">
        <v>0</v>
      </c>
      <c r="AC57" t="s">
        <v>37</v>
      </c>
    </row>
    <row r="58" spans="1:29" ht="14.4" x14ac:dyDescent="0.3">
      <c r="A58" t="s">
        <v>146</v>
      </c>
      <c r="B58" s="4">
        <f>Tx_croissance!AH58</f>
        <v>3.6481516525041169</v>
      </c>
      <c r="C58" s="4">
        <f t="shared" si="0"/>
        <v>8.1072998199190121</v>
      </c>
      <c r="D58" s="4">
        <v>24.265602735238165</v>
      </c>
      <c r="E58" s="4">
        <v>1.3362855602201054</v>
      </c>
      <c r="F58" s="4">
        <v>-0.5851037067671615</v>
      </c>
      <c r="G58" s="4">
        <v>71.328666666666663</v>
      </c>
      <c r="H58" s="4">
        <v>1.4918256319409342E-2</v>
      </c>
      <c r="I58" s="4">
        <v>107.37751388549806</v>
      </c>
      <c r="J58" s="4">
        <v>81.132175445556683</v>
      </c>
      <c r="K58" s="4">
        <v>39.267264472113716</v>
      </c>
      <c r="L58" s="4">
        <v>-0.73873630041877425</v>
      </c>
      <c r="M58" s="4">
        <v>-0.1227864404208958</v>
      </c>
      <c r="N58" s="4">
        <v>-0.53806777515759074</v>
      </c>
      <c r="O58" s="4">
        <v>0.14612332390000429</v>
      </c>
      <c r="P58">
        <v>3318.6050897086166</v>
      </c>
      <c r="Q58">
        <v>12.043336579849075</v>
      </c>
      <c r="R58">
        <v>25.442366856679907</v>
      </c>
      <c r="S58">
        <v>24.44</v>
      </c>
      <c r="T58">
        <v>22.066065859385876</v>
      </c>
      <c r="U58">
        <v>18.315739803705867</v>
      </c>
      <c r="V58">
        <f>'VATtax et trade tax et ipc '!AI58</f>
        <v>7.1732966065350894</v>
      </c>
      <c r="W58" s="9">
        <v>1.2330208130027411</v>
      </c>
      <c r="X58">
        <f>'VATtax et trade tax et ipc '!AM58</f>
        <v>3.5359232888835446</v>
      </c>
      <c r="Y58">
        <v>10.574624839150893</v>
      </c>
      <c r="Z58">
        <v>17.887759218829451</v>
      </c>
      <c r="AA58">
        <v>0</v>
      </c>
      <c r="AB58">
        <v>0</v>
      </c>
      <c r="AC58">
        <v>16.881372916296691</v>
      </c>
    </row>
    <row r="59" spans="1:29" ht="14.4" x14ac:dyDescent="0.3">
      <c r="A59" t="s">
        <v>148</v>
      </c>
      <c r="B59" s="4">
        <f>Tx_croissance!AH59</f>
        <v>0.91279569196918153</v>
      </c>
      <c r="C59" s="4">
        <f t="shared" si="0"/>
        <v>8.3834946342740491</v>
      </c>
      <c r="D59" s="4">
        <v>21.968069717472417</v>
      </c>
      <c r="E59" s="4">
        <v>1.6479159343888079</v>
      </c>
      <c r="F59" s="4">
        <v>-0.44090901625653117</v>
      </c>
      <c r="G59" s="4">
        <v>74.507999999999996</v>
      </c>
      <c r="H59" s="4">
        <v>-0.47472040890716016</v>
      </c>
      <c r="I59" s="4">
        <v>93.36800170898438</v>
      </c>
      <c r="J59" s="4">
        <v>76.212646484375</v>
      </c>
      <c r="K59" s="4">
        <v>30.41580636160716</v>
      </c>
      <c r="L59" s="4">
        <v>-0.67541853835185373</v>
      </c>
      <c r="M59" s="4">
        <v>-0.83403023301313295</v>
      </c>
      <c r="N59" s="4">
        <v>-0.80790998538335179</v>
      </c>
      <c r="O59" s="4">
        <v>-0.14760671821810925</v>
      </c>
      <c r="P59">
        <v>4374.2687163592509</v>
      </c>
      <c r="Q59">
        <v>13.864763235891783</v>
      </c>
      <c r="R59">
        <v>29.298166681718573</v>
      </c>
      <c r="S59">
        <v>17.546666666666667</v>
      </c>
      <c r="T59">
        <v>13.777380660777448</v>
      </c>
      <c r="U59" t="s">
        <v>37</v>
      </c>
      <c r="V59">
        <f>'VATtax et trade tax et ipc '!AI59</f>
        <v>11.344057688487295</v>
      </c>
      <c r="W59" s="9">
        <v>3.904397215762994</v>
      </c>
      <c r="X59">
        <f>'VATtax et trade tax et ipc '!AM59</f>
        <v>6.5308068780253485</v>
      </c>
      <c r="Z59">
        <v>17.332777301587328</v>
      </c>
      <c r="AA59">
        <v>0</v>
      </c>
      <c r="AB59">
        <v>0</v>
      </c>
      <c r="AC59">
        <v>9.8528385998476615</v>
      </c>
    </row>
    <row r="60" spans="1:29" ht="14.4" x14ac:dyDescent="0.3">
      <c r="A60" t="s">
        <v>150</v>
      </c>
      <c r="B60" s="4">
        <f>Tx_croissance!AH60</f>
        <v>2.4574933733261695</v>
      </c>
      <c r="C60" s="4">
        <f t="shared" si="0"/>
        <v>7.6605291914959608</v>
      </c>
      <c r="D60" s="4">
        <v>17.730116575551826</v>
      </c>
      <c r="E60" s="4">
        <v>2.0352522771069581</v>
      </c>
      <c r="F60" s="4">
        <v>-0.3340922773738082</v>
      </c>
      <c r="G60" s="4">
        <v>69.248037037037022</v>
      </c>
      <c r="H60" s="4">
        <v>-0.93657243810594071</v>
      </c>
      <c r="I60" s="4">
        <v>82.167818387349442</v>
      </c>
      <c r="J60" s="4">
        <v>43.060836957848593</v>
      </c>
      <c r="K60" s="4">
        <v>2.4875276822310233</v>
      </c>
      <c r="L60" s="4">
        <v>-0.59553920725981391</v>
      </c>
      <c r="M60" s="4">
        <v>-0.48225338679427904</v>
      </c>
      <c r="N60" s="4">
        <v>-0.27321077659629128</v>
      </c>
      <c r="O60" s="4">
        <v>-1.1527549251914027</v>
      </c>
      <c r="P60">
        <v>2122.8805417109147</v>
      </c>
      <c r="Q60">
        <v>16.734145057136701</v>
      </c>
      <c r="R60">
        <v>42.978164224053124</v>
      </c>
      <c r="S60">
        <v>14.66</v>
      </c>
      <c r="T60">
        <v>24.185942661974661</v>
      </c>
      <c r="U60">
        <v>85.788533834586474</v>
      </c>
      <c r="V60">
        <f>'VATtax et trade tax et ipc '!AI60</f>
        <v>2.7817910059828481</v>
      </c>
      <c r="W60" s="9">
        <v>0.6110585574209606</v>
      </c>
      <c r="X60">
        <f>'VATtax et trade tax et ipc '!AM60</f>
        <v>3.0492563112392479</v>
      </c>
      <c r="Y60">
        <v>17.623039215686276</v>
      </c>
      <c r="Z60">
        <v>22.559411764705885</v>
      </c>
      <c r="AA60">
        <v>0</v>
      </c>
      <c r="AB60">
        <v>1</v>
      </c>
      <c r="AC60">
        <v>12.299519195597648</v>
      </c>
    </row>
    <row r="61" spans="1:29" ht="14.4" x14ac:dyDescent="0.3">
      <c r="A61" t="s">
        <v>152</v>
      </c>
      <c r="B61" s="4">
        <f>Tx_croissance!AH61</f>
        <v>1.6082502274383792</v>
      </c>
      <c r="C61" s="4">
        <f t="shared" si="0"/>
        <v>7.9302238240824225</v>
      </c>
      <c r="D61" s="4">
        <v>17.085280117720046</v>
      </c>
      <c r="E61" s="4">
        <v>0.38237677312381918</v>
      </c>
      <c r="F61" s="4">
        <v>-1.1869837765892346</v>
      </c>
      <c r="G61" s="4">
        <v>70.62155555555556</v>
      </c>
      <c r="H61" s="4">
        <v>-3.5005994645568202E-2</v>
      </c>
      <c r="I61" s="4">
        <v>103.62418224193436</v>
      </c>
      <c r="J61" s="4">
        <v>118.67587675871681</v>
      </c>
      <c r="K61" s="4">
        <v>72.715110637523509</v>
      </c>
      <c r="L61" s="4">
        <v>-0.50819305144250404</v>
      </c>
      <c r="M61" s="4">
        <v>-2.3381094712628114E-3</v>
      </c>
      <c r="N61" s="4">
        <v>-0.71723533918460214</v>
      </c>
      <c r="O61" s="4">
        <v>3.8960988051257951E-2</v>
      </c>
      <c r="P61">
        <v>2780.0489767971371</v>
      </c>
      <c r="Q61">
        <v>15.316406028858802</v>
      </c>
      <c r="R61">
        <v>34.031948542802503</v>
      </c>
      <c r="S61">
        <v>17.673333333333332</v>
      </c>
      <c r="T61">
        <v>23.930538320309669</v>
      </c>
      <c r="U61">
        <v>51.457212559951131</v>
      </c>
      <c r="V61">
        <f>'VATtax et trade tax et ipc '!AI61</f>
        <v>9.3995601735994363</v>
      </c>
      <c r="W61" s="9">
        <v>1.0412717766192987</v>
      </c>
      <c r="X61">
        <f>'VATtax et trade tax et ipc '!AM61</f>
        <v>5.8650945365704414</v>
      </c>
      <c r="Z61">
        <v>19.062439856878328</v>
      </c>
      <c r="AA61">
        <v>0</v>
      </c>
      <c r="AB61">
        <v>1</v>
      </c>
      <c r="AC61">
        <v>6.9214110005781437</v>
      </c>
    </row>
    <row r="62" spans="1:29" ht="14.4" x14ac:dyDescent="0.3">
      <c r="A62" t="s">
        <v>154</v>
      </c>
      <c r="B62" s="4">
        <f>Tx_croissance!AH62</f>
        <v>8.6759093381620911</v>
      </c>
      <c r="C62" s="4">
        <f t="shared" si="0"/>
        <v>6.4439408575251296</v>
      </c>
      <c r="D62" s="4">
        <v>29.523012835240277</v>
      </c>
      <c r="E62" s="4">
        <v>4.0427114026564785</v>
      </c>
      <c r="F62" s="4">
        <v>-1.415767212708791</v>
      </c>
      <c r="G62" s="4">
        <v>56.783222222222228</v>
      </c>
      <c r="H62" s="4">
        <v>-4.1000558373828676E-2</v>
      </c>
      <c r="I62" s="4">
        <v>99.644168147334312</v>
      </c>
      <c r="J62" s="4">
        <v>105.02829272930444</v>
      </c>
      <c r="K62" s="4">
        <v>64.098501134801793</v>
      </c>
      <c r="L62" s="4">
        <v>-1.3824275781710937</v>
      </c>
      <c r="M62" s="4">
        <v>-1.5454005102316548</v>
      </c>
      <c r="N62" s="4">
        <v>-1.2063314939538632</v>
      </c>
      <c r="O62" s="4">
        <v>-1.7992260307073586</v>
      </c>
      <c r="P62">
        <v>628.88025031921165</v>
      </c>
      <c r="Q62">
        <v>8.1671310865564024</v>
      </c>
      <c r="R62">
        <v>83.282976820634133</v>
      </c>
      <c r="S62">
        <v>29.313333333333329</v>
      </c>
      <c r="T62">
        <v>28.098450668244848</v>
      </c>
      <c r="U62" t="s">
        <v>37</v>
      </c>
      <c r="V62">
        <f>'VATtax et trade tax et ipc '!AI62</f>
        <v>1.2428858741370741</v>
      </c>
      <c r="W62" s="9">
        <v>0.32792287244265106</v>
      </c>
      <c r="X62">
        <f>'VATtax et trade tax et ipc '!AM62</f>
        <v>10.531204803840337</v>
      </c>
      <c r="AA62">
        <v>1</v>
      </c>
      <c r="AB62">
        <v>0</v>
      </c>
      <c r="AC62">
        <v>2.2639987226240486</v>
      </c>
    </row>
    <row r="63" spans="1:29" ht="14.4" x14ac:dyDescent="0.3">
      <c r="A63" t="s">
        <v>156</v>
      </c>
      <c r="B63" s="4" t="str">
        <f>Tx_croissance!AH63</f>
        <v>NA</v>
      </c>
      <c r="C63" s="4">
        <f t="shared" si="0"/>
        <v>6.629836753003441</v>
      </c>
      <c r="D63" s="4">
        <v>22.735535278346163</v>
      </c>
      <c r="E63" s="4">
        <v>2.1065473457641262</v>
      </c>
      <c r="F63" s="4">
        <v>1.0003968079884846</v>
      </c>
      <c r="G63" s="4">
        <v>61.219222222222214</v>
      </c>
      <c r="H63" s="4">
        <v>-0.79042518635590897</v>
      </c>
      <c r="I63" s="4">
        <v>77.763463633401059</v>
      </c>
      <c r="J63" s="4">
        <v>25.114743282920436</v>
      </c>
      <c r="K63" s="4">
        <v>4.6314978057687926</v>
      </c>
      <c r="L63" s="4">
        <v>-0.61449709969262278</v>
      </c>
      <c r="M63" s="4">
        <v>-1.9223327885071442</v>
      </c>
      <c r="N63" s="4">
        <v>-1.2769997740785277</v>
      </c>
      <c r="O63" s="4">
        <v>-2.0053498397270828</v>
      </c>
      <c r="P63">
        <v>757.35852404524758</v>
      </c>
      <c r="Q63" t="s">
        <v>37</v>
      </c>
      <c r="R63" t="e">
        <v>#DIV/0!</v>
      </c>
      <c r="S63">
        <v>8.913333333333334</v>
      </c>
      <c r="T63" t="e">
        <v>#DIV/0!</v>
      </c>
      <c r="U63" t="s">
        <v>37</v>
      </c>
      <c r="V63" t="str">
        <f>'VATtax et trade tax et ipc '!AI63</f>
        <v>NA</v>
      </c>
      <c r="W63" s="9" t="str">
        <v>NA</v>
      </c>
      <c r="X63" t="str">
        <f>'VATtax et trade tax et ipc '!AM63</f>
        <v>NA</v>
      </c>
      <c r="Z63">
        <v>22.536696131700591</v>
      </c>
      <c r="AA63">
        <v>0</v>
      </c>
      <c r="AB63">
        <v>1</v>
      </c>
      <c r="AC63" t="s">
        <v>37</v>
      </c>
    </row>
    <row r="64" spans="1:29" ht="14.4" x14ac:dyDescent="0.3">
      <c r="A64" t="s">
        <v>158</v>
      </c>
      <c r="B64" s="4">
        <f>Tx_croissance!AH64</f>
        <v>4.1040385993609263</v>
      </c>
      <c r="C64" s="4">
        <f t="shared" si="0"/>
        <v>8.8731221657958148</v>
      </c>
      <c r="D64" s="4">
        <v>28.255586641778212</v>
      </c>
      <c r="E64" s="4">
        <v>-0.28897110325498548</v>
      </c>
      <c r="F64" s="4">
        <v>-0.59565083930889751</v>
      </c>
      <c r="G64" s="4">
        <v>73.910252935862701</v>
      </c>
      <c r="H64" s="4">
        <v>0.69658133139212941</v>
      </c>
      <c r="I64" s="4">
        <v>99.710038644296162</v>
      </c>
      <c r="J64" s="4">
        <v>126.94173459653501</v>
      </c>
      <c r="K64" s="4">
        <v>88.133770412868941</v>
      </c>
      <c r="L64" s="4">
        <v>1.1015891556938486</v>
      </c>
      <c r="M64" s="4">
        <v>1.4187433918317154</v>
      </c>
      <c r="N64" s="4">
        <v>1.0843322649598122</v>
      </c>
      <c r="O64" s="4">
        <v>1.1107680251201002</v>
      </c>
      <c r="P64">
        <v>7137.5307757640303</v>
      </c>
      <c r="Q64">
        <v>20.631678980759617</v>
      </c>
      <c r="R64">
        <v>37.670779593784246</v>
      </c>
      <c r="S64">
        <v>8.58</v>
      </c>
      <c r="T64">
        <v>21.582106865773909</v>
      </c>
      <c r="U64">
        <v>9.8158812012012913</v>
      </c>
      <c r="V64">
        <f>'VATtax et trade tax et ipc '!AI64</f>
        <v>12.482580242713233</v>
      </c>
      <c r="W64" s="9">
        <v>8.5888398116370814E-3</v>
      </c>
      <c r="X64">
        <f>'VATtax et trade tax et ipc '!AM64</f>
        <v>7.140081915055891</v>
      </c>
      <c r="Y64">
        <v>22.83901737396554</v>
      </c>
      <c r="Z64">
        <v>26.504610296620328</v>
      </c>
      <c r="AA64">
        <v>0</v>
      </c>
      <c r="AB64">
        <v>0</v>
      </c>
      <c r="AC64">
        <v>9.5370706916315953E-2</v>
      </c>
    </row>
    <row r="65" spans="1:29" ht="14.4" x14ac:dyDescent="0.3">
      <c r="A65" t="s">
        <v>160</v>
      </c>
      <c r="B65" s="4">
        <f>Tx_croissance!AH65</f>
        <v>2.1419387388291744</v>
      </c>
      <c r="C65" s="4">
        <f t="shared" si="0"/>
        <v>7.7250661923163104</v>
      </c>
      <c r="D65" s="4">
        <v>15.681986093100775</v>
      </c>
      <c r="E65" s="4">
        <v>0.82528422454541228</v>
      </c>
      <c r="F65" s="4">
        <v>-0.73807247479756655</v>
      </c>
      <c r="G65" s="4">
        <v>50.292999999999999</v>
      </c>
      <c r="H65" s="4">
        <v>-0.21351668221177533</v>
      </c>
      <c r="I65" s="4">
        <v>100.21374218280494</v>
      </c>
      <c r="J65" s="4">
        <v>81.683897109258737</v>
      </c>
      <c r="K65" s="4">
        <v>23.5223453044891</v>
      </c>
      <c r="L65" s="4">
        <v>-0.18138265951226154</v>
      </c>
      <c r="M65" s="4">
        <v>-0.37513070615629357</v>
      </c>
      <c r="N65" s="4">
        <v>-0.54117379834254586</v>
      </c>
      <c r="O65" s="4">
        <v>-1.3533340046803151</v>
      </c>
      <c r="P65">
        <v>2264.4024685456234</v>
      </c>
      <c r="Q65" t="s">
        <v>37</v>
      </c>
      <c r="R65" t="e">
        <v>#DIV/0!</v>
      </c>
      <c r="S65">
        <v>27.166666666666668</v>
      </c>
      <c r="T65" t="e">
        <v>#DIV/0!</v>
      </c>
      <c r="U65" t="s">
        <v>37</v>
      </c>
      <c r="V65" t="str">
        <f>'VATtax et trade tax et ipc '!AI65</f>
        <v>NA</v>
      </c>
      <c r="W65" s="9" t="str">
        <v>NA</v>
      </c>
      <c r="X65" t="str">
        <f>'VATtax et trade tax et ipc '!AM65</f>
        <v>NA</v>
      </c>
      <c r="Z65">
        <v>15.416123694562645</v>
      </c>
      <c r="AA65">
        <v>0</v>
      </c>
      <c r="AB65">
        <v>1</v>
      </c>
      <c r="AC65" t="s">
        <v>37</v>
      </c>
    </row>
    <row r="66" spans="1:29" ht="14.4" x14ac:dyDescent="0.3">
      <c r="A66" t="s">
        <v>162</v>
      </c>
      <c r="B66" s="4">
        <f>Tx_croissance!AH66</f>
        <v>4.799664402473014</v>
      </c>
      <c r="C66" s="4">
        <f t="shared" ref="C66:C129" si="1">IFERROR(LN(P66),"NA")</f>
        <v>5.4880356207679952</v>
      </c>
      <c r="D66" s="4">
        <v>34.306804240777673</v>
      </c>
      <c r="E66" s="4">
        <v>2.8454348764289774</v>
      </c>
      <c r="F66" s="4">
        <v>-0.19123877309417978</v>
      </c>
      <c r="G66" s="4">
        <v>57.358666666666672</v>
      </c>
      <c r="H66" s="4">
        <v>-1.4995536531011258</v>
      </c>
      <c r="I66" s="4">
        <v>103.16721259223098</v>
      </c>
      <c r="J66" s="4">
        <v>105.87896163375278</v>
      </c>
      <c r="K66" s="4">
        <v>57.225260981807004</v>
      </c>
      <c r="L66" s="4">
        <v>-0.62644812340537703</v>
      </c>
      <c r="M66" s="4">
        <v>-1.053574346005917</v>
      </c>
      <c r="N66" s="4">
        <v>-0.69931825374563539</v>
      </c>
      <c r="O66" s="4">
        <v>-1.2083180944124865</v>
      </c>
      <c r="P66">
        <v>241.78178893542369</v>
      </c>
      <c r="Q66">
        <v>8.3288775648711031</v>
      </c>
      <c r="R66">
        <v>26.830444895088412</v>
      </c>
      <c r="S66">
        <v>25.726666666666674</v>
      </c>
      <c r="T66">
        <v>17.616706968609265</v>
      </c>
      <c r="U66">
        <v>48.034525733875931</v>
      </c>
      <c r="V66">
        <f>'VATtax et trade tax et ipc '!AI66</f>
        <v>2.1040663691847179</v>
      </c>
      <c r="W66" s="9">
        <v>1.7302257387687596</v>
      </c>
      <c r="X66">
        <f>'VATtax et trade tax et ipc '!AM66</f>
        <v>1.5365522512401661</v>
      </c>
      <c r="Y66">
        <v>8.429521526498835</v>
      </c>
      <c r="AA66">
        <v>0</v>
      </c>
      <c r="AB66">
        <v>1</v>
      </c>
      <c r="AC66">
        <v>36.989643009092632</v>
      </c>
    </row>
    <row r="67" spans="1:29" ht="14.4" x14ac:dyDescent="0.3">
      <c r="A67" t="s">
        <v>164</v>
      </c>
      <c r="B67" s="4" t="str">
        <f>Tx_croissance!AH67</f>
        <v>NA</v>
      </c>
      <c r="C67" s="4" t="str">
        <f t="shared" si="1"/>
        <v>NA</v>
      </c>
      <c r="D67" s="4" t="s">
        <v>37</v>
      </c>
      <c r="E67" s="4">
        <v>0.6600932258896044</v>
      </c>
      <c r="F67" s="4">
        <v>2.0322501063346841</v>
      </c>
      <c r="G67" s="4">
        <v>80.243631436314374</v>
      </c>
      <c r="H67" s="4" t="s">
        <v>37</v>
      </c>
      <c r="I67" s="4" t="s">
        <v>37</v>
      </c>
      <c r="J67" s="4" t="s">
        <v>37</v>
      </c>
      <c r="K67" s="4" t="s">
        <v>37</v>
      </c>
      <c r="L67" s="4" t="s">
        <v>37</v>
      </c>
      <c r="M67" s="4" t="s">
        <v>37</v>
      </c>
      <c r="N67" s="4" t="s">
        <v>37</v>
      </c>
      <c r="O67" s="4" t="s">
        <v>37</v>
      </c>
      <c r="P67" t="s">
        <v>37</v>
      </c>
      <c r="Q67" t="s">
        <v>37</v>
      </c>
      <c r="R67" t="e">
        <v>#DIV/0!</v>
      </c>
      <c r="S67" t="e">
        <v>#DIV/0!</v>
      </c>
      <c r="T67" t="e">
        <v>#DIV/0!</v>
      </c>
      <c r="U67" t="s">
        <v>37</v>
      </c>
      <c r="V67" t="str">
        <f>'VATtax et trade tax et ipc '!AI67</f>
        <v>NA</v>
      </c>
      <c r="W67" s="9" t="str">
        <v>NA</v>
      </c>
      <c r="X67" t="str">
        <f>'VATtax et trade tax et ipc '!AM67</f>
        <v>NA</v>
      </c>
      <c r="AA67">
        <v>0</v>
      </c>
      <c r="AB67">
        <v>0</v>
      </c>
      <c r="AC67" t="s">
        <v>37</v>
      </c>
    </row>
    <row r="68" spans="1:29" ht="14.4" x14ac:dyDescent="0.3">
      <c r="A68" t="s">
        <v>166</v>
      </c>
      <c r="B68" s="4">
        <f>Tx_croissance!AH68</f>
        <v>1.2628376839420197</v>
      </c>
      <c r="C68" s="4">
        <f t="shared" si="1"/>
        <v>8.2390860797773744</v>
      </c>
      <c r="D68" s="4">
        <v>19.650594080757958</v>
      </c>
      <c r="E68" s="4">
        <v>0.57815734524380624</v>
      </c>
      <c r="F68" s="4">
        <v>1.4456469664971034</v>
      </c>
      <c r="G68" s="4">
        <v>66.953444444444443</v>
      </c>
      <c r="H68" s="4">
        <v>0.39033469852680963</v>
      </c>
      <c r="I68" s="4">
        <v>98.398497361403216</v>
      </c>
      <c r="J68" s="4">
        <v>86.345623016357393</v>
      </c>
      <c r="K68" s="4" t="s">
        <v>37</v>
      </c>
      <c r="L68" s="4">
        <v>0.33546735998243088</v>
      </c>
      <c r="M68" s="4">
        <v>-0.28374307932487369</v>
      </c>
      <c r="N68" s="4">
        <v>-0.16318604206511128</v>
      </c>
      <c r="O68" s="4">
        <v>-0.27599281988417101</v>
      </c>
      <c r="P68">
        <v>3786.0785527735911</v>
      </c>
      <c r="Q68">
        <v>22.05024948040781</v>
      </c>
      <c r="R68">
        <v>31.892930275405583</v>
      </c>
      <c r="S68">
        <v>25.353333333333342</v>
      </c>
      <c r="T68">
        <v>27.810763004086102</v>
      </c>
      <c r="U68" t="s">
        <v>37</v>
      </c>
      <c r="V68">
        <f>'VATtax et trade tax et ipc '!AI68</f>
        <v>11.918800480289622</v>
      </c>
      <c r="W68" s="9">
        <v>5.4103898116219078</v>
      </c>
      <c r="X68">
        <f>'VATtax et trade tax et ipc '!AM68</f>
        <v>7.593078716714543</v>
      </c>
      <c r="Y68">
        <v>22.206142408603704</v>
      </c>
      <c r="Z68">
        <v>14.191714897813956</v>
      </c>
      <c r="AA68">
        <v>0</v>
      </c>
      <c r="AB68">
        <v>0</v>
      </c>
      <c r="AC68">
        <v>17.824778338073259</v>
      </c>
    </row>
    <row r="69" spans="1:29" ht="14.4" x14ac:dyDescent="0.3">
      <c r="A69" t="s">
        <v>168</v>
      </c>
      <c r="B69" s="4">
        <f>Tx_croissance!AH69</f>
        <v>1.6819478219038508</v>
      </c>
      <c r="C69" s="4">
        <f t="shared" si="1"/>
        <v>10.306045036730406</v>
      </c>
      <c r="D69" s="4">
        <v>22.616006547709105</v>
      </c>
      <c r="E69" s="4">
        <v>0.31409725419440498</v>
      </c>
      <c r="F69" s="4">
        <v>1.0381167804201443</v>
      </c>
      <c r="G69" s="4">
        <v>79.512195121951237</v>
      </c>
      <c r="H69" s="4">
        <v>1.3199658890565236</v>
      </c>
      <c r="I69" s="4" t="s">
        <v>37</v>
      </c>
      <c r="J69" s="4">
        <v>48.596689496721531</v>
      </c>
      <c r="K69" s="4">
        <v>10.353532910346992</v>
      </c>
      <c r="L69" s="4">
        <v>2.253437538941701</v>
      </c>
      <c r="M69" s="4">
        <v>1.7731424123048789</v>
      </c>
      <c r="N69" s="4">
        <v>1.9727722009023034</v>
      </c>
      <c r="O69" s="4">
        <v>1.5572777787844336</v>
      </c>
      <c r="P69">
        <v>29912.897973915817</v>
      </c>
      <c r="Q69">
        <v>21.99518015508793</v>
      </c>
      <c r="R69">
        <v>32.622648486028204</v>
      </c>
      <c r="S69">
        <v>14.653333333333334</v>
      </c>
      <c r="T69">
        <v>18.049381208086491</v>
      </c>
      <c r="U69" t="s">
        <v>37</v>
      </c>
      <c r="V69">
        <f>'VATtax et trade tax et ipc '!AI69</f>
        <v>13.677887827529627</v>
      </c>
      <c r="W69" s="9">
        <v>2.2031661464637317E-3</v>
      </c>
      <c r="X69">
        <f>'VATtax et trade tax et ipc '!AM69</f>
        <v>6.591138721503996</v>
      </c>
      <c r="Y69">
        <v>20.702391703619519</v>
      </c>
      <c r="Z69">
        <v>19.278734436676171</v>
      </c>
      <c r="AA69">
        <v>0</v>
      </c>
      <c r="AB69">
        <v>0</v>
      </c>
      <c r="AC69">
        <v>2.0862845671247111E-2</v>
      </c>
    </row>
    <row r="70" spans="1:29" ht="14.4" x14ac:dyDescent="0.3">
      <c r="A70" t="s">
        <v>170</v>
      </c>
      <c r="B70" s="4">
        <f>Tx_croissance!AH70</f>
        <v>0.99072551633061501</v>
      </c>
      <c r="C70" s="4">
        <f t="shared" si="1"/>
        <v>10.300420657363505</v>
      </c>
      <c r="D70" s="4">
        <v>21.985984206283359</v>
      </c>
      <c r="E70" s="4">
        <v>0.48575480066264654</v>
      </c>
      <c r="F70" s="4">
        <v>-0.74452242441475402</v>
      </c>
      <c r="G70" s="4">
        <v>80.7777777777778</v>
      </c>
      <c r="H70" s="4">
        <v>0.43774330934199196</v>
      </c>
      <c r="I70" s="4">
        <v>102.2315390904745</v>
      </c>
      <c r="J70" s="4">
        <v>106.51970115074752</v>
      </c>
      <c r="K70" s="4">
        <v>59.605974126745153</v>
      </c>
      <c r="L70" s="4">
        <v>1.3294835736354205</v>
      </c>
      <c r="M70" s="4">
        <v>1.1579755966862053</v>
      </c>
      <c r="N70" s="4">
        <v>1.3902327517668407</v>
      </c>
      <c r="O70" s="4">
        <v>1.2115315993626921</v>
      </c>
      <c r="P70">
        <v>29745.128728949428</v>
      </c>
      <c r="Q70">
        <v>20.92424285686015</v>
      </c>
      <c r="R70">
        <v>46.371919464179257</v>
      </c>
      <c r="S70">
        <v>4.373333333333334</v>
      </c>
      <c r="T70">
        <v>24.423644545959061</v>
      </c>
      <c r="U70">
        <v>81.098107334589642</v>
      </c>
      <c r="V70">
        <f>'VATtax et trade tax et ipc '!AI70</f>
        <v>10.017844585767117</v>
      </c>
      <c r="W70" s="9">
        <v>-2.478906536412002E-3</v>
      </c>
      <c r="X70">
        <f>'VATtax et trade tax et ipc '!AM70</f>
        <v>10.592643712228226</v>
      </c>
      <c r="Y70">
        <v>19.463207343510032</v>
      </c>
      <c r="Z70">
        <v>20.074072067590762</v>
      </c>
      <c r="AA70">
        <v>0</v>
      </c>
      <c r="AB70">
        <v>0</v>
      </c>
      <c r="AC70">
        <v>-9.1773942342657198E-3</v>
      </c>
    </row>
    <row r="71" spans="1:29" ht="14.4" x14ac:dyDescent="0.3">
      <c r="A71" t="s">
        <v>172</v>
      </c>
      <c r="B71" s="4">
        <f>Tx_croissance!AH71</f>
        <v>-0.49667180903275598</v>
      </c>
      <c r="C71" s="4">
        <f t="shared" si="1"/>
        <v>10.000356873448569</v>
      </c>
      <c r="D71" s="4">
        <v>21.363173383278301</v>
      </c>
      <c r="E71" s="4">
        <v>1.059094759613344</v>
      </c>
      <c r="F71" s="4">
        <v>-0.69177870576580369</v>
      </c>
      <c r="G71" s="4">
        <v>80.385259259259257</v>
      </c>
      <c r="H71" s="4" t="s">
        <v>37</v>
      </c>
      <c r="I71" s="4">
        <v>102.33266857692179</v>
      </c>
      <c r="J71" s="4">
        <v>96.808917999267521</v>
      </c>
      <c r="K71" s="4">
        <v>49.050262451171875</v>
      </c>
      <c r="L71" s="4" t="s">
        <v>37</v>
      </c>
      <c r="M71" s="4" t="s">
        <v>37</v>
      </c>
      <c r="N71" s="4" t="s">
        <v>37</v>
      </c>
      <c r="O71" s="4" t="s">
        <v>37</v>
      </c>
      <c r="P71">
        <v>22034.32785841214</v>
      </c>
      <c r="Q71" t="s">
        <v>37</v>
      </c>
      <c r="R71" t="e">
        <v>#DIV/0!</v>
      </c>
      <c r="S71" t="e">
        <v>#DIV/0!</v>
      </c>
      <c r="T71" t="e">
        <v>#DIV/0!</v>
      </c>
      <c r="U71" t="s">
        <v>37</v>
      </c>
      <c r="V71" t="str">
        <f>'VATtax et trade tax et ipc '!AI71</f>
        <v>NA</v>
      </c>
      <c r="W71" s="9" t="str">
        <v>NA</v>
      </c>
      <c r="X71" t="str">
        <f>'VATtax et trade tax et ipc '!AM71</f>
        <v>NA</v>
      </c>
      <c r="AA71">
        <v>0</v>
      </c>
      <c r="AB71">
        <v>0</v>
      </c>
      <c r="AC71" t="s">
        <v>37</v>
      </c>
    </row>
    <row r="72" spans="1:29" ht="14.4" x14ac:dyDescent="0.3">
      <c r="A72" t="s">
        <v>174</v>
      </c>
      <c r="B72" s="4">
        <f>Tx_croissance!AH72</f>
        <v>-0.92262439367560845</v>
      </c>
      <c r="C72" s="4">
        <f t="shared" si="1"/>
        <v>9.0506901655816367</v>
      </c>
      <c r="D72" s="4">
        <v>25.05341806046761</v>
      </c>
      <c r="E72" s="4">
        <v>2.7906659098474336</v>
      </c>
      <c r="F72" s="4">
        <v>0.16349905605117479</v>
      </c>
      <c r="G72" s="4">
        <v>63.299518518518525</v>
      </c>
      <c r="H72" s="4">
        <v>0.17963686519457653</v>
      </c>
      <c r="I72" s="4">
        <v>90.087460021972632</v>
      </c>
      <c r="J72" s="4">
        <v>50.975727164227031</v>
      </c>
      <c r="K72" s="4">
        <v>13.06001290153054</v>
      </c>
      <c r="L72" s="4">
        <v>-0.8498075405756631</v>
      </c>
      <c r="M72" s="4">
        <v>-0.45658321895947102</v>
      </c>
      <c r="N72" s="4">
        <v>-0.55036712748308969</v>
      </c>
      <c r="O72" s="4">
        <v>-0.81904157996177684</v>
      </c>
      <c r="P72">
        <v>8524.4191555286543</v>
      </c>
      <c r="Q72">
        <v>12.787819499922321</v>
      </c>
      <c r="R72">
        <v>43.236027568702795</v>
      </c>
      <c r="S72">
        <v>19.000000000000004</v>
      </c>
      <c r="T72">
        <v>25.407508094044903</v>
      </c>
      <c r="U72" t="s">
        <v>37</v>
      </c>
      <c r="V72">
        <f>'VATtax et trade tax et ipc '!AI72</f>
        <v>3.4388341376658254</v>
      </c>
      <c r="W72" s="9">
        <v>4.9747318964416261</v>
      </c>
      <c r="X72">
        <f>'VATtax et trade tax et ipc '!AM72</f>
        <v>7.5982254954284398</v>
      </c>
      <c r="Z72">
        <v>22.676954601648351</v>
      </c>
      <c r="AA72">
        <v>0</v>
      </c>
      <c r="AB72">
        <v>0</v>
      </c>
      <c r="AC72" t="s">
        <v>37</v>
      </c>
    </row>
    <row r="73" spans="1:29" ht="14.4" x14ac:dyDescent="0.3">
      <c r="A73" t="s">
        <v>176</v>
      </c>
      <c r="B73" s="4">
        <f>Tx_croissance!AH73</f>
        <v>0.3307911112786055</v>
      </c>
      <c r="C73" s="4">
        <f t="shared" si="1"/>
        <v>6.4305144548586526</v>
      </c>
      <c r="D73" s="4">
        <v>15.067814278400229</v>
      </c>
      <c r="E73" s="4">
        <v>2.8866332998066047</v>
      </c>
      <c r="F73" s="4">
        <v>1.5525249491135273</v>
      </c>
      <c r="G73" s="4">
        <v>59.767148148148145</v>
      </c>
      <c r="H73" s="4">
        <v>0.1368167103222126</v>
      </c>
      <c r="I73" s="4">
        <v>126.64257939656558</v>
      </c>
      <c r="J73" s="4">
        <v>114.57732946222478</v>
      </c>
      <c r="K73" s="4" t="s">
        <v>37</v>
      </c>
      <c r="L73" s="4">
        <v>-0.53877541422843933</v>
      </c>
      <c r="M73" s="4">
        <v>-0.55705204109350837</v>
      </c>
      <c r="N73" s="4">
        <v>-0.40955680965756375</v>
      </c>
      <c r="O73" s="4">
        <v>-0.83454590368395143</v>
      </c>
      <c r="P73">
        <v>620.49308159635086</v>
      </c>
      <c r="Q73" t="s">
        <v>37</v>
      </c>
      <c r="R73" t="e">
        <v>#DIV/0!</v>
      </c>
      <c r="S73">
        <v>7.3199999999999985</v>
      </c>
      <c r="T73" t="e">
        <v>#DIV/0!</v>
      </c>
      <c r="U73" t="s">
        <v>37</v>
      </c>
      <c r="V73" t="str">
        <f>'VATtax et trade tax et ipc '!AI73</f>
        <v>NA</v>
      </c>
      <c r="W73" s="9" t="str">
        <v>NA</v>
      </c>
      <c r="X73" t="str">
        <f>'VATtax et trade tax et ipc '!AM73</f>
        <v>NA</v>
      </c>
      <c r="Z73">
        <v>6.9037033956291225</v>
      </c>
      <c r="AA73">
        <v>0</v>
      </c>
      <c r="AB73">
        <v>1</v>
      </c>
      <c r="AC73" t="s">
        <v>37</v>
      </c>
    </row>
    <row r="74" spans="1:29" ht="14.4" x14ac:dyDescent="0.3">
      <c r="A74" t="s">
        <v>178</v>
      </c>
      <c r="B74" s="4">
        <f>Tx_croissance!AH74</f>
        <v>6.345221127582712</v>
      </c>
      <c r="C74" s="4">
        <f t="shared" si="1"/>
        <v>6.9402264003074405</v>
      </c>
      <c r="D74" s="4">
        <v>22.69240059449249</v>
      </c>
      <c r="E74" s="4">
        <v>-0.94427716159705677</v>
      </c>
      <c r="F74" s="4">
        <v>-0.15913846630913517</v>
      </c>
      <c r="G74" s="4">
        <v>71.375814814814802</v>
      </c>
      <c r="H74" s="4">
        <v>-0.74428281684716568</v>
      </c>
      <c r="I74" s="4">
        <v>79.540315839979371</v>
      </c>
      <c r="J74" s="4">
        <v>30.705295713324297</v>
      </c>
      <c r="K74" s="4">
        <v>6.7434458028186475</v>
      </c>
      <c r="L74" s="4">
        <v>3.6486575612798063E-2</v>
      </c>
      <c r="M74" s="4">
        <v>0.31753404376407462</v>
      </c>
      <c r="N74" s="4">
        <v>-0.26453998545184748</v>
      </c>
      <c r="O74" s="4">
        <v>-4.9925862384649522E-2</v>
      </c>
      <c r="P74">
        <v>1033.0040609249816</v>
      </c>
      <c r="Q74">
        <v>18.014389550260283</v>
      </c>
      <c r="R74">
        <v>34.258639175834091</v>
      </c>
      <c r="S74">
        <v>12.960000000000004</v>
      </c>
      <c r="T74">
        <v>27.089518652315341</v>
      </c>
      <c r="U74">
        <v>41.564241215888167</v>
      </c>
      <c r="V74">
        <f>'VATtax et trade tax et ipc '!AI74</f>
        <v>12.52933661705954</v>
      </c>
      <c r="W74" s="9">
        <v>0.31263581127874779</v>
      </c>
      <c r="X74">
        <f>'VATtax et trade tax et ipc '!AM74</f>
        <v>8.2897837566778616</v>
      </c>
      <c r="Y74">
        <v>5.4148429603032806</v>
      </c>
      <c r="Z74">
        <v>4.0329026744678229</v>
      </c>
      <c r="AA74">
        <v>0</v>
      </c>
      <c r="AB74">
        <v>1</v>
      </c>
      <c r="AC74">
        <v>3.9153152265576709</v>
      </c>
    </row>
    <row r="75" spans="1:29" ht="14.4" x14ac:dyDescent="0.3">
      <c r="A75" t="s">
        <v>180</v>
      </c>
      <c r="B75" s="4">
        <f>Tx_croissance!AH75</f>
        <v>1.1754347476069515</v>
      </c>
      <c r="C75" s="4">
        <f t="shared" si="1"/>
        <v>10.361803136077201</v>
      </c>
      <c r="D75" s="4">
        <v>20.90719561443013</v>
      </c>
      <c r="E75" s="4">
        <v>0.10200962188824382</v>
      </c>
      <c r="F75" s="4">
        <v>0.48878065310418611</v>
      </c>
      <c r="G75" s="4">
        <v>79.384588979223153</v>
      </c>
      <c r="H75" s="4">
        <v>0.84488096336523721</v>
      </c>
      <c r="I75" s="4">
        <v>76.365644182477681</v>
      </c>
      <c r="J75" s="4">
        <v>47.910783131917384</v>
      </c>
      <c r="K75" s="4">
        <v>1.8015100161234525</v>
      </c>
      <c r="L75" s="4">
        <v>1.8199409941832221</v>
      </c>
      <c r="M75" s="4">
        <v>1.5723676830530167</v>
      </c>
      <c r="N75" s="4">
        <v>1.6427566111087792</v>
      </c>
      <c r="O75" s="4">
        <v>1.3841685404380162</v>
      </c>
      <c r="P75">
        <v>31628.159813094277</v>
      </c>
      <c r="Q75">
        <v>10.859416359055366</v>
      </c>
      <c r="R75">
        <v>42.069456242391986</v>
      </c>
      <c r="S75">
        <v>22.059999999999995</v>
      </c>
      <c r="T75">
        <v>16.181487319929865</v>
      </c>
      <c r="U75" t="s">
        <v>37</v>
      </c>
      <c r="V75">
        <f>'VATtax et trade tax et ipc '!AI75</f>
        <v>6.3613952593255148</v>
      </c>
      <c r="W75" s="9" t="str">
        <v>NA</v>
      </c>
      <c r="X75">
        <f>'VATtax et trade tax et ipc '!AM75</f>
        <v>4.665367663294508</v>
      </c>
      <c r="Y75">
        <v>11.476134930143935</v>
      </c>
      <c r="Z75">
        <v>23.539039696824148</v>
      </c>
      <c r="AA75">
        <v>0</v>
      </c>
      <c r="AB75">
        <v>0</v>
      </c>
      <c r="AC75" t="s">
        <v>37</v>
      </c>
    </row>
    <row r="76" spans="1:29" ht="14.4" x14ac:dyDescent="0.3">
      <c r="A76" t="s">
        <v>182</v>
      </c>
      <c r="B76" s="4">
        <f>Tx_croissance!AH76</f>
        <v>2.9311797648163607</v>
      </c>
      <c r="C76" s="4">
        <f t="shared" si="1"/>
        <v>6.8364530648722361</v>
      </c>
      <c r="D76" s="4">
        <v>20.64124788258226</v>
      </c>
      <c r="E76" s="4">
        <v>2.4114687259561474</v>
      </c>
      <c r="F76" s="4">
        <v>0.87329689945493405</v>
      </c>
      <c r="G76" s="4">
        <v>60.70511111111113</v>
      </c>
      <c r="H76" s="4">
        <v>-1.1870023852679929E-2</v>
      </c>
      <c r="I76" s="4" t="s">
        <v>37</v>
      </c>
      <c r="J76" s="4" t="s">
        <v>37</v>
      </c>
      <c r="K76" s="4">
        <v>2.3468550443649301</v>
      </c>
      <c r="L76" s="4">
        <v>-0.15635264323403433</v>
      </c>
      <c r="M76" s="4">
        <v>-0.14210584392033823</v>
      </c>
      <c r="N76" s="4">
        <v>-2.3500415273398786E-2</v>
      </c>
      <c r="O76" s="4">
        <v>0.36027118672306341</v>
      </c>
      <c r="P76">
        <v>931.18043373344699</v>
      </c>
      <c r="Q76">
        <v>13.880276853448029</v>
      </c>
      <c r="R76">
        <v>37.937575666558288</v>
      </c>
      <c r="S76">
        <v>18.046666666666667</v>
      </c>
      <c r="T76">
        <v>28.236561528417951</v>
      </c>
      <c r="U76" t="s">
        <v>37</v>
      </c>
      <c r="V76">
        <f>'VATtax et trade tax et ipc '!AI76</f>
        <v>4.7763615521728324</v>
      </c>
      <c r="W76" s="9">
        <v>1.9223912572491326</v>
      </c>
      <c r="X76">
        <f>'VATtax et trade tax et ipc '!AM76</f>
        <v>5.2634084453014625</v>
      </c>
      <c r="Z76">
        <v>21.130848717055613</v>
      </c>
      <c r="AA76">
        <v>0</v>
      </c>
      <c r="AB76">
        <v>1</v>
      </c>
      <c r="AC76">
        <v>18.134927143448955</v>
      </c>
    </row>
    <row r="77" spans="1:29" ht="14.4" x14ac:dyDescent="0.3">
      <c r="A77" t="s">
        <v>184</v>
      </c>
      <c r="B77" s="4" t="str">
        <f>Tx_croissance!AH77</f>
        <v>NA</v>
      </c>
      <c r="C77" s="4" t="str">
        <f t="shared" si="1"/>
        <v>NA</v>
      </c>
      <c r="D77" s="4" t="s">
        <v>37</v>
      </c>
      <c r="E77" s="4">
        <v>0.64138244039680725</v>
      </c>
      <c r="F77" s="4">
        <v>0.23098738216989056</v>
      </c>
      <c r="G77" s="4">
        <v>80.757629629629633</v>
      </c>
      <c r="H77" s="4" t="s">
        <v>37</v>
      </c>
      <c r="I77" s="4">
        <v>65.889501571655273</v>
      </c>
      <c r="J77" s="4" t="s">
        <v>37</v>
      </c>
      <c r="K77" s="4">
        <v>4.4648414850234959</v>
      </c>
      <c r="L77" s="4" t="s">
        <v>37</v>
      </c>
      <c r="M77" s="4" t="s">
        <v>37</v>
      </c>
      <c r="N77" s="4" t="s">
        <v>37</v>
      </c>
      <c r="O77" s="4" t="s">
        <v>37</v>
      </c>
      <c r="P77" t="s">
        <v>37</v>
      </c>
      <c r="Q77" t="s">
        <v>37</v>
      </c>
      <c r="R77" t="e">
        <v>#DIV/0!</v>
      </c>
      <c r="S77" t="e">
        <v>#DIV/0!</v>
      </c>
      <c r="T77" t="e">
        <v>#DIV/0!</v>
      </c>
      <c r="U77" t="s">
        <v>37</v>
      </c>
      <c r="V77" t="str">
        <f>'VATtax et trade tax et ipc '!AI77</f>
        <v>NA</v>
      </c>
      <c r="W77" s="9" t="str">
        <v>NA</v>
      </c>
      <c r="X77" t="str">
        <f>'VATtax et trade tax et ipc '!AM77</f>
        <v>NA</v>
      </c>
      <c r="AA77">
        <v>0</v>
      </c>
      <c r="AB77">
        <v>0</v>
      </c>
      <c r="AC77" t="s">
        <v>37</v>
      </c>
    </row>
    <row r="78" spans="1:29" ht="14.4" x14ac:dyDescent="0.3">
      <c r="A78" t="s">
        <v>186</v>
      </c>
      <c r="B78" s="4">
        <f>Tx_croissance!AH78</f>
        <v>0.89569372918330004</v>
      </c>
      <c r="C78" s="4">
        <f t="shared" si="1"/>
        <v>9.6770106470545141</v>
      </c>
      <c r="D78" s="4">
        <v>18.045836282575085</v>
      </c>
      <c r="E78" s="4">
        <v>-2.9336927490062947E-2</v>
      </c>
      <c r="F78" s="4">
        <v>0.25520894558806156</v>
      </c>
      <c r="G78" s="4">
        <v>79.752213188798564</v>
      </c>
      <c r="H78" s="4">
        <v>0.21203850178668895</v>
      </c>
      <c r="I78" s="4">
        <v>99.990347290039097</v>
      </c>
      <c r="J78" s="4">
        <v>101.49036041259765</v>
      </c>
      <c r="K78" s="4">
        <v>92.304360548655197</v>
      </c>
      <c r="L78" s="4">
        <v>0.14105121593456696</v>
      </c>
      <c r="M78" s="4">
        <v>0.61488925230999791</v>
      </c>
      <c r="N78" s="4">
        <v>0.5449167136102917</v>
      </c>
      <c r="O78" s="4">
        <v>0.89586101969083176</v>
      </c>
      <c r="P78">
        <v>15946.755124636547</v>
      </c>
      <c r="Q78">
        <v>18.842003547433283</v>
      </c>
      <c r="R78">
        <v>35.065952855794976</v>
      </c>
      <c r="S78">
        <v>17.54</v>
      </c>
      <c r="T78">
        <v>18.763887427633232</v>
      </c>
      <c r="U78">
        <v>155.28242064602287</v>
      </c>
      <c r="V78">
        <f>'VATtax et trade tax et ipc '!AI78</f>
        <v>13.096301271343828</v>
      </c>
      <c r="W78" s="9">
        <v>4.8529450383086531E-3</v>
      </c>
      <c r="X78">
        <f>'VATtax et trade tax et ipc '!AM78</f>
        <v>7.7698136448742394</v>
      </c>
      <c r="Y78">
        <v>18.580841289388747</v>
      </c>
      <c r="Z78">
        <v>19.957068929666715</v>
      </c>
      <c r="AA78">
        <v>0</v>
      </c>
      <c r="AB78">
        <v>0</v>
      </c>
      <c r="AC78">
        <v>2.4105718544489146E-2</v>
      </c>
    </row>
    <row r="79" spans="1:29" ht="14.4" x14ac:dyDescent="0.3">
      <c r="A79" t="s">
        <v>188</v>
      </c>
      <c r="B79" s="4" t="str">
        <f>Tx_croissance!AH79</f>
        <v>NA</v>
      </c>
      <c r="C79" s="4">
        <f t="shared" si="1"/>
        <v>10.18174471862006</v>
      </c>
      <c r="D79" s="4">
        <v>30.682902609032304</v>
      </c>
      <c r="E79" s="4">
        <v>7.3939723676535632E-2</v>
      </c>
      <c r="F79" s="4">
        <v>-0.68765000626444817</v>
      </c>
      <c r="G79" s="4">
        <v>69.251833785004521</v>
      </c>
      <c r="H79" s="4">
        <v>1.8508105448314118</v>
      </c>
      <c r="I79" s="4">
        <v>104.85790053657867</v>
      </c>
      <c r="J79" s="4">
        <v>105.83004557291677</v>
      </c>
      <c r="K79" s="4">
        <v>86.549924468994163</v>
      </c>
      <c r="L79" s="4">
        <v>1.1431821584701538</v>
      </c>
      <c r="M79" s="4">
        <v>1.3415428144591199</v>
      </c>
      <c r="N79" s="4">
        <v>1.7039507627487185</v>
      </c>
      <c r="O79" s="4">
        <v>1.2764134917940413</v>
      </c>
      <c r="P79">
        <v>26416.51650283677</v>
      </c>
      <c r="Q79" t="s">
        <v>37</v>
      </c>
      <c r="R79" t="e">
        <v>#DIV/0!</v>
      </c>
      <c r="S79" t="e">
        <v>#DIV/0!</v>
      </c>
      <c r="T79" t="e">
        <v>#DIV/0!</v>
      </c>
      <c r="U79" t="s">
        <v>37</v>
      </c>
      <c r="V79" t="str">
        <f>'VATtax et trade tax et ipc '!AI79</f>
        <v>NA</v>
      </c>
      <c r="W79" s="9" t="str">
        <v>NA</v>
      </c>
      <c r="X79" t="str">
        <f>'VATtax et trade tax et ipc '!AM79</f>
        <v>NA</v>
      </c>
      <c r="AA79">
        <v>0</v>
      </c>
      <c r="AB79">
        <v>0</v>
      </c>
      <c r="AC79" t="s">
        <v>37</v>
      </c>
    </row>
    <row r="80" spans="1:29" ht="14.4" x14ac:dyDescent="0.3">
      <c r="A80" t="s">
        <v>190</v>
      </c>
      <c r="B80" s="4">
        <f>Tx_croissance!AH80</f>
        <v>2.0547903136987955</v>
      </c>
      <c r="C80" s="4">
        <f t="shared" si="1"/>
        <v>8.520590731463523</v>
      </c>
      <c r="D80" s="4" t="s">
        <v>37</v>
      </c>
      <c r="E80" s="4">
        <v>0.69783831884350189</v>
      </c>
      <c r="F80" s="4">
        <v>-1.0567447940508528</v>
      </c>
      <c r="G80" s="4">
        <v>73.981407407407403</v>
      </c>
      <c r="H80" s="4">
        <v>0.74639604364832224</v>
      </c>
      <c r="I80" s="4" t="s">
        <v>37</v>
      </c>
      <c r="J80" s="4" t="e">
        <v>#DIV/0!</v>
      </c>
      <c r="K80" s="4" t="s">
        <v>37</v>
      </c>
      <c r="L80" s="4">
        <v>0.56273271391789115</v>
      </c>
      <c r="M80" s="4">
        <v>0.24337385346492132</v>
      </c>
      <c r="N80" s="4">
        <v>0.28669530960420769</v>
      </c>
      <c r="O80" s="4">
        <v>0.7301711464921633</v>
      </c>
      <c r="P80">
        <v>5017.0165911424347</v>
      </c>
      <c r="Q80" t="s">
        <v>37</v>
      </c>
      <c r="R80" t="e">
        <v>#DIV/0!</v>
      </c>
      <c r="S80">
        <v>27.366666666666671</v>
      </c>
      <c r="T80" t="e">
        <v>#DIV/0!</v>
      </c>
      <c r="U80" t="s">
        <v>37</v>
      </c>
      <c r="V80" t="str">
        <f>'VATtax et trade tax et ipc '!AI80</f>
        <v>NA</v>
      </c>
      <c r="W80" s="9" t="str">
        <v>NA</v>
      </c>
      <c r="X80" t="str">
        <f>'VATtax et trade tax et ipc '!AM80</f>
        <v>NA</v>
      </c>
      <c r="AA80">
        <v>0</v>
      </c>
      <c r="AB80">
        <v>0</v>
      </c>
      <c r="AC80" t="s">
        <v>37</v>
      </c>
    </row>
    <row r="81" spans="1:29" ht="14.4" x14ac:dyDescent="0.3">
      <c r="A81" t="s">
        <v>192</v>
      </c>
      <c r="B81" s="4" t="str">
        <f>Tx_croissance!AH81</f>
        <v>NA</v>
      </c>
      <c r="C81" s="4" t="str">
        <f t="shared" si="1"/>
        <v>NA</v>
      </c>
      <c r="D81" s="4" t="s">
        <v>37</v>
      </c>
      <c r="E81" s="4">
        <v>0.53581699798571192</v>
      </c>
      <c r="F81" s="4">
        <v>-1.3404590561985976</v>
      </c>
      <c r="G81" s="4">
        <v>76.117407407407413</v>
      </c>
      <c r="H81" s="4">
        <v>0.6920134174196344</v>
      </c>
      <c r="I81" s="4">
        <v>104.13895670572911</v>
      </c>
      <c r="J81" s="4">
        <v>43.333500191017436</v>
      </c>
      <c r="K81" s="4">
        <v>16.769199689229328</v>
      </c>
      <c r="L81" s="4">
        <v>0.96791237278988507</v>
      </c>
      <c r="M81" s="4">
        <v>0.45352506127796677</v>
      </c>
      <c r="N81" s="4">
        <v>1.1569211828081229</v>
      </c>
      <c r="O81" s="4">
        <v>0.89764646689097083</v>
      </c>
      <c r="P81" t="s">
        <v>37</v>
      </c>
      <c r="Q81" t="s">
        <v>37</v>
      </c>
      <c r="R81" t="e">
        <v>#DIV/0!</v>
      </c>
      <c r="S81" t="e">
        <v>#DIV/0!</v>
      </c>
      <c r="T81" t="e">
        <v>#DIV/0!</v>
      </c>
      <c r="U81" t="s">
        <v>37</v>
      </c>
      <c r="V81" t="str">
        <f>'VATtax et trade tax et ipc '!AI81</f>
        <v>NA</v>
      </c>
      <c r="W81" s="9" t="str">
        <v>NA</v>
      </c>
      <c r="X81" t="str">
        <f>'VATtax et trade tax et ipc '!AM81</f>
        <v>NA</v>
      </c>
      <c r="AA81">
        <v>0</v>
      </c>
      <c r="AB81">
        <v>0</v>
      </c>
      <c r="AC81" t="s">
        <v>37</v>
      </c>
    </row>
    <row r="82" spans="1:29" ht="14.4" x14ac:dyDescent="0.3">
      <c r="A82" t="s">
        <v>194</v>
      </c>
      <c r="B82" s="4">
        <f>Tx_croissance!AH82</f>
        <v>1.5595123921651854</v>
      </c>
      <c r="C82" s="4">
        <f t="shared" si="1"/>
        <v>7.9949310793547737</v>
      </c>
      <c r="D82" s="4">
        <v>16.218014630744367</v>
      </c>
      <c r="E82" s="4">
        <v>1.9561309163295573</v>
      </c>
      <c r="F82" s="4">
        <v>-0.20936456299386927</v>
      </c>
      <c r="G82" s="4">
        <v>69.648222222222216</v>
      </c>
      <c r="H82" s="4">
        <v>-0.68649309128522873</v>
      </c>
      <c r="I82" s="4" t="s">
        <v>37</v>
      </c>
      <c r="J82" s="4" t="s">
        <v>37</v>
      </c>
      <c r="K82" s="4" t="s">
        <v>37</v>
      </c>
      <c r="L82" s="4">
        <v>-0.78526526441176758</v>
      </c>
      <c r="M82" s="4">
        <v>-0.28400343656539923</v>
      </c>
      <c r="N82" s="4">
        <v>-1.0538753569126125</v>
      </c>
      <c r="O82" s="4">
        <v>-0.31990630676349002</v>
      </c>
      <c r="P82">
        <v>2965.8859792360372</v>
      </c>
      <c r="Q82">
        <v>10.14302304139745</v>
      </c>
      <c r="R82">
        <v>29.724292838528296</v>
      </c>
      <c r="S82">
        <v>24.126666666666665</v>
      </c>
      <c r="T82">
        <v>27.525875453304575</v>
      </c>
      <c r="U82">
        <v>19.303342686563827</v>
      </c>
      <c r="V82">
        <f>'VATtax et trade tax et ipc '!AI82</f>
        <v>6.0931659598799648</v>
      </c>
      <c r="W82" s="9">
        <v>0.73815269326533328</v>
      </c>
      <c r="X82">
        <f>'VATtax et trade tax et ipc '!AM82</f>
        <v>3.3392861696380902</v>
      </c>
      <c r="Y82">
        <v>7.7147312425577637</v>
      </c>
      <c r="Z82">
        <v>14.514736616181183</v>
      </c>
      <c r="AA82">
        <v>0</v>
      </c>
      <c r="AB82">
        <v>1</v>
      </c>
      <c r="AC82">
        <v>9.3026844712152794</v>
      </c>
    </row>
    <row r="83" spans="1:29" ht="14.4" x14ac:dyDescent="0.3">
      <c r="A83" t="s">
        <v>196</v>
      </c>
      <c r="B83" s="4">
        <f>Tx_croissance!AH83</f>
        <v>2.0695233549808956</v>
      </c>
      <c r="C83" s="4">
        <f t="shared" si="1"/>
        <v>6.3491088360104726</v>
      </c>
      <c r="D83" s="4">
        <v>21.111724804432367</v>
      </c>
      <c r="E83" s="4">
        <v>2.3081741075430418</v>
      </c>
      <c r="F83" s="4">
        <v>-1.682975731790066</v>
      </c>
      <c r="G83" s="4">
        <v>55.562444444444431</v>
      </c>
      <c r="H83" s="4">
        <v>-1.199775310854118</v>
      </c>
      <c r="I83" s="4">
        <v>96.71520233154294</v>
      </c>
      <c r="J83" s="4">
        <v>91.148395538330078</v>
      </c>
      <c r="K83" s="4">
        <v>10.433303833007821</v>
      </c>
      <c r="L83" s="4">
        <v>-1.0375830009579652</v>
      </c>
      <c r="M83" s="4">
        <v>-0.98261784762144178</v>
      </c>
      <c r="N83" s="4">
        <v>-1.3315532555182774</v>
      </c>
      <c r="O83" s="4">
        <v>-1.0518732766310368</v>
      </c>
      <c r="P83">
        <v>571.98275138881627</v>
      </c>
      <c r="Q83">
        <v>11.275722480203845</v>
      </c>
      <c r="R83" t="e">
        <v>#DIV/0!</v>
      </c>
      <c r="S83">
        <v>0</v>
      </c>
      <c r="T83" t="e">
        <v>#DIV/0!</v>
      </c>
      <c r="U83" t="s">
        <v>37</v>
      </c>
      <c r="V83" t="str">
        <f>'VATtax et trade tax et ipc '!AI83</f>
        <v>NA</v>
      </c>
      <c r="W83" s="9" t="str">
        <v>NA</v>
      </c>
      <c r="X83" t="str">
        <f>'VATtax et trade tax et ipc '!AM83</f>
        <v>NA</v>
      </c>
      <c r="Z83">
        <v>20.288935449827225</v>
      </c>
      <c r="AA83">
        <v>0</v>
      </c>
      <c r="AB83">
        <v>1</v>
      </c>
      <c r="AC83" t="s">
        <v>37</v>
      </c>
    </row>
    <row r="84" spans="1:29" ht="14.4" x14ac:dyDescent="0.3">
      <c r="A84" t="s">
        <v>198</v>
      </c>
      <c r="B84" s="4">
        <f>Tx_croissance!AH84</f>
        <v>-0.34259964667383569</v>
      </c>
      <c r="C84" s="4">
        <f t="shared" si="1"/>
        <v>6.5253632089092859</v>
      </c>
      <c r="D84" s="4">
        <v>12.832670329703042</v>
      </c>
      <c r="E84" s="4">
        <v>2.3527073437674129</v>
      </c>
      <c r="F84" s="4">
        <v>-0.68317619462807977</v>
      </c>
      <c r="G84" s="4">
        <v>54.608777777777767</v>
      </c>
      <c r="H84" s="4">
        <v>-0.68166121219595244</v>
      </c>
      <c r="I84" s="4">
        <v>103.85101742214627</v>
      </c>
      <c r="J84" s="4">
        <v>95.491665384043856</v>
      </c>
      <c r="K84" s="4">
        <v>65.235175895690915</v>
      </c>
      <c r="L84" s="4">
        <v>-1.2803746312856672</v>
      </c>
      <c r="M84" s="4">
        <v>-1.1555220658580474</v>
      </c>
      <c r="N84" s="4">
        <v>-1.389901250600815</v>
      </c>
      <c r="O84" s="4">
        <v>-0.75619670748710666</v>
      </c>
      <c r="P84">
        <v>682.22751976951326</v>
      </c>
      <c r="Q84">
        <v>9.892453779550987</v>
      </c>
      <c r="R84">
        <v>27.228272395268402</v>
      </c>
      <c r="S84">
        <v>15.553333333333333</v>
      </c>
      <c r="T84">
        <v>16.2401376844164</v>
      </c>
      <c r="U84" t="s">
        <v>37</v>
      </c>
      <c r="V84">
        <f>'VATtax et trade tax et ipc '!AI84</f>
        <v>7.0254754861218567</v>
      </c>
      <c r="W84" s="9">
        <v>5.3992392130234821</v>
      </c>
      <c r="X84">
        <f>'VATtax et trade tax et ipc '!AM84</f>
        <v>4.8062078591083646</v>
      </c>
      <c r="Z84">
        <v>22.301054776458205</v>
      </c>
      <c r="AA84">
        <v>0</v>
      </c>
      <c r="AB84">
        <v>1</v>
      </c>
      <c r="AC84">
        <v>17.516760429919639</v>
      </c>
    </row>
    <row r="85" spans="1:29" ht="14.4" x14ac:dyDescent="0.3">
      <c r="A85" t="s">
        <v>200</v>
      </c>
      <c r="B85" s="4">
        <f>Tx_croissance!AH85</f>
        <v>6.3564436068014096</v>
      </c>
      <c r="C85" s="4">
        <f t="shared" si="1"/>
        <v>8.1143761963537528</v>
      </c>
      <c r="D85" s="4">
        <v>26.721013022061104</v>
      </c>
      <c r="E85" s="4">
        <v>0.27140171443184818</v>
      </c>
      <c r="F85" s="4">
        <v>1.6478141248226157</v>
      </c>
      <c r="G85" s="4">
        <v>66.108925925925931</v>
      </c>
      <c r="H85" s="4">
        <v>-0.33741066961859673</v>
      </c>
      <c r="I85" s="4">
        <v>97.583380699157658</v>
      </c>
      <c r="J85" s="4">
        <v>61.990224202473968</v>
      </c>
      <c r="K85" s="4">
        <v>17.226058377159983</v>
      </c>
      <c r="L85" s="4">
        <v>-0.44520107097923756</v>
      </c>
      <c r="M85" s="4">
        <v>-0.4799827745494743</v>
      </c>
      <c r="N85" s="4">
        <v>-0.47173477585117024</v>
      </c>
      <c r="O85" s="4">
        <v>0.18441443326689</v>
      </c>
      <c r="P85">
        <v>3342.1720746468841</v>
      </c>
      <c r="Q85" t="s">
        <v>37</v>
      </c>
      <c r="R85" t="e">
        <v>#DIV/0!</v>
      </c>
      <c r="S85">
        <v>24.013333333333339</v>
      </c>
      <c r="T85" t="e">
        <v>#DIV/0!</v>
      </c>
      <c r="U85" t="s">
        <v>37</v>
      </c>
      <c r="V85" t="str">
        <f>'VATtax et trade tax et ipc '!AI85</f>
        <v>NA</v>
      </c>
      <c r="W85" s="9" t="str">
        <v>NA</v>
      </c>
      <c r="X85" t="str">
        <f>'VATtax et trade tax et ipc '!AM85</f>
        <v>NA</v>
      </c>
      <c r="Z85">
        <v>33.22868326377565</v>
      </c>
      <c r="AA85">
        <v>1</v>
      </c>
      <c r="AB85">
        <v>0</v>
      </c>
      <c r="AC85" t="s">
        <v>37</v>
      </c>
    </row>
    <row r="86" spans="1:29" ht="14.4" x14ac:dyDescent="0.3">
      <c r="A86" t="s">
        <v>202</v>
      </c>
      <c r="B86" s="4">
        <f>Tx_croissance!AH86</f>
        <v>-0.12592440993839382</v>
      </c>
      <c r="C86" s="4">
        <f t="shared" si="1"/>
        <v>7.1632323347962048</v>
      </c>
      <c r="D86" s="4">
        <v>15.055077895869401</v>
      </c>
      <c r="E86" s="4">
        <v>1.5595144542045916</v>
      </c>
      <c r="F86" s="4">
        <v>0.67679934948682785</v>
      </c>
      <c r="G86" s="4">
        <v>60.143851851851863</v>
      </c>
      <c r="H86" s="4">
        <v>-1.0381614367167156</v>
      </c>
      <c r="I86" s="4">
        <v>96.768619384765572</v>
      </c>
      <c r="J86" s="4">
        <v>95.919323120117156</v>
      </c>
      <c r="K86" s="4">
        <v>51.536306821382972</v>
      </c>
      <c r="L86" s="4">
        <v>-1.3002079625924434</v>
      </c>
      <c r="M86" s="4">
        <v>-1.106480283041795</v>
      </c>
      <c r="N86" s="4">
        <v>-1.3385115737716353</v>
      </c>
      <c r="O86" s="4">
        <v>-0.83740828931331623</v>
      </c>
      <c r="P86">
        <v>1291.0773899583921</v>
      </c>
      <c r="Q86" t="s">
        <v>37</v>
      </c>
      <c r="R86" t="e">
        <v>#DIV/0!</v>
      </c>
      <c r="S86">
        <v>23.593333333333341</v>
      </c>
      <c r="T86" t="e">
        <v>#DIV/0!</v>
      </c>
      <c r="U86" t="s">
        <v>37</v>
      </c>
      <c r="V86" t="str">
        <f>'VATtax et trade tax et ipc '!AI86</f>
        <v>NA</v>
      </c>
      <c r="W86" s="9" t="str">
        <v>NA</v>
      </c>
      <c r="X86" t="str">
        <f>'VATtax et trade tax et ipc '!AM86</f>
        <v>NA</v>
      </c>
      <c r="AA86">
        <v>0</v>
      </c>
      <c r="AB86">
        <v>1</v>
      </c>
      <c r="AC86" t="s">
        <v>37</v>
      </c>
    </row>
    <row r="87" spans="1:29" ht="14.4" x14ac:dyDescent="0.3">
      <c r="A87" t="s">
        <v>204</v>
      </c>
      <c r="B87" s="4">
        <f>Tx_croissance!AH87</f>
        <v>1.3706602083917607</v>
      </c>
      <c r="C87" s="4">
        <f t="shared" si="1"/>
        <v>7.4515511852428364</v>
      </c>
      <c r="D87" s="4">
        <v>24.777162041227193</v>
      </c>
      <c r="E87" s="4">
        <v>2.1885204929586646</v>
      </c>
      <c r="F87" s="4">
        <v>1.6741391718387606</v>
      </c>
      <c r="G87" s="4">
        <v>70.202148148148154</v>
      </c>
      <c r="H87" s="4">
        <v>-0.43839651974849397</v>
      </c>
      <c r="I87" s="4">
        <v>106.57146263122569</v>
      </c>
      <c r="J87" s="4" t="s">
        <v>37</v>
      </c>
      <c r="K87" s="4" t="s">
        <v>37</v>
      </c>
      <c r="L87" s="4">
        <v>-0.8876662949721017</v>
      </c>
      <c r="M87" s="4">
        <v>-0.42820617680748296</v>
      </c>
      <c r="N87" s="4">
        <v>-0.97633992632230104</v>
      </c>
      <c r="O87" s="4">
        <v>-0.37299337742539751</v>
      </c>
      <c r="P87">
        <v>1722.5330419234372</v>
      </c>
      <c r="Q87">
        <v>13.096954755366475</v>
      </c>
      <c r="R87">
        <v>30.032758309220334</v>
      </c>
      <c r="S87">
        <v>28.099999999999998</v>
      </c>
      <c r="T87">
        <v>20.160133913345621</v>
      </c>
      <c r="U87" t="s">
        <v>37</v>
      </c>
      <c r="V87">
        <f>'VATtax et trade tax et ipc '!AI87</f>
        <v>9.5192154685710477</v>
      </c>
      <c r="W87" s="9">
        <v>0.84730634492000523</v>
      </c>
      <c r="X87">
        <f>'VATtax et trade tax et ipc '!AM87</f>
        <v>4.6517991882291483</v>
      </c>
      <c r="Z87">
        <v>26.353788137145422</v>
      </c>
      <c r="AA87">
        <v>0</v>
      </c>
      <c r="AB87">
        <v>1</v>
      </c>
      <c r="AC87">
        <v>6.2269798812337891</v>
      </c>
    </row>
    <row r="88" spans="1:29" ht="14.4" x14ac:dyDescent="0.3">
      <c r="A88" t="s">
        <v>206</v>
      </c>
      <c r="B88" s="4">
        <f>Tx_croissance!AH88</f>
        <v>1.9687099165513811</v>
      </c>
      <c r="C88" s="4">
        <f t="shared" si="1"/>
        <v>10.151129652175566</v>
      </c>
      <c r="D88" s="4">
        <v>23.14836536311358</v>
      </c>
      <c r="E88" s="4">
        <v>0.7018836706040793</v>
      </c>
      <c r="F88" s="4">
        <v>3.9457694607942283E-3</v>
      </c>
      <c r="G88" s="4">
        <v>82.568654019873534</v>
      </c>
      <c r="H88" s="4">
        <v>0.83243214152753386</v>
      </c>
      <c r="I88" s="4">
        <v>100.47539548520685</v>
      </c>
      <c r="J88" s="4">
        <v>99.910359983090999</v>
      </c>
      <c r="K88" s="4">
        <v>50.179962440773295</v>
      </c>
      <c r="L88" s="4">
        <v>1.680744523803394</v>
      </c>
      <c r="M88" s="4">
        <v>1.8940355877081554</v>
      </c>
      <c r="N88" s="4">
        <v>1.4703807656963666</v>
      </c>
      <c r="O88" s="4">
        <v>0.341545972507447</v>
      </c>
      <c r="P88">
        <v>25620.027585705277</v>
      </c>
      <c r="Q88" t="s">
        <v>37</v>
      </c>
      <c r="R88" t="e">
        <v>#DIV/0!</v>
      </c>
      <c r="S88">
        <v>17.793333333333333</v>
      </c>
      <c r="T88" t="e">
        <v>#DIV/0!</v>
      </c>
      <c r="U88" t="s">
        <v>37</v>
      </c>
      <c r="V88" t="str">
        <f>'VATtax et trade tax et ipc '!AI88</f>
        <v>NA</v>
      </c>
      <c r="W88" s="9" t="str">
        <v>NA</v>
      </c>
      <c r="X88" t="str">
        <f>'VATtax et trade tax et ipc '!AM88</f>
        <v>NA</v>
      </c>
      <c r="Z88">
        <v>30.210651238688623</v>
      </c>
      <c r="AA88">
        <v>0</v>
      </c>
      <c r="AB88">
        <v>0</v>
      </c>
      <c r="AC88" t="s">
        <v>37</v>
      </c>
    </row>
    <row r="89" spans="1:29" ht="14.4" x14ac:dyDescent="0.3">
      <c r="A89" t="s">
        <v>208</v>
      </c>
      <c r="B89" s="4">
        <f>Tx_croissance!AH89</f>
        <v>2.8370637552075584</v>
      </c>
      <c r="C89" s="4">
        <f t="shared" si="1"/>
        <v>8.9457989013561168</v>
      </c>
      <c r="D89" s="4">
        <v>23.425675556034406</v>
      </c>
      <c r="E89" s="4">
        <v>-0.25038229756111197</v>
      </c>
      <c r="F89" s="4">
        <v>-0.22497772378847011</v>
      </c>
      <c r="G89" s="4">
        <v>73.506747967479669</v>
      </c>
      <c r="H89" s="4">
        <v>0.82948792974154129</v>
      </c>
      <c r="I89" s="4">
        <v>110.16395296369281</v>
      </c>
      <c r="J89" s="4">
        <v>74.046388353620259</v>
      </c>
      <c r="K89" s="4">
        <v>24.225920915603641</v>
      </c>
      <c r="L89" s="4">
        <v>0.35057178562662256</v>
      </c>
      <c r="M89" s="4">
        <v>0.88654684896270386</v>
      </c>
      <c r="N89" s="4">
        <v>0.68975365782777465</v>
      </c>
      <c r="O89" s="4">
        <v>0.79622499644756306</v>
      </c>
      <c r="P89">
        <v>7675.5781710892388</v>
      </c>
      <c r="Q89">
        <v>22.340993601212762</v>
      </c>
      <c r="R89">
        <v>32.089971492210886</v>
      </c>
      <c r="S89">
        <v>10.166666666666666</v>
      </c>
      <c r="T89">
        <v>18.017892752421389</v>
      </c>
      <c r="U89">
        <v>78.361063512800072</v>
      </c>
      <c r="V89">
        <f>'VATtax et trade tax et ipc '!AI89</f>
        <v>13.618645318232128</v>
      </c>
      <c r="W89" s="9">
        <v>0.33540372313073591</v>
      </c>
      <c r="X89">
        <f>'VATtax et trade tax et ipc '!AM89</f>
        <v>6.5424893272653692</v>
      </c>
      <c r="Y89">
        <v>23.167205318682502</v>
      </c>
      <c r="Z89">
        <v>21.775733776659674</v>
      </c>
      <c r="AA89">
        <v>0</v>
      </c>
      <c r="AB89">
        <v>0</v>
      </c>
      <c r="AC89">
        <v>4.3794326220733018</v>
      </c>
    </row>
    <row r="90" spans="1:29" ht="14.4" x14ac:dyDescent="0.3">
      <c r="A90" t="s">
        <v>210</v>
      </c>
      <c r="B90" s="4">
        <f>Tx_croissance!AH90</f>
        <v>1.8732687165120332</v>
      </c>
      <c r="C90" s="4">
        <f t="shared" si="1"/>
        <v>10.43964023893283</v>
      </c>
      <c r="D90" s="4">
        <v>21.68184733053895</v>
      </c>
      <c r="E90" s="4">
        <v>1.2923328890890644</v>
      </c>
      <c r="F90" s="4">
        <v>-0.56699723626176535</v>
      </c>
      <c r="G90" s="4">
        <v>81.352529358626938</v>
      </c>
      <c r="H90" s="4">
        <v>1.363109643260638</v>
      </c>
      <c r="I90" s="4" t="s">
        <v>37</v>
      </c>
      <c r="J90" s="4" t="s">
        <v>37</v>
      </c>
      <c r="K90" s="4" t="s">
        <v>37</v>
      </c>
      <c r="L90" s="4">
        <v>1.958645299077034</v>
      </c>
      <c r="M90" s="4">
        <v>1.3437094017863276</v>
      </c>
      <c r="N90" s="4">
        <v>1.7351359973351166</v>
      </c>
      <c r="O90" s="4">
        <v>1.433036347230275</v>
      </c>
      <c r="P90">
        <v>34188.350587666529</v>
      </c>
      <c r="Q90">
        <v>22.969981407472687</v>
      </c>
      <c r="R90">
        <v>37.131331243527121</v>
      </c>
      <c r="S90">
        <v>8.4466666666666672</v>
      </c>
      <c r="T90">
        <v>26.225921326256159</v>
      </c>
      <c r="U90">
        <v>92.782376803574081</v>
      </c>
      <c r="V90">
        <f>'VATtax et trade tax et ipc '!AI90</f>
        <v>12.253587372173689</v>
      </c>
      <c r="W90" s="9">
        <v>0.24965063437422988</v>
      </c>
      <c r="X90">
        <f>'VATtax et trade tax et ipc '!AM90</f>
        <v>9.1961187429652327</v>
      </c>
      <c r="Y90">
        <v>22.513347345254932</v>
      </c>
      <c r="Z90">
        <v>17.529239370034137</v>
      </c>
      <c r="AA90">
        <v>0</v>
      </c>
      <c r="AB90">
        <v>0</v>
      </c>
      <c r="AC90">
        <v>1.2674732522032863</v>
      </c>
    </row>
    <row r="91" spans="1:29" ht="14.4" x14ac:dyDescent="0.3">
      <c r="A91" t="s">
        <v>212</v>
      </c>
      <c r="B91" s="4">
        <f>Tx_croissance!AH91</f>
        <v>4.6147130549600623</v>
      </c>
      <c r="C91" s="4">
        <f t="shared" si="1"/>
        <v>6.4267138170494853</v>
      </c>
      <c r="D91" s="4">
        <v>29.744820114591732</v>
      </c>
      <c r="E91" s="4">
        <v>1.4462762497148067</v>
      </c>
      <c r="F91" s="4">
        <v>-1.4213021596272783</v>
      </c>
      <c r="G91" s="4">
        <v>66.027333333333345</v>
      </c>
      <c r="H91" s="4">
        <v>-1.0658786122997601</v>
      </c>
      <c r="I91" s="4">
        <v>99.430768220321056</v>
      </c>
      <c r="J91" s="4">
        <v>60.205391495316114</v>
      </c>
      <c r="K91" s="4">
        <v>18.161983233231762</v>
      </c>
      <c r="L91" s="4">
        <v>-0.38835074317951995</v>
      </c>
      <c r="M91" s="4">
        <v>-0.32485067487383884</v>
      </c>
      <c r="N91" s="4">
        <v>4.5935207822670458E-2</v>
      </c>
      <c r="O91" s="4">
        <v>0.37524203925083094</v>
      </c>
      <c r="P91">
        <v>618.13928792207423</v>
      </c>
      <c r="Q91">
        <v>9.7636014834428888</v>
      </c>
      <c r="R91">
        <v>44.835296392159499</v>
      </c>
      <c r="S91">
        <v>22.971428571428568</v>
      </c>
      <c r="T91">
        <v>36.828697727238648</v>
      </c>
      <c r="U91">
        <v>53.512241454043554</v>
      </c>
      <c r="V91">
        <f>'VATtax et trade tax et ipc '!AI91</f>
        <v>2.8323156474700064</v>
      </c>
      <c r="W91" s="9">
        <v>1.1207294048402452</v>
      </c>
      <c r="X91">
        <f>'VATtax et trade tax et ipc '!AM91</f>
        <v>3.9932092724702559</v>
      </c>
      <c r="Y91">
        <v>9.2268246909060299</v>
      </c>
      <c r="Z91">
        <v>25.136922501719312</v>
      </c>
      <c r="AA91">
        <v>0</v>
      </c>
      <c r="AB91">
        <v>1</v>
      </c>
      <c r="AC91">
        <v>19.077238970855053</v>
      </c>
    </row>
    <row r="92" spans="1:29" ht="14.4" x14ac:dyDescent="0.3">
      <c r="A92" t="s">
        <v>214</v>
      </c>
      <c r="B92" s="4">
        <f>Tx_croissance!AH92</f>
        <v>2.820450468843605</v>
      </c>
      <c r="C92" s="4">
        <f t="shared" si="1"/>
        <v>7.5613047767293402</v>
      </c>
      <c r="D92" s="4">
        <v>27.772532895581236</v>
      </c>
      <c r="E92" s="4">
        <v>1.235569624585682</v>
      </c>
      <c r="F92" s="4">
        <v>1.494555001457532</v>
      </c>
      <c r="G92" s="4">
        <v>67.940999999999988</v>
      </c>
      <c r="H92" s="4">
        <v>-0.98053222646315874</v>
      </c>
      <c r="I92" s="4">
        <v>101.60118827819831</v>
      </c>
      <c r="J92" s="4">
        <v>114.8838625456157</v>
      </c>
      <c r="K92" s="4">
        <v>54.229289110969091</v>
      </c>
      <c r="L92" s="4">
        <v>-0.7024525354305905</v>
      </c>
      <c r="M92" s="4">
        <v>-0.23295907303690902</v>
      </c>
      <c r="N92" s="4">
        <v>-0.54905375465750694</v>
      </c>
      <c r="O92" s="4">
        <v>-7.9320335906231679E-2</v>
      </c>
      <c r="P92">
        <v>1922.3521180474499</v>
      </c>
      <c r="Q92">
        <v>14.532821262852355</v>
      </c>
      <c r="R92">
        <v>51.252551893846565</v>
      </c>
      <c r="S92">
        <v>19.357142857142858</v>
      </c>
      <c r="T92">
        <v>39.842548240838738</v>
      </c>
      <c r="U92">
        <v>34.920793953703679</v>
      </c>
      <c r="V92">
        <f>'VATtax et trade tax et ipc '!AI92</f>
        <v>4.8043849696804291</v>
      </c>
      <c r="W92" s="9">
        <v>0.39955120178794779</v>
      </c>
      <c r="X92">
        <f>'VATtax et trade tax et ipc '!AM92</f>
        <v>5.2330341877735878</v>
      </c>
      <c r="Y92">
        <v>14.964772269991183</v>
      </c>
      <c r="Z92">
        <v>28.429811088368879</v>
      </c>
      <c r="AA92">
        <v>0</v>
      </c>
      <c r="AB92">
        <v>1</v>
      </c>
      <c r="AC92">
        <v>3.1057582671291475</v>
      </c>
    </row>
    <row r="93" spans="1:29" ht="14.4" x14ac:dyDescent="0.3">
      <c r="A93" t="s">
        <v>216</v>
      </c>
      <c r="B93" s="4">
        <f>Tx_croissance!AH93</f>
        <v>1.624338977815043</v>
      </c>
      <c r="C93" s="4">
        <f t="shared" si="1"/>
        <v>8.1788244541538617</v>
      </c>
      <c r="D93" s="4">
        <v>28.653877619633842</v>
      </c>
      <c r="E93" s="4">
        <v>1.3909527996623634</v>
      </c>
      <c r="F93" s="4">
        <v>1.2022989441951124</v>
      </c>
      <c r="G93" s="4">
        <v>72.355481481481476</v>
      </c>
      <c r="H93" s="4">
        <v>-1.1007145320375755</v>
      </c>
      <c r="I93" s="4">
        <v>107.56842346191408</v>
      </c>
      <c r="J93" s="4">
        <v>82.445783094926313</v>
      </c>
      <c r="K93" s="4">
        <v>40.429958184560142</v>
      </c>
      <c r="L93" s="4">
        <v>-0.701516124730309</v>
      </c>
      <c r="M93" s="4">
        <v>-1.4566257844368622</v>
      </c>
      <c r="N93" s="4">
        <v>-0.87047863254944502</v>
      </c>
      <c r="O93" s="4">
        <v>-1.3769386311372125</v>
      </c>
      <c r="P93">
        <v>3564.6617734994811</v>
      </c>
      <c r="Q93">
        <v>6.5538780957954286</v>
      </c>
      <c r="R93">
        <v>49.472268917757511</v>
      </c>
      <c r="S93">
        <v>17.993333333333336</v>
      </c>
      <c r="T93">
        <v>13.530197374082745</v>
      </c>
      <c r="U93" t="s">
        <v>37</v>
      </c>
      <c r="V93">
        <f>'VATtax et trade tax et ipc '!AI93</f>
        <v>0.11004702718886741</v>
      </c>
      <c r="W93" s="9">
        <v>0.19255279876424061</v>
      </c>
      <c r="X93">
        <f>'VATtax et trade tax et ipc '!AM93</f>
        <v>0.42137896215311876</v>
      </c>
      <c r="Y93">
        <v>6.2207986783914722</v>
      </c>
      <c r="Z93">
        <v>24.68889427295181</v>
      </c>
      <c r="AA93">
        <v>0</v>
      </c>
      <c r="AB93">
        <v>0</v>
      </c>
      <c r="AC93">
        <v>23.026203064197226</v>
      </c>
    </row>
    <row r="94" spans="1:29" ht="14.4" x14ac:dyDescent="0.3">
      <c r="A94" t="s">
        <v>218</v>
      </c>
      <c r="B94" s="4">
        <f>Tx_croissance!AH94</f>
        <v>3.0045835835720291</v>
      </c>
      <c r="C94" s="4">
        <f t="shared" si="1"/>
        <v>7.5753683704249548</v>
      </c>
      <c r="D94" s="4">
        <v>11.004403196237654</v>
      </c>
      <c r="E94" s="4">
        <v>2.8119371813452352</v>
      </c>
      <c r="F94" s="4">
        <v>0.50673539936542522</v>
      </c>
      <c r="G94" s="4">
        <v>67.284592592592588</v>
      </c>
      <c r="H94" s="4">
        <v>-2.2921574860811229</v>
      </c>
      <c r="I94" s="4" t="s">
        <v>37</v>
      </c>
      <c r="J94" s="4" t="s">
        <v>37</v>
      </c>
      <c r="K94" s="4" t="s">
        <v>37</v>
      </c>
      <c r="L94" s="4">
        <v>-1.3835704376300184</v>
      </c>
      <c r="M94" s="4">
        <v>-1.3557346438368159</v>
      </c>
      <c r="N94" s="4">
        <v>-1.6661777198314658</v>
      </c>
      <c r="O94" s="4">
        <v>-1.264843819042047</v>
      </c>
      <c r="P94">
        <v>1949.5782973957682</v>
      </c>
      <c r="Q94">
        <v>1.7215676109859572</v>
      </c>
      <c r="R94">
        <v>60.221020370075188</v>
      </c>
      <c r="S94">
        <v>14.746666666666666</v>
      </c>
      <c r="T94">
        <v>3.1736839662182903</v>
      </c>
      <c r="U94">
        <v>30.042303310276193</v>
      </c>
      <c r="V94">
        <f>'VATtax et trade tax et ipc '!AI94</f>
        <v>0.27055042051797989</v>
      </c>
      <c r="W94" s="9">
        <v>0.63816572310815334</v>
      </c>
      <c r="X94">
        <f>'VATtax et trade tax et ipc '!AM94</f>
        <v>1.6997814837132363</v>
      </c>
      <c r="Z94">
        <v>1.7305323862450608</v>
      </c>
      <c r="AA94">
        <v>0</v>
      </c>
      <c r="AB94">
        <v>1</v>
      </c>
      <c r="AC94">
        <v>19.838723685671564</v>
      </c>
    </row>
    <row r="95" spans="1:29" ht="14.4" x14ac:dyDescent="0.3">
      <c r="A95" t="s">
        <v>220</v>
      </c>
      <c r="B95" s="4">
        <f>Tx_croissance!AH95</f>
        <v>4.6954457065414346</v>
      </c>
      <c r="C95" s="4">
        <f t="shared" si="1"/>
        <v>10.246821035784896</v>
      </c>
      <c r="D95" s="4">
        <v>25.681156684153756</v>
      </c>
      <c r="E95" s="4">
        <v>1.2724790444012197</v>
      </c>
      <c r="F95" s="4">
        <v>0.26083723592455499</v>
      </c>
      <c r="G95" s="4">
        <v>79.448475158084932</v>
      </c>
      <c r="H95" s="4">
        <v>1.1109461560845377</v>
      </c>
      <c r="I95" s="4">
        <v>98.910753320764613</v>
      </c>
      <c r="J95" s="4">
        <v>111.34197968703052</v>
      </c>
      <c r="K95" s="4">
        <v>64.544132515236186</v>
      </c>
      <c r="L95" s="4">
        <v>1.5795460889736817</v>
      </c>
      <c r="M95" s="4">
        <v>1.6534127394358318</v>
      </c>
      <c r="N95" s="4">
        <v>1.5919355303049081</v>
      </c>
      <c r="O95" s="4">
        <v>1.3634468515714013</v>
      </c>
      <c r="P95">
        <v>28192.775489390791</v>
      </c>
      <c r="Q95">
        <v>23.881351317018197</v>
      </c>
      <c r="R95">
        <v>51.887711569978983</v>
      </c>
      <c r="S95">
        <v>12.14666666666667</v>
      </c>
      <c r="T95">
        <v>39.201244387153139</v>
      </c>
      <c r="U95">
        <v>66.02498096862449</v>
      </c>
      <c r="V95">
        <f>'VATtax et trade tax et ipc '!AI95</f>
        <v>8.9271272023806176</v>
      </c>
      <c r="W95" s="9" t="str">
        <v>NA</v>
      </c>
      <c r="X95">
        <f>'VATtax et trade tax et ipc '!AM95</f>
        <v>10.63005510678828</v>
      </c>
      <c r="Y95">
        <v>26.526589180101663</v>
      </c>
      <c r="Z95">
        <v>18.071546204313684</v>
      </c>
      <c r="AA95">
        <v>1</v>
      </c>
      <c r="AB95">
        <v>0</v>
      </c>
      <c r="AC95" t="s">
        <v>37</v>
      </c>
    </row>
    <row r="96" spans="1:29" ht="14.4" x14ac:dyDescent="0.3">
      <c r="A96" t="s">
        <v>222</v>
      </c>
      <c r="B96" s="4" t="str">
        <f>Tx_croissance!AH96</f>
        <v>NA</v>
      </c>
      <c r="C96" s="4">
        <f t="shared" si="1"/>
        <v>10.336188529718212</v>
      </c>
      <c r="D96" s="4" t="s">
        <v>37</v>
      </c>
      <c r="E96" s="4">
        <v>0.61776220034299367</v>
      </c>
      <c r="F96" s="4">
        <v>1.4353897646069527</v>
      </c>
      <c r="G96" s="4">
        <v>77.70792592592592</v>
      </c>
      <c r="H96" s="4" t="s">
        <v>37</v>
      </c>
      <c r="I96" s="4">
        <v>97.217210083007814</v>
      </c>
      <c r="J96" s="4">
        <v>96.115532531738282</v>
      </c>
      <c r="K96" s="4">
        <v>55.130496245164132</v>
      </c>
      <c r="L96" s="4" t="s">
        <v>37</v>
      </c>
      <c r="M96" s="4" t="s">
        <v>37</v>
      </c>
      <c r="N96" s="4" t="s">
        <v>37</v>
      </c>
      <c r="O96" s="4" t="s">
        <v>37</v>
      </c>
      <c r="P96">
        <v>30828.30466909059</v>
      </c>
      <c r="Q96" t="s">
        <v>37</v>
      </c>
      <c r="R96" t="e">
        <v>#DIV/0!</v>
      </c>
      <c r="S96" t="e">
        <v>#DIV/0!</v>
      </c>
      <c r="T96" t="e">
        <v>#DIV/0!</v>
      </c>
      <c r="U96" t="s">
        <v>37</v>
      </c>
      <c r="V96" t="str">
        <f>'VATtax et trade tax et ipc '!AI96</f>
        <v>NA</v>
      </c>
      <c r="W96" s="9" t="str">
        <v>NA</v>
      </c>
      <c r="X96" t="str">
        <f>'VATtax et trade tax et ipc '!AM96</f>
        <v>NA</v>
      </c>
      <c r="AA96">
        <v>0</v>
      </c>
      <c r="AB96">
        <v>0</v>
      </c>
      <c r="AC96" t="s">
        <v>37</v>
      </c>
    </row>
    <row r="97" spans="1:29" ht="14.4" x14ac:dyDescent="0.3">
      <c r="A97" t="s">
        <v>224</v>
      </c>
      <c r="B97" s="4">
        <f>Tx_croissance!AH97</f>
        <v>1.8739385671518338</v>
      </c>
      <c r="C97" s="4">
        <f t="shared" si="1"/>
        <v>10.160925487993479</v>
      </c>
      <c r="D97" s="4">
        <v>23.33677394105808</v>
      </c>
      <c r="E97" s="4">
        <v>2.0396872691152894</v>
      </c>
      <c r="F97" s="4">
        <v>1.2760356465975442</v>
      </c>
      <c r="G97" s="4">
        <v>80.684281842818436</v>
      </c>
      <c r="H97" s="4">
        <v>-1.1629255612691243</v>
      </c>
      <c r="I97" s="4">
        <v>102.42371764006432</v>
      </c>
      <c r="J97" s="4">
        <v>98.866626315646698</v>
      </c>
      <c r="K97" s="4">
        <v>59.83540414880823</v>
      </c>
      <c r="L97" s="4">
        <v>0.90841894845167825</v>
      </c>
      <c r="M97" s="4">
        <v>1.1301460514465957</v>
      </c>
      <c r="N97" s="4">
        <v>0.9639192720254256</v>
      </c>
      <c r="O97" s="4">
        <v>0.67271117866039276</v>
      </c>
      <c r="P97">
        <v>25872.230421626864</v>
      </c>
      <c r="Q97">
        <v>23.883955768019739</v>
      </c>
      <c r="R97">
        <v>46.4708870516315</v>
      </c>
      <c r="S97">
        <v>21.32</v>
      </c>
      <c r="T97">
        <v>31.488091863825023</v>
      </c>
      <c r="U97">
        <v>95.175588091347151</v>
      </c>
      <c r="V97">
        <f>'VATtax et trade tax et ipc '!AI97</f>
        <v>10.785748849336668</v>
      </c>
      <c r="W97" s="9">
        <v>0.239489483489327</v>
      </c>
      <c r="X97">
        <f>'VATtax et trade tax et ipc '!AM97</f>
        <v>10.418939309829602</v>
      </c>
      <c r="Y97">
        <v>25.874730781418581</v>
      </c>
      <c r="Z97">
        <v>28.022518959067959</v>
      </c>
      <c r="AA97">
        <v>0</v>
      </c>
      <c r="AB97">
        <v>0</v>
      </c>
      <c r="AC97">
        <v>1.0660076183241924</v>
      </c>
    </row>
    <row r="98" spans="1:29" ht="14.4" x14ac:dyDescent="0.3">
      <c r="A98" t="s">
        <v>226</v>
      </c>
      <c r="B98" s="4">
        <f>Tx_croissance!AH98</f>
        <v>0.47743787506202562</v>
      </c>
      <c r="C98" s="4">
        <f t="shared" si="1"/>
        <v>10.284150584539505</v>
      </c>
      <c r="D98" s="4">
        <v>19.552437770220564</v>
      </c>
      <c r="E98" s="4">
        <v>0.12938239120045542</v>
      </c>
      <c r="F98" s="4">
        <v>0.10161593661177903</v>
      </c>
      <c r="G98" s="4">
        <v>81.268473351400189</v>
      </c>
      <c r="H98" s="4">
        <v>0.5266546060641607</v>
      </c>
      <c r="I98" s="4">
        <v>95.088381559952452</v>
      </c>
      <c r="J98" s="4">
        <v>85.414653084494844</v>
      </c>
      <c r="K98" s="4">
        <v>19.918338712056482</v>
      </c>
      <c r="L98" s="4">
        <v>0.32330808757493884</v>
      </c>
      <c r="M98" s="4">
        <v>0.80421722431977616</v>
      </c>
      <c r="N98" s="4">
        <v>0.47399610280990617</v>
      </c>
      <c r="O98" s="4">
        <v>1.0257971783479054</v>
      </c>
      <c r="P98">
        <v>29265.089048092574</v>
      </c>
      <c r="Q98">
        <v>22.11355458704513</v>
      </c>
      <c r="R98">
        <v>54.112014426785564</v>
      </c>
      <c r="S98">
        <v>23.06</v>
      </c>
      <c r="T98">
        <v>33.35805919443122</v>
      </c>
      <c r="U98" t="s">
        <v>37</v>
      </c>
      <c r="V98">
        <f>'VATtax et trade tax et ipc '!AI98</f>
        <v>9.0529046494509711</v>
      </c>
      <c r="W98" s="9" t="str">
        <v>NA</v>
      </c>
      <c r="X98">
        <f>'VATtax et trade tax et ipc '!AM98</f>
        <v>12.877965572002006</v>
      </c>
      <c r="Y98">
        <v>24.363031286225901</v>
      </c>
      <c r="Z98">
        <v>19.372599781106516</v>
      </c>
      <c r="AA98">
        <v>0</v>
      </c>
      <c r="AB98">
        <v>0</v>
      </c>
      <c r="AC98" t="s">
        <v>37</v>
      </c>
    </row>
    <row r="99" spans="1:29" ht="14.4" x14ac:dyDescent="0.3">
      <c r="A99" t="s">
        <v>228</v>
      </c>
      <c r="B99" s="4">
        <f>Tx_croissance!AH99</f>
        <v>1.912863098707529E-2</v>
      </c>
      <c r="C99" s="4">
        <f t="shared" si="1"/>
        <v>8.5582998072196297</v>
      </c>
      <c r="D99" s="4">
        <v>23.565394846176268</v>
      </c>
      <c r="E99" s="4">
        <v>0.46216427295491791</v>
      </c>
      <c r="F99" s="4">
        <v>-0.42825463678066922</v>
      </c>
      <c r="G99" s="4">
        <v>71.690814814814814</v>
      </c>
      <c r="H99" s="4">
        <v>3.2678802187244074E-3</v>
      </c>
      <c r="I99" s="4" t="s">
        <v>37</v>
      </c>
      <c r="J99" s="4">
        <v>76.981012435186472</v>
      </c>
      <c r="K99" s="4">
        <v>33.803900262583866</v>
      </c>
      <c r="L99" s="4">
        <v>-0.21275592502206575</v>
      </c>
      <c r="M99" s="4">
        <v>0.16943875246215614</v>
      </c>
      <c r="N99" s="4">
        <v>-0.30908841701845341</v>
      </c>
      <c r="O99" s="4">
        <v>0.57895815620819724</v>
      </c>
      <c r="P99">
        <v>5209.8159468313379</v>
      </c>
      <c r="Q99">
        <v>23.565548512014203</v>
      </c>
      <c r="R99">
        <v>41.726414430509934</v>
      </c>
      <c r="S99">
        <v>22.76</v>
      </c>
      <c r="T99">
        <v>36.845433807495674</v>
      </c>
      <c r="U99">
        <v>112.99913472348867</v>
      </c>
      <c r="V99">
        <f>'VATtax et trade tax et ipc '!AI99</f>
        <v>11.138618436701622</v>
      </c>
      <c r="W99" s="9">
        <v>2.5754469222676426</v>
      </c>
      <c r="X99">
        <f>'VATtax et trade tax et ipc '!AM99</f>
        <v>8.836562711874306</v>
      </c>
      <c r="Y99">
        <v>21.744040012562511</v>
      </c>
      <c r="Z99">
        <v>24.917368958416255</v>
      </c>
      <c r="AA99">
        <v>0</v>
      </c>
      <c r="AB99">
        <v>0</v>
      </c>
      <c r="AC99">
        <v>9.8696030503946997</v>
      </c>
    </row>
    <row r="100" spans="1:29" ht="14.4" x14ac:dyDescent="0.3">
      <c r="A100" t="s">
        <v>230</v>
      </c>
      <c r="B100" s="4">
        <f>Tx_croissance!AH100</f>
        <v>0.65969145076734126</v>
      </c>
      <c r="C100" s="4">
        <f t="shared" si="1"/>
        <v>10.314641905901496</v>
      </c>
      <c r="D100" s="4">
        <v>26.177651824046482</v>
      </c>
      <c r="E100" s="4">
        <v>-1.512766616068221E-3</v>
      </c>
      <c r="F100" s="4">
        <v>-0.52603104958931612</v>
      </c>
      <c r="G100" s="4">
        <v>82.456305329719939</v>
      </c>
      <c r="H100" s="4">
        <v>1.0416450922687848</v>
      </c>
      <c r="I100" s="4">
        <v>103.51470771202678</v>
      </c>
      <c r="J100" s="4">
        <v>103.20987892150875</v>
      </c>
      <c r="K100" s="4">
        <v>57.458382346413352</v>
      </c>
      <c r="L100" s="4">
        <v>1.3820045441389082</v>
      </c>
      <c r="M100" s="4">
        <v>1.1234964691102494</v>
      </c>
      <c r="N100" s="4">
        <v>1.375499198834101</v>
      </c>
      <c r="O100" s="4">
        <v>1.0143582324186962</v>
      </c>
      <c r="P100">
        <v>30171.163792434683</v>
      </c>
      <c r="Q100">
        <v>11.90016022605054</v>
      </c>
      <c r="R100" t="e">
        <v>#DIV/0!</v>
      </c>
      <c r="S100">
        <v>25.928571428571427</v>
      </c>
      <c r="T100" t="e">
        <v>#DIV/0!</v>
      </c>
      <c r="U100">
        <v>145.37959771326624</v>
      </c>
      <c r="V100" t="str">
        <f>'VATtax et trade tax et ipc '!AI100</f>
        <v>NA</v>
      </c>
      <c r="W100" s="9" t="str">
        <v>NA</v>
      </c>
      <c r="X100" t="str">
        <f>'VATtax et trade tax et ipc '!AM100</f>
        <v>NA</v>
      </c>
      <c r="Z100">
        <v>30.605860469485545</v>
      </c>
      <c r="AA100">
        <v>0</v>
      </c>
      <c r="AB100">
        <v>0</v>
      </c>
      <c r="AC100" t="s">
        <v>37</v>
      </c>
    </row>
    <row r="101" spans="1:29" ht="14.4" x14ac:dyDescent="0.3">
      <c r="A101" t="s">
        <v>232</v>
      </c>
      <c r="B101" s="4">
        <f>Tx_croissance!AH101</f>
        <v>0.37091151364911923</v>
      </c>
      <c r="C101" s="4">
        <f t="shared" si="1"/>
        <v>8.166515174684573</v>
      </c>
      <c r="D101" s="4">
        <v>24.362684102211968</v>
      </c>
      <c r="E101" s="4">
        <v>3.4643821396144872</v>
      </c>
      <c r="F101" s="4">
        <v>-0.40909064972871223</v>
      </c>
      <c r="G101" s="4">
        <v>73.476925925925926</v>
      </c>
      <c r="H101" s="4">
        <v>-0.34277271524661052</v>
      </c>
      <c r="I101" s="4">
        <v>100.32375144958498</v>
      </c>
      <c r="J101" s="4">
        <v>98.174373626708984</v>
      </c>
      <c r="K101" s="4">
        <v>47.574065923690789</v>
      </c>
      <c r="L101" s="4">
        <v>0.14860441108855107</v>
      </c>
      <c r="M101" s="4">
        <v>0.18221781340738144</v>
      </c>
      <c r="N101" s="4">
        <v>0.27459503943100566</v>
      </c>
      <c r="O101" s="4">
        <v>-0.67427682069440686</v>
      </c>
      <c r="P101">
        <v>3521.0523067079598</v>
      </c>
      <c r="Q101">
        <v>18.22021897560111</v>
      </c>
      <c r="R101">
        <v>18.264931833527172</v>
      </c>
      <c r="S101">
        <v>13.293333333333331</v>
      </c>
      <c r="T101">
        <v>11.501726716972597</v>
      </c>
      <c r="U101">
        <v>80.709649287815154</v>
      </c>
      <c r="V101">
        <f>'VATtax et trade tax et ipc '!AI101</f>
        <v>10.009207140718082</v>
      </c>
      <c r="W101" s="9">
        <v>1.7721072368269446</v>
      </c>
      <c r="X101">
        <f>'VATtax et trade tax et ipc '!AM101</f>
        <v>3.0070635683102025</v>
      </c>
      <c r="Y101">
        <v>20.708634695738859</v>
      </c>
      <c r="Z101">
        <v>29.588308906187034</v>
      </c>
      <c r="AA101">
        <v>0</v>
      </c>
      <c r="AB101">
        <v>1</v>
      </c>
      <c r="AC101">
        <v>14.806146882637774</v>
      </c>
    </row>
    <row r="102" spans="1:29" ht="14.4" x14ac:dyDescent="0.3">
      <c r="A102" t="s">
        <v>234</v>
      </c>
      <c r="B102" s="4">
        <f>Tx_croissance!AH102</f>
        <v>4.2178616959647641</v>
      </c>
      <c r="C102" s="4">
        <f t="shared" si="1"/>
        <v>8.2162918440869959</v>
      </c>
      <c r="D102" s="4">
        <v>22.76902836081516</v>
      </c>
      <c r="E102" s="4">
        <v>0.69640039520097707</v>
      </c>
      <c r="F102" s="4">
        <v>-1.7597419172525413</v>
      </c>
      <c r="G102" s="4">
        <v>68.074814814814829</v>
      </c>
      <c r="H102" s="4">
        <v>6.1780580464983324E-2</v>
      </c>
      <c r="I102" s="4">
        <v>100.19059063139419</v>
      </c>
      <c r="J102" s="4" t="s">
        <v>37</v>
      </c>
      <c r="K102" s="4">
        <v>9.9742713315146307</v>
      </c>
      <c r="L102" s="4">
        <v>-0.84750921651721012</v>
      </c>
      <c r="M102" s="4">
        <v>-0.23795197942915067</v>
      </c>
      <c r="N102" s="4">
        <v>-0.79283448060353623</v>
      </c>
      <c r="O102" s="4">
        <v>-1.1174088716506954</v>
      </c>
      <c r="P102">
        <v>3700.7539349851231</v>
      </c>
      <c r="Q102">
        <v>11.482845750075002</v>
      </c>
      <c r="R102">
        <v>39.454281663192369</v>
      </c>
      <c r="S102">
        <v>18.646666666666665</v>
      </c>
      <c r="T102">
        <v>28.504468664119106</v>
      </c>
      <c r="U102">
        <v>15.993398376234206</v>
      </c>
      <c r="V102">
        <f>'VATtax et trade tax et ipc '!AI102</f>
        <v>3.9316214485855694</v>
      </c>
      <c r="W102" s="9">
        <v>3.1525114201085436</v>
      </c>
      <c r="X102">
        <f>'VATtax et trade tax et ipc '!AM102</f>
        <v>5.4681621255409594</v>
      </c>
      <c r="Z102">
        <v>23.05402340784271</v>
      </c>
      <c r="AA102">
        <v>0</v>
      </c>
      <c r="AB102">
        <v>0</v>
      </c>
      <c r="AC102">
        <v>5.8442732409773246</v>
      </c>
    </row>
    <row r="103" spans="1:29" ht="14.4" x14ac:dyDescent="0.3">
      <c r="A103" t="s">
        <v>236</v>
      </c>
      <c r="B103" s="4">
        <f>Tx_croissance!AH103</f>
        <v>1.3391629013948858</v>
      </c>
      <c r="C103" s="4">
        <f t="shared" si="1"/>
        <v>7.1108135638317158</v>
      </c>
      <c r="D103" s="4">
        <v>18.87353316124744</v>
      </c>
      <c r="E103" s="4">
        <v>2.5938056525939812</v>
      </c>
      <c r="F103" s="4">
        <v>0.99640728657444289</v>
      </c>
      <c r="G103" s="4">
        <v>58.783999999999999</v>
      </c>
      <c r="H103" s="4">
        <v>-1.1603822186589234</v>
      </c>
      <c r="I103" s="4">
        <v>97.550017493111795</v>
      </c>
      <c r="J103" s="4">
        <v>86.809117126464841</v>
      </c>
      <c r="K103" s="4">
        <v>39.586844035557341</v>
      </c>
      <c r="L103" s="4">
        <v>-0.97130940109491382</v>
      </c>
      <c r="M103" s="4">
        <v>-0.30763713208337623</v>
      </c>
      <c r="N103" s="4">
        <v>-0.74646310756603851</v>
      </c>
      <c r="O103" s="4">
        <v>-0.32957086929430562</v>
      </c>
      <c r="P103">
        <v>1225.1438734929354</v>
      </c>
      <c r="Q103">
        <v>14.633939567314467</v>
      </c>
      <c r="R103">
        <v>47.331507238054272</v>
      </c>
      <c r="S103">
        <v>31.246666666666677</v>
      </c>
      <c r="T103">
        <v>35.677053162642224</v>
      </c>
      <c r="U103" t="s">
        <v>37</v>
      </c>
      <c r="V103">
        <f>'VATtax et trade tax et ipc '!AI103</f>
        <v>12.845438822574097</v>
      </c>
      <c r="W103" s="9">
        <v>2.9568257596771788</v>
      </c>
      <c r="X103">
        <f>'VATtax et trade tax et ipc '!AM103</f>
        <v>14.10780249049604</v>
      </c>
      <c r="Z103">
        <v>21.385586619378614</v>
      </c>
      <c r="AA103">
        <v>0</v>
      </c>
      <c r="AB103">
        <v>1</v>
      </c>
      <c r="AC103">
        <v>6.979915533583875</v>
      </c>
    </row>
    <row r="104" spans="1:29" ht="14.4" x14ac:dyDescent="0.3">
      <c r="A104" t="s">
        <v>238</v>
      </c>
      <c r="B104" s="4">
        <f>Tx_croissance!AH104</f>
        <v>9.5297412942474402E-2</v>
      </c>
      <c r="C104" s="4">
        <f t="shared" si="1"/>
        <v>7.2421676217549935</v>
      </c>
      <c r="D104" s="4">
        <v>22.416063238812953</v>
      </c>
      <c r="E104" s="4">
        <v>1.7558769556654912</v>
      </c>
      <c r="F104" s="4">
        <v>-0.35713436235399798</v>
      </c>
      <c r="G104" s="4">
        <v>65.215666666666664</v>
      </c>
      <c r="H104" s="4">
        <v>1.1655556380748746</v>
      </c>
      <c r="I104" s="4">
        <v>117.53447808159723</v>
      </c>
      <c r="J104" s="4">
        <v>37.273588053385417</v>
      </c>
      <c r="K104" s="4">
        <v>8.1999526023864728</v>
      </c>
      <c r="L104" s="4">
        <v>0.20569992712453794</v>
      </c>
      <c r="M104" s="4">
        <v>-0.8800547013157296</v>
      </c>
      <c r="N104" s="4">
        <v>0.53873815728972374</v>
      </c>
      <c r="O104" s="4">
        <v>0.88543675350956663</v>
      </c>
      <c r="P104">
        <v>1397.1191167877753</v>
      </c>
      <c r="Q104">
        <v>22.191032625066462</v>
      </c>
      <c r="R104">
        <v>34.755693496321953</v>
      </c>
      <c r="S104">
        <v>23.820000000000004</v>
      </c>
      <c r="T104">
        <v>7.4461217497662684</v>
      </c>
      <c r="U104" t="s">
        <v>37</v>
      </c>
      <c r="V104">
        <f>'VATtax et trade tax et ipc '!AI104</f>
        <v>14.628376209316764</v>
      </c>
      <c r="W104" s="9">
        <v>5.06056886228561</v>
      </c>
      <c r="X104">
        <f>'VATtax et trade tax et ipc '!AM104</f>
        <v>10.060152094623827</v>
      </c>
      <c r="AA104">
        <v>0</v>
      </c>
      <c r="AB104">
        <v>1</v>
      </c>
      <c r="AC104">
        <v>22.411040273338987</v>
      </c>
    </row>
    <row r="105" spans="1:29" ht="14.4" x14ac:dyDescent="0.3">
      <c r="A105" t="s">
        <v>240</v>
      </c>
      <c r="B105" s="4" t="str">
        <f>Tx_croissance!AH105</f>
        <v>NA</v>
      </c>
      <c r="C105" s="4" t="str">
        <f t="shared" si="1"/>
        <v>NA</v>
      </c>
      <c r="D105" s="4" t="s">
        <v>37</v>
      </c>
      <c r="E105" s="4">
        <v>0.58910293052867158</v>
      </c>
      <c r="F105" s="4">
        <v>-7.3231564504871146E-3</v>
      </c>
      <c r="G105" s="4">
        <v>68.200740740740756</v>
      </c>
      <c r="H105" s="4">
        <v>-0.23467593100698012</v>
      </c>
      <c r="I105" s="4">
        <v>106.06980690589317</v>
      </c>
      <c r="J105" s="4" t="s">
        <v>37</v>
      </c>
      <c r="K105" s="4" t="s">
        <v>37</v>
      </c>
      <c r="L105" s="4">
        <v>-1.4002752651770898</v>
      </c>
      <c r="M105" s="4">
        <v>-2.3052962174018226</v>
      </c>
      <c r="N105" s="4">
        <v>-1.4122572988271711</v>
      </c>
      <c r="O105" s="4">
        <v>-2.1712116152048115</v>
      </c>
      <c r="P105" t="s">
        <v>37</v>
      </c>
      <c r="Q105" t="s">
        <v>37</v>
      </c>
      <c r="R105" t="e">
        <v>#DIV/0!</v>
      </c>
      <c r="S105" t="e">
        <v>#DIV/0!</v>
      </c>
      <c r="T105" t="e">
        <v>#DIV/0!</v>
      </c>
      <c r="U105" t="s">
        <v>37</v>
      </c>
      <c r="V105" t="str">
        <f>'VATtax et trade tax et ipc '!AI105</f>
        <v>NA</v>
      </c>
      <c r="W105" s="9" t="str">
        <v>NA</v>
      </c>
      <c r="X105" t="str">
        <f>'VATtax et trade tax et ipc '!AM105</f>
        <v>NA</v>
      </c>
      <c r="AA105">
        <v>0</v>
      </c>
      <c r="AB105">
        <v>1</v>
      </c>
      <c r="AC105" t="s">
        <v>37</v>
      </c>
    </row>
    <row r="106" spans="1:29" ht="14.4" x14ac:dyDescent="0.3">
      <c r="A106" t="s">
        <v>242</v>
      </c>
      <c r="B106" s="4">
        <f>Tx_croissance!AH106</f>
        <v>3.4737480801604548</v>
      </c>
      <c r="C106" s="4">
        <f t="shared" si="1"/>
        <v>9.5038388898417114</v>
      </c>
      <c r="D106" s="4">
        <v>31.178433889242104</v>
      </c>
      <c r="E106" s="4">
        <v>0.51929146963076922</v>
      </c>
      <c r="F106" s="4">
        <v>-0.70555558552344644</v>
      </c>
      <c r="G106" s="4">
        <v>79.129990966576315</v>
      </c>
      <c r="H106" s="4">
        <v>0.40719812673827011</v>
      </c>
      <c r="I106" s="4">
        <v>111.84397048950196</v>
      </c>
      <c r="J106" s="4">
        <v>103.84238344080312</v>
      </c>
      <c r="K106" s="4">
        <v>67.215861002604171</v>
      </c>
      <c r="L106" s="4">
        <v>0.49648819739619893</v>
      </c>
      <c r="M106" s="4">
        <v>0.88390389581521334</v>
      </c>
      <c r="N106" s="4">
        <v>0.9835470591982215</v>
      </c>
      <c r="O106" s="4">
        <v>0.72618436565001809</v>
      </c>
      <c r="P106">
        <v>13411.111917015754</v>
      </c>
      <c r="Q106">
        <v>13.635291186483109</v>
      </c>
      <c r="R106">
        <v>44.3214857253191</v>
      </c>
      <c r="S106">
        <v>18.513333333333328</v>
      </c>
      <c r="T106">
        <v>27.85821394344093</v>
      </c>
      <c r="U106">
        <v>31.724459948882</v>
      </c>
      <c r="V106">
        <f>'VATtax et trade tax et ipc '!AI106</f>
        <v>5.5612119380541216</v>
      </c>
      <c r="W106" s="9">
        <v>0.61187034393931272</v>
      </c>
      <c r="X106">
        <f>'VATtax et trade tax et ipc '!AM106</f>
        <v>6.4801826786221346</v>
      </c>
      <c r="Y106">
        <v>12.99209499190826</v>
      </c>
      <c r="Z106">
        <v>37.117862059622581</v>
      </c>
      <c r="AA106">
        <v>0</v>
      </c>
      <c r="AB106">
        <v>0</v>
      </c>
      <c r="AC106">
        <v>5.1555508220157318</v>
      </c>
    </row>
    <row r="107" spans="1:29" ht="14.4" x14ac:dyDescent="0.3">
      <c r="A107" t="s">
        <v>244</v>
      </c>
      <c r="B107" s="4" t="str">
        <f>Tx_croissance!AH107</f>
        <v>NA</v>
      </c>
      <c r="C107" s="4" t="str">
        <f t="shared" si="1"/>
        <v>NA</v>
      </c>
      <c r="D107" s="4">
        <v>30.264500035644552</v>
      </c>
      <c r="E107" s="4">
        <v>-0.44716085717598231</v>
      </c>
      <c r="F107" s="4">
        <v>-0.76467206701636303</v>
      </c>
      <c r="G107" s="4">
        <v>76.078666666666649</v>
      </c>
      <c r="H107" s="4">
        <v>-0.35933259973923376</v>
      </c>
      <c r="I107" s="4">
        <v>100.20867270010491</v>
      </c>
      <c r="J107" s="4">
        <v>97.351785447862426</v>
      </c>
      <c r="K107" s="4">
        <v>88.101232458043995</v>
      </c>
      <c r="L107" s="4">
        <v>-0.4441942572593689</v>
      </c>
      <c r="M107" s="4">
        <v>-0.17344415350817144</v>
      </c>
      <c r="N107" s="4">
        <v>-0.50787907923487097</v>
      </c>
      <c r="O107" s="4">
        <v>-0.35265871354689177</v>
      </c>
      <c r="P107" t="s">
        <v>37</v>
      </c>
      <c r="Q107" t="s">
        <v>37</v>
      </c>
      <c r="R107" t="e">
        <v>#DIV/0!</v>
      </c>
      <c r="S107">
        <v>10.463636363636361</v>
      </c>
      <c r="T107" t="e">
        <v>#DIV/0!</v>
      </c>
      <c r="U107" t="s">
        <v>37</v>
      </c>
      <c r="V107" t="str">
        <f>'VATtax et trade tax et ipc '!AI107</f>
        <v>NA</v>
      </c>
      <c r="W107" s="9" t="str">
        <v>NA</v>
      </c>
      <c r="X107" t="str">
        <f>'VATtax et trade tax et ipc '!AM107</f>
        <v>NA</v>
      </c>
      <c r="AA107">
        <v>0</v>
      </c>
      <c r="AB107">
        <v>1</v>
      </c>
      <c r="AC107" t="s">
        <v>37</v>
      </c>
    </row>
    <row r="108" spans="1:29" ht="14.4" x14ac:dyDescent="0.3">
      <c r="A108" t="s">
        <v>246</v>
      </c>
      <c r="B108" s="4">
        <f>Tx_croissance!AH108</f>
        <v>-0.82755050091020133</v>
      </c>
      <c r="C108" s="4">
        <f t="shared" si="1"/>
        <v>10.424762789661941</v>
      </c>
      <c r="D108" s="4" t="s">
        <v>37</v>
      </c>
      <c r="E108" s="4">
        <v>3.4142123328442433</v>
      </c>
      <c r="F108" s="4">
        <v>0.6950732761373124</v>
      </c>
      <c r="G108" s="4">
        <v>77.677185185185166</v>
      </c>
      <c r="H108" s="4">
        <v>0.25011353862161445</v>
      </c>
      <c r="I108" s="4">
        <v>100.57349868047807</v>
      </c>
      <c r="J108" s="4">
        <v>94.740741729736342</v>
      </c>
      <c r="K108" s="4">
        <v>37.932744622230516</v>
      </c>
      <c r="L108" s="4">
        <v>0.18583047700424982</v>
      </c>
      <c r="M108" s="4">
        <v>0.13075710821431127</v>
      </c>
      <c r="N108" s="4">
        <v>0.39026931991490216</v>
      </c>
      <c r="O108" s="4">
        <v>-0.53374582591156161</v>
      </c>
      <c r="P108">
        <v>33683.480041353323</v>
      </c>
      <c r="Q108">
        <v>6.1940533106241062</v>
      </c>
      <c r="R108">
        <v>20.802646971318374</v>
      </c>
      <c r="S108">
        <v>0</v>
      </c>
      <c r="T108">
        <v>0.62641063241838257</v>
      </c>
      <c r="U108" t="s">
        <v>37</v>
      </c>
      <c r="V108">
        <f>'VATtax et trade tax et ipc '!AI108</f>
        <v>3.4998175387625252E-3</v>
      </c>
      <c r="W108" s="9">
        <v>0.26511117856126126</v>
      </c>
      <c r="X108">
        <f>'VATtax et trade tax et ipc '!AM108</f>
        <v>7.5246077083394286E-2</v>
      </c>
      <c r="Y108">
        <v>1.14618124453099</v>
      </c>
      <c r="AA108">
        <v>0</v>
      </c>
      <c r="AB108">
        <v>0</v>
      </c>
      <c r="AC108">
        <v>74.051046785464493</v>
      </c>
    </row>
    <row r="109" spans="1:29" ht="14.4" x14ac:dyDescent="0.3">
      <c r="A109" t="s">
        <v>248</v>
      </c>
      <c r="B109" s="4">
        <f>Tx_croissance!AH109</f>
        <v>2.6272137594598011</v>
      </c>
      <c r="C109" s="4">
        <f t="shared" si="1"/>
        <v>6.3755445057629565</v>
      </c>
      <c r="D109" s="4">
        <v>23.087639427259731</v>
      </c>
      <c r="E109" s="4">
        <v>1.5531809131041938</v>
      </c>
      <c r="F109" s="4">
        <v>-0.40482562423373247</v>
      </c>
      <c r="G109" s="4">
        <v>69.143631436314379</v>
      </c>
      <c r="H109" s="4">
        <v>-0.7120812752594553</v>
      </c>
      <c r="I109" s="4">
        <v>110.86483165196022</v>
      </c>
      <c r="J109" s="4">
        <v>46.881615434374133</v>
      </c>
      <c r="K109" s="4">
        <v>10.471220820038408</v>
      </c>
      <c r="L109" s="4">
        <v>-1.1399038881063459</v>
      </c>
      <c r="M109" s="4">
        <v>-0.40942759253084637</v>
      </c>
      <c r="N109" s="4">
        <v>-1.0422014221549032</v>
      </c>
      <c r="O109" s="4">
        <v>-0.73543086275458336</v>
      </c>
      <c r="P109">
        <v>587.30513492405953</v>
      </c>
      <c r="Q109">
        <v>16.604507342448603</v>
      </c>
      <c r="R109">
        <v>19.898566448010733</v>
      </c>
      <c r="S109">
        <v>5.6666666666666679</v>
      </c>
      <c r="T109">
        <v>11.072688258034805</v>
      </c>
      <c r="U109">
        <v>59.380692447050151</v>
      </c>
      <c r="V109">
        <f>'VATtax et trade tax et ipc '!AI109</f>
        <v>20.203565020157114</v>
      </c>
      <c r="W109" s="9">
        <v>6.0230040537013094</v>
      </c>
      <c r="X109">
        <f>'VATtax et trade tax et ipc '!AM109</f>
        <v>6.4594566246549325</v>
      </c>
      <c r="Z109">
        <v>20.377699735523471</v>
      </c>
      <c r="AA109">
        <v>0</v>
      </c>
      <c r="AB109">
        <v>1</v>
      </c>
      <c r="AC109">
        <v>17.314149160180797</v>
      </c>
    </row>
    <row r="110" spans="1:29" ht="14.4" x14ac:dyDescent="0.3">
      <c r="A110" t="s">
        <v>250</v>
      </c>
      <c r="B110" s="4">
        <f>Tx_croissance!AH110</f>
        <v>4.7132869621612672</v>
      </c>
      <c r="C110" s="4">
        <f t="shared" si="1"/>
        <v>6.619453557563526</v>
      </c>
      <c r="D110" s="4">
        <v>28.625488549770658</v>
      </c>
      <c r="E110" s="4">
        <v>1.6019804300758727</v>
      </c>
      <c r="F110" s="4">
        <v>-0.51168522316341603</v>
      </c>
      <c r="G110" s="4">
        <v>62.72551851851852</v>
      </c>
      <c r="H110" s="4">
        <v>6.7747636775796594E-2</v>
      </c>
      <c r="I110" s="4" t="s">
        <v>37</v>
      </c>
      <c r="J110" s="4">
        <v>57.516007423400879</v>
      </c>
      <c r="K110" s="4">
        <v>41.125386962890623</v>
      </c>
      <c r="L110" s="4">
        <v>-1.0193041438857715</v>
      </c>
      <c r="M110" s="4">
        <v>-1.0258893743157387</v>
      </c>
      <c r="N110" s="4">
        <v>-0.96538259834051132</v>
      </c>
      <c r="O110" s="4">
        <v>-1.6541724403699247</v>
      </c>
      <c r="P110">
        <v>749.53540723195727</v>
      </c>
      <c r="Q110" t="s">
        <v>37</v>
      </c>
      <c r="R110" t="e">
        <v>#DIV/0!</v>
      </c>
      <c r="S110">
        <v>21.606666666666666</v>
      </c>
      <c r="T110" t="e">
        <v>#DIV/0!</v>
      </c>
      <c r="U110" t="s">
        <v>37</v>
      </c>
      <c r="V110" t="str">
        <f>'VATtax et trade tax et ipc '!AI110</f>
        <v>NA</v>
      </c>
      <c r="W110" s="9" t="str">
        <v>NA</v>
      </c>
      <c r="X110" t="str">
        <f>'VATtax et trade tax et ipc '!AM110</f>
        <v>NA</v>
      </c>
      <c r="AA110">
        <v>0</v>
      </c>
      <c r="AB110">
        <v>1</v>
      </c>
      <c r="AC110" t="s">
        <v>37</v>
      </c>
    </row>
    <row r="111" spans="1:29" ht="14.4" x14ac:dyDescent="0.3">
      <c r="A111" t="s">
        <v>252</v>
      </c>
      <c r="B111" s="4">
        <f>Tx_croissance!AH111</f>
        <v>4.6787573605289623</v>
      </c>
      <c r="C111" s="4">
        <f t="shared" si="1"/>
        <v>8.5111395208430309</v>
      </c>
      <c r="D111" s="4">
        <v>23.880241960464776</v>
      </c>
      <c r="E111" s="4">
        <v>-1.0486063255058387</v>
      </c>
      <c r="F111" s="4">
        <v>-1.3839753568172455</v>
      </c>
      <c r="G111" s="4">
        <v>72.170966576332432</v>
      </c>
      <c r="H111" s="4">
        <v>0.52169235392163193</v>
      </c>
      <c r="I111" s="4">
        <v>89.940446217854813</v>
      </c>
      <c r="J111" s="4">
        <v>36.9367322921753</v>
      </c>
      <c r="K111" s="4">
        <v>11.55355513095855</v>
      </c>
      <c r="L111" s="4">
        <v>0.31132767240827292</v>
      </c>
      <c r="M111" s="4">
        <v>1.0050638988614071</v>
      </c>
      <c r="N111" s="4">
        <v>0.69246972538530827</v>
      </c>
      <c r="O111" s="4">
        <v>0.81034144262472785</v>
      </c>
      <c r="P111">
        <v>4969.8230798582545</v>
      </c>
      <c r="Q111">
        <v>21.318792506109911</v>
      </c>
      <c r="R111">
        <v>19.008797329872873</v>
      </c>
      <c r="S111">
        <v>6.2733333333333325</v>
      </c>
      <c r="T111">
        <v>9.9760837237310209</v>
      </c>
      <c r="U111" t="s">
        <v>37</v>
      </c>
      <c r="V111">
        <f>'VATtax et trade tax et ipc '!AI111</f>
        <v>16.702384761973299</v>
      </c>
      <c r="W111" s="9">
        <v>0.11087100764135217</v>
      </c>
      <c r="X111">
        <f>'VATtax et trade tax et ipc '!AM111</f>
        <v>3.7549611652394845</v>
      </c>
      <c r="Y111">
        <v>19.343070696600105</v>
      </c>
      <c r="Z111">
        <v>14.182094268103388</v>
      </c>
      <c r="AA111">
        <v>0</v>
      </c>
      <c r="AB111">
        <v>0</v>
      </c>
      <c r="AC111">
        <v>1.1788395742331759</v>
      </c>
    </row>
    <row r="112" spans="1:29" ht="14.4" x14ac:dyDescent="0.3">
      <c r="A112" t="s">
        <v>254</v>
      </c>
      <c r="B112" s="4" t="str">
        <f>Tx_croissance!AH112</f>
        <v>NA</v>
      </c>
      <c r="C112" s="4">
        <f t="shared" si="1"/>
        <v>8.6204280982392287</v>
      </c>
      <c r="D112" s="4">
        <v>22.999749966354667</v>
      </c>
      <c r="E112" s="4">
        <v>1.2319599659226734</v>
      </c>
      <c r="F112" s="4">
        <v>-1.3003858178853986</v>
      </c>
      <c r="G112" s="4">
        <v>76.537518518518539</v>
      </c>
      <c r="H112" s="4">
        <v>-1.3663432933390138</v>
      </c>
      <c r="I112" s="4" t="s">
        <v>37</v>
      </c>
      <c r="J112" s="4" t="s">
        <v>37</v>
      </c>
      <c r="K112" s="4" t="s">
        <v>37</v>
      </c>
      <c r="L112" s="4">
        <v>-0.86857515697677901</v>
      </c>
      <c r="M112" s="4">
        <v>-0.36918529068740685</v>
      </c>
      <c r="N112" s="4">
        <v>-0.62471440682808554</v>
      </c>
      <c r="O112" s="4">
        <v>-0.45234618460138631</v>
      </c>
      <c r="P112">
        <v>5543.7591592878616</v>
      </c>
      <c r="Q112">
        <v>14.027689285241834</v>
      </c>
      <c r="R112">
        <v>23.272661304142794</v>
      </c>
      <c r="S112">
        <v>7.2266666666666657</v>
      </c>
      <c r="T112">
        <v>17.404358635705254</v>
      </c>
      <c r="U112">
        <v>110.83572963376984</v>
      </c>
      <c r="V112">
        <f>'VATtax et trade tax et ipc '!AI112</f>
        <v>6.949499397239852</v>
      </c>
      <c r="W112" s="9">
        <v>1.3628094324386728</v>
      </c>
      <c r="X112">
        <f>'VATtax et trade tax et ipc '!AM112</f>
        <v>3.4697852510080724</v>
      </c>
      <c r="Z112">
        <v>36.455083642191056</v>
      </c>
      <c r="AA112">
        <v>0</v>
      </c>
      <c r="AB112">
        <v>0</v>
      </c>
      <c r="AC112">
        <v>15.124388060451235</v>
      </c>
    </row>
    <row r="113" spans="1:29" ht="14.4" x14ac:dyDescent="0.3">
      <c r="A113" t="s">
        <v>256</v>
      </c>
      <c r="B113" s="4">
        <f>Tx_croissance!AH113</f>
        <v>1.4323745483715511</v>
      </c>
      <c r="C113" s="4">
        <f t="shared" si="1"/>
        <v>6.4731471766968216</v>
      </c>
      <c r="D113" s="4">
        <v>27.843957082687886</v>
      </c>
      <c r="E113" s="4">
        <v>0.67142578123742791</v>
      </c>
      <c r="F113" s="4">
        <v>1.6853953947623561</v>
      </c>
      <c r="G113" s="4">
        <v>49.060851851851844</v>
      </c>
      <c r="H113" s="4">
        <v>-2.6369732280727472E-2</v>
      </c>
      <c r="I113" s="4">
        <v>104.00592803955075</v>
      </c>
      <c r="J113" s="4">
        <v>85.980073293050125</v>
      </c>
      <c r="K113" s="4">
        <v>15.335152124103752</v>
      </c>
      <c r="L113" s="4">
        <v>-2.6897230961670428E-2</v>
      </c>
      <c r="M113" s="4">
        <v>-0.5354123072077831</v>
      </c>
      <c r="N113" s="4">
        <v>-0.2049647131934762</v>
      </c>
      <c r="O113" s="4">
        <v>-5.3251805370867621E-2</v>
      </c>
      <c r="P113">
        <v>647.51837833304194</v>
      </c>
      <c r="Q113">
        <v>31.450008203350116</v>
      </c>
      <c r="R113">
        <v>32.480012178921484</v>
      </c>
      <c r="S113">
        <v>11.780000000000003</v>
      </c>
      <c r="T113">
        <v>20.443468546244866</v>
      </c>
      <c r="U113">
        <v>31.91738744996394</v>
      </c>
      <c r="V113">
        <f>'VATtax et trade tax et ipc '!AI113</f>
        <v>15.153745410791585</v>
      </c>
      <c r="W113" s="9">
        <v>6.4386270945745858</v>
      </c>
      <c r="X113">
        <f>'VATtax et trade tax et ipc '!AM113</f>
        <v>11.120534043019831</v>
      </c>
      <c r="Y113">
        <v>28.750497175982957</v>
      </c>
      <c r="AA113">
        <v>0</v>
      </c>
      <c r="AB113">
        <v>1</v>
      </c>
      <c r="AC113">
        <v>21.471047484319062</v>
      </c>
    </row>
    <row r="114" spans="1:29" ht="14.4" x14ac:dyDescent="0.3">
      <c r="A114" t="s">
        <v>258</v>
      </c>
      <c r="B114" s="4" t="str">
        <f>Tx_croissance!AH114</f>
        <v>NA</v>
      </c>
      <c r="C114" s="4" t="str">
        <f t="shared" si="1"/>
        <v>NA</v>
      </c>
      <c r="D114" s="4" t="s">
        <v>37</v>
      </c>
      <c r="E114" s="4">
        <v>3.2655270257495159</v>
      </c>
      <c r="F114" s="4">
        <v>0.76999984029680479</v>
      </c>
      <c r="G114" s="4">
        <v>56.095185185185201</v>
      </c>
      <c r="H114" s="4">
        <v>-0.98383616407712282</v>
      </c>
      <c r="I114" s="4">
        <v>105.71030680338551</v>
      </c>
      <c r="J114" s="4">
        <v>112.66862954033732</v>
      </c>
      <c r="K114" s="4">
        <v>35.32705232832167</v>
      </c>
      <c r="L114" s="4">
        <v>-0.89500171815355678</v>
      </c>
      <c r="M114" s="4">
        <v>-1.2385767549276361</v>
      </c>
      <c r="N114" s="4">
        <v>-1.1574315552910168</v>
      </c>
      <c r="O114" s="4">
        <v>-0.43272152744854492</v>
      </c>
      <c r="P114" t="s">
        <v>37</v>
      </c>
      <c r="Q114">
        <v>10.338528620164778</v>
      </c>
      <c r="R114">
        <v>34.726004886359554</v>
      </c>
      <c r="S114">
        <v>16.657142857142858</v>
      </c>
      <c r="T114" t="e">
        <v>#DIV/0!</v>
      </c>
      <c r="U114">
        <v>21.024302046812977</v>
      </c>
      <c r="V114">
        <f>'VATtax et trade tax et ipc '!AI114</f>
        <v>1.7488959638883579</v>
      </c>
      <c r="W114" s="9">
        <v>3.9715579706572486</v>
      </c>
      <c r="X114">
        <f>'VATtax et trade tax et ipc '!AM114</f>
        <v>3.353934162166837</v>
      </c>
      <c r="AA114">
        <v>0</v>
      </c>
      <c r="AB114">
        <v>1</v>
      </c>
      <c r="AC114">
        <v>41.888118037075365</v>
      </c>
    </row>
    <row r="115" spans="1:29" ht="14.4" x14ac:dyDescent="0.3">
      <c r="A115" t="s">
        <v>260</v>
      </c>
      <c r="B115" s="4" t="str">
        <f>Tx_croissance!AH115</f>
        <v>NA</v>
      </c>
      <c r="C115" s="4" t="str">
        <f t="shared" si="1"/>
        <v>NA</v>
      </c>
      <c r="D115" s="4">
        <v>16.24493316019629</v>
      </c>
      <c r="E115" s="4">
        <v>1.3705077953011879</v>
      </c>
      <c r="F115" s="4">
        <v>1.7446655283371608</v>
      </c>
      <c r="G115" s="4">
        <v>71.65666666666668</v>
      </c>
      <c r="H115" s="4">
        <v>-1.0144827640615404</v>
      </c>
      <c r="I115" s="4">
        <v>99.131922721862779</v>
      </c>
      <c r="J115" s="4">
        <v>93.688332297585234</v>
      </c>
      <c r="K115" s="4">
        <v>18.617782372694748</v>
      </c>
      <c r="L115" s="4">
        <v>-1.2480202292402593</v>
      </c>
      <c r="M115" s="4">
        <v>-1.7426294386386874</v>
      </c>
      <c r="N115" s="4">
        <v>-1.2751628458499904</v>
      </c>
      <c r="O115" s="4">
        <v>-1.5763709371288614</v>
      </c>
      <c r="P115" t="s">
        <v>37</v>
      </c>
      <c r="Q115" t="s">
        <v>37</v>
      </c>
      <c r="R115" t="e">
        <v>#DIV/0!</v>
      </c>
      <c r="S115">
        <v>22.099999999999998</v>
      </c>
      <c r="T115" t="e">
        <v>#DIV/0!</v>
      </c>
      <c r="U115" t="s">
        <v>37</v>
      </c>
      <c r="V115" t="str">
        <f>'VATtax et trade tax et ipc '!AI115</f>
        <v>NA</v>
      </c>
      <c r="W115" s="9" t="str">
        <v>NA</v>
      </c>
      <c r="X115" t="str">
        <f>'VATtax et trade tax et ipc '!AM115</f>
        <v>NA</v>
      </c>
      <c r="Z115">
        <v>11.657303370786517</v>
      </c>
      <c r="AA115">
        <v>0</v>
      </c>
      <c r="AB115">
        <v>0</v>
      </c>
      <c r="AC115" t="s">
        <v>37</v>
      </c>
    </row>
    <row r="116" spans="1:29" ht="14.4" x14ac:dyDescent="0.3">
      <c r="A116" t="s">
        <v>262</v>
      </c>
      <c r="B116" s="4" t="str">
        <f>Tx_croissance!AH116</f>
        <v>NA</v>
      </c>
      <c r="C116" s="4" t="str">
        <f t="shared" si="1"/>
        <v>NA</v>
      </c>
      <c r="D116" s="4" t="e">
        <v>#DIV/0!</v>
      </c>
      <c r="E116" s="4">
        <v>0.9140137098178247</v>
      </c>
      <c r="F116" s="4">
        <v>1.0899138450622556</v>
      </c>
      <c r="G116" s="4">
        <v>80.887804878048783</v>
      </c>
      <c r="H116" s="4">
        <v>1.4308672149976094</v>
      </c>
      <c r="I116" s="4">
        <v>113.47210328475286</v>
      </c>
      <c r="J116" s="4">
        <v>42.414205385291041</v>
      </c>
      <c r="K116" s="4">
        <v>5.6414840300877866</v>
      </c>
      <c r="L116" s="4">
        <v>1.6242544998725246</v>
      </c>
      <c r="M116" s="4">
        <v>1.5082093477249148</v>
      </c>
      <c r="N116" s="4">
        <v>1.5087001025676718</v>
      </c>
      <c r="O116" s="4">
        <v>1.4042878101269409</v>
      </c>
      <c r="P116" t="s">
        <v>37</v>
      </c>
      <c r="Q116" t="s">
        <v>37</v>
      </c>
      <c r="R116" t="e">
        <v>#DIV/0!</v>
      </c>
      <c r="S116">
        <v>6.4</v>
      </c>
      <c r="T116" t="e">
        <v>#DIV/0!</v>
      </c>
      <c r="U116" t="s">
        <v>37</v>
      </c>
      <c r="V116" t="str">
        <f>'VATtax et trade tax et ipc '!AI116</f>
        <v>NA</v>
      </c>
      <c r="W116" s="9" t="str">
        <v>NA</v>
      </c>
      <c r="X116" t="str">
        <f>'VATtax et trade tax et ipc '!AM116</f>
        <v>NA</v>
      </c>
      <c r="AA116">
        <v>0</v>
      </c>
      <c r="AB116">
        <v>0</v>
      </c>
      <c r="AC116" t="s">
        <v>37</v>
      </c>
    </row>
    <row r="117" spans="1:29" ht="14.4" x14ac:dyDescent="0.3">
      <c r="A117" t="s">
        <v>264</v>
      </c>
      <c r="B117" s="4">
        <f>Tx_croissance!AH117</f>
        <v>5.0224460646503433</v>
      </c>
      <c r="C117" s="4">
        <f t="shared" si="1"/>
        <v>8.504314661086239</v>
      </c>
      <c r="D117" s="4">
        <v>21.15884818455373</v>
      </c>
      <c r="E117" s="4">
        <v>-0.91366721062609924</v>
      </c>
      <c r="F117" s="4">
        <v>-0.86925603449344624</v>
      </c>
      <c r="G117" s="4">
        <v>72.781174345076792</v>
      </c>
      <c r="H117" s="4">
        <v>0.75135813777645444</v>
      </c>
      <c r="I117" s="4">
        <v>101.5612552784107</v>
      </c>
      <c r="J117" s="4">
        <v>102.23723234953705</v>
      </c>
      <c r="K117" s="4">
        <v>66.606564910323527</v>
      </c>
      <c r="L117" s="4">
        <v>0.42700938259561855</v>
      </c>
      <c r="M117" s="4">
        <v>1.0649550358454378</v>
      </c>
      <c r="N117" s="4">
        <v>0.75536558032035817</v>
      </c>
      <c r="O117" s="4">
        <v>0.93508349855740869</v>
      </c>
      <c r="P117">
        <v>4936.0202154344042</v>
      </c>
      <c r="Q117">
        <v>18.775396870507638</v>
      </c>
      <c r="R117">
        <v>38.459960912546663</v>
      </c>
      <c r="S117">
        <v>6.4666666666666686</v>
      </c>
      <c r="T117" s="3">
        <v>22.07792728566039</v>
      </c>
      <c r="U117">
        <v>35.981286730027165</v>
      </c>
      <c r="V117">
        <f>'VATtax et trade tax et ipc '!AI117</f>
        <v>10.638057249502546</v>
      </c>
      <c r="W117" s="9">
        <v>0.1752762496145944</v>
      </c>
      <c r="X117">
        <f>'VATtax et trade tax et ipc '!AM117</f>
        <v>6.7384020506871716</v>
      </c>
      <c r="Y117">
        <v>19.824546890876793</v>
      </c>
      <c r="Z117">
        <v>20.374184344307011</v>
      </c>
      <c r="AA117">
        <v>0</v>
      </c>
      <c r="AB117">
        <v>0</v>
      </c>
      <c r="AC117">
        <v>2.0844803393033509</v>
      </c>
    </row>
    <row r="118" spans="1:29" ht="14.4" x14ac:dyDescent="0.3">
      <c r="A118" t="s">
        <v>266</v>
      </c>
      <c r="B118" s="4">
        <f>Tx_croissance!AH118</f>
        <v>1.4240579043016233</v>
      </c>
      <c r="C118" s="4">
        <f t="shared" si="1"/>
        <v>11.223857053044529</v>
      </c>
      <c r="D118" s="4">
        <v>19.235362615274997</v>
      </c>
      <c r="E118" s="4">
        <v>1.7249443213090783</v>
      </c>
      <c r="F118" s="4">
        <v>-0.65572526926795638</v>
      </c>
      <c r="G118" s="4">
        <v>79.941915085817541</v>
      </c>
      <c r="H118" s="4">
        <v>1.377557923396429</v>
      </c>
      <c r="I118" s="4">
        <v>97.815684685340301</v>
      </c>
      <c r="J118" s="4">
        <v>98.354341066800615</v>
      </c>
      <c r="K118" s="4">
        <v>14.249655485153198</v>
      </c>
      <c r="L118" s="4">
        <v>1.9626921365658452</v>
      </c>
      <c r="M118" s="4">
        <v>1.7344460984071104</v>
      </c>
      <c r="N118" s="4">
        <v>1.787353500723839</v>
      </c>
      <c r="O118" s="4">
        <v>1.5462421923875818</v>
      </c>
      <c r="P118">
        <v>74896.096578804631</v>
      </c>
      <c r="Q118">
        <v>23.639023850249906</v>
      </c>
      <c r="R118">
        <v>48.064452470347938</v>
      </c>
      <c r="S118">
        <v>4.3214285714285721</v>
      </c>
      <c r="T118">
        <v>29.535710603161196</v>
      </c>
      <c r="U118" t="s">
        <v>37</v>
      </c>
      <c r="V118">
        <f>'VATtax et trade tax et ipc '!AI118</f>
        <v>11.345858717163978</v>
      </c>
      <c r="W118" s="9" t="str">
        <v>NA</v>
      </c>
      <c r="X118">
        <f>'VATtax et trade tax et ipc '!AM118</f>
        <v>11.630251123508796</v>
      </c>
      <c r="Y118">
        <v>24.47322706915562</v>
      </c>
      <c r="Z118">
        <v>21.152842810966625</v>
      </c>
      <c r="AA118">
        <v>0</v>
      </c>
      <c r="AB118">
        <v>0</v>
      </c>
      <c r="AC118" t="s">
        <v>37</v>
      </c>
    </row>
    <row r="119" spans="1:29" ht="14.4" x14ac:dyDescent="0.3">
      <c r="A119" t="s">
        <v>268</v>
      </c>
      <c r="B119" s="4">
        <f>Tx_croissance!AH119</f>
        <v>-0.30145614110164143</v>
      </c>
      <c r="C119" s="4">
        <f t="shared" si="1"/>
        <v>10.469985796276667</v>
      </c>
      <c r="D119" s="4">
        <v>19.058146617496959</v>
      </c>
      <c r="E119" s="4">
        <v>2.0755088721087129</v>
      </c>
      <c r="F119" s="4">
        <v>0.97189260274171818</v>
      </c>
      <c r="G119" s="4">
        <v>82.616740740740752</v>
      </c>
      <c r="H119" s="4">
        <v>0.88933877150217688</v>
      </c>
      <c r="I119" s="4">
        <v>100.73613908555772</v>
      </c>
      <c r="J119" s="4">
        <v>100.78542808250147</v>
      </c>
      <c r="K119" s="4">
        <v>67.938563806039312</v>
      </c>
      <c r="L119" s="4">
        <v>0.57299521472305059</v>
      </c>
      <c r="M119" s="4">
        <v>1.3083054895202313</v>
      </c>
      <c r="N119" s="4">
        <v>0.70516205579042446</v>
      </c>
      <c r="O119" s="4">
        <v>8.8013737928122338E-2</v>
      </c>
      <c r="P119">
        <v>35241.716801641363</v>
      </c>
      <c r="Q119">
        <v>24.648441190812825</v>
      </c>
      <c r="R119">
        <v>7.9584563942210922</v>
      </c>
      <c r="S119" t="e">
        <v>#DIV/0!</v>
      </c>
      <c r="T119">
        <v>6.7553192386596503</v>
      </c>
      <c r="U119" t="s">
        <v>37</v>
      </c>
      <c r="V119">
        <f>'VATtax et trade tax et ipc '!AI119</f>
        <v>27.478643386753856</v>
      </c>
      <c r="W119" s="9" t="str">
        <v>NA</v>
      </c>
      <c r="X119">
        <f>'VATtax et trade tax et ipc '!AM119</f>
        <v>1.8905422445543199</v>
      </c>
      <c r="Z119">
        <v>25.873677460724593</v>
      </c>
      <c r="AA119">
        <v>0</v>
      </c>
      <c r="AB119">
        <v>0</v>
      </c>
      <c r="AC119" t="s">
        <v>37</v>
      </c>
    </row>
    <row r="120" spans="1:29" ht="14.4" x14ac:dyDescent="0.3">
      <c r="A120" t="s">
        <v>270</v>
      </c>
      <c r="B120" s="4">
        <f>Tx_croissance!AH120</f>
        <v>-5.3851267186644236E-2</v>
      </c>
      <c r="C120" s="4">
        <f t="shared" si="1"/>
        <v>6.1323284561935472</v>
      </c>
      <c r="D120" s="4">
        <v>19.243448534819663</v>
      </c>
      <c r="E120" s="4">
        <v>2.8222262461486176</v>
      </c>
      <c r="F120" s="4">
        <v>5.587536282837393E-2</v>
      </c>
      <c r="G120" s="4">
        <v>61.40481481481482</v>
      </c>
      <c r="H120" s="4">
        <v>-0.27768650293971098</v>
      </c>
      <c r="I120" s="4">
        <v>100.80884234110509</v>
      </c>
      <c r="J120" s="4">
        <v>92.75400002797447</v>
      </c>
      <c r="K120" s="4">
        <v>64.177425231933597</v>
      </c>
      <c r="L120" s="4">
        <v>-0.58636682807021601</v>
      </c>
      <c r="M120" s="4">
        <v>-0.60107379530866933</v>
      </c>
      <c r="N120" s="4">
        <v>-0.64203310757875409</v>
      </c>
      <c r="O120" s="4">
        <v>-0.32423472794471309</v>
      </c>
      <c r="P120">
        <v>460.5071840854518</v>
      </c>
      <c r="Q120">
        <v>8.6881560357679319</v>
      </c>
      <c r="R120">
        <v>22.142655104988201</v>
      </c>
      <c r="S120">
        <v>18.826666666666672</v>
      </c>
      <c r="T120">
        <v>16.460451129242745</v>
      </c>
      <c r="U120" t="s">
        <v>37</v>
      </c>
      <c r="V120">
        <f>'VATtax et trade tax et ipc '!AI120</f>
        <v>5.9434605660546485</v>
      </c>
      <c r="W120" s="9">
        <v>2.3872717257325311</v>
      </c>
      <c r="X120">
        <f>'VATtax et trade tax et ipc '!AM120</f>
        <v>2.7199516238449046</v>
      </c>
      <c r="Y120">
        <v>6.8458658173510596</v>
      </c>
      <c r="Z120">
        <v>8.8709191913007288</v>
      </c>
      <c r="AA120">
        <v>0</v>
      </c>
      <c r="AB120">
        <v>1</v>
      </c>
      <c r="AC120">
        <v>28.806241798800507</v>
      </c>
    </row>
    <row r="121" spans="1:29" ht="14.4" x14ac:dyDescent="0.3">
      <c r="A121" t="s">
        <v>272</v>
      </c>
      <c r="B121" s="4">
        <f>Tx_croissance!AH121</f>
        <v>1.3417800329626361</v>
      </c>
      <c r="C121" s="4">
        <f t="shared" si="1"/>
        <v>5.9576513027168305</v>
      </c>
      <c r="D121" s="4" t="s">
        <v>37</v>
      </c>
      <c r="E121" s="4">
        <v>2.5004164654965386</v>
      </c>
      <c r="F121" s="4">
        <v>-0.94120738655328851</v>
      </c>
      <c r="G121" s="4">
        <v>53.944777777777787</v>
      </c>
      <c r="H121" s="4">
        <v>-8.1834410753799616E-2</v>
      </c>
      <c r="I121" s="4" t="s">
        <v>37</v>
      </c>
      <c r="J121" s="4" t="s">
        <v>37</v>
      </c>
      <c r="K121" s="4" t="s">
        <v>37</v>
      </c>
      <c r="L121" s="4">
        <v>-0.58064724877476692</v>
      </c>
      <c r="M121" s="4">
        <v>-0.61593909282237291</v>
      </c>
      <c r="N121" s="4">
        <v>-0.2661602223912875</v>
      </c>
      <c r="O121" s="4">
        <v>-0.17240204741635054</v>
      </c>
      <c r="P121">
        <v>386.70081365771023</v>
      </c>
      <c r="Q121">
        <v>10.912018001333671</v>
      </c>
      <c r="R121">
        <v>45.817789339070174</v>
      </c>
      <c r="S121">
        <v>23.646666666666658</v>
      </c>
      <c r="T121">
        <v>35.16049991121951</v>
      </c>
      <c r="U121">
        <v>29.601993358333463</v>
      </c>
      <c r="V121">
        <f>'VATtax et trade tax et ipc '!AI121</f>
        <v>8.4380914566856902</v>
      </c>
      <c r="W121" s="9">
        <v>1.6838289240831432</v>
      </c>
      <c r="X121">
        <f>'VATtax et trade tax et ipc '!AM121</f>
        <v>8.9707095250139499</v>
      </c>
      <c r="AA121">
        <v>0</v>
      </c>
      <c r="AB121">
        <v>1</v>
      </c>
      <c r="AC121">
        <v>9.2345273574129561</v>
      </c>
    </row>
    <row r="122" spans="1:29" ht="14.4" x14ac:dyDescent="0.3">
      <c r="A122" t="s">
        <v>274</v>
      </c>
      <c r="B122" s="4">
        <f>Tx_croissance!AH122</f>
        <v>2.5166283978727888</v>
      </c>
      <c r="C122" s="4">
        <f t="shared" si="1"/>
        <v>8.6702354022683572</v>
      </c>
      <c r="D122" s="4">
        <v>25.314414111977392</v>
      </c>
      <c r="E122" s="4">
        <v>1.9628172138856057</v>
      </c>
      <c r="F122" s="4">
        <v>1.0028365204731622</v>
      </c>
      <c r="G122" s="4">
        <v>74.154370370370387</v>
      </c>
      <c r="H122" s="4">
        <v>0.20250715957566479</v>
      </c>
      <c r="I122" s="4">
        <v>102.11706542968751</v>
      </c>
      <c r="J122" s="4">
        <v>56.863376935323082</v>
      </c>
      <c r="K122" s="4">
        <v>20.367757938526292</v>
      </c>
      <c r="L122" s="4">
        <v>0.19453067318924397</v>
      </c>
      <c r="M122" s="4">
        <v>0.58388073245684302</v>
      </c>
      <c r="N122" s="4">
        <v>0.42058698895076901</v>
      </c>
      <c r="O122" s="4">
        <v>-0.34125918616579537</v>
      </c>
      <c r="P122">
        <v>5826.8708467063643</v>
      </c>
      <c r="Q122">
        <v>14.742732239439601</v>
      </c>
      <c r="R122">
        <v>63.598377808143375</v>
      </c>
      <c r="S122">
        <v>19.673333333333336</v>
      </c>
      <c r="T122">
        <v>47.163168351616079</v>
      </c>
      <c r="U122">
        <v>49.027015739816157</v>
      </c>
      <c r="V122">
        <f>'VATtax et trade tax et ipc '!AI122</f>
        <v>3.5969181908508188</v>
      </c>
      <c r="W122" s="9">
        <v>0.56980765937187372</v>
      </c>
      <c r="X122">
        <f>'VATtax et trade tax et ipc '!AM122</f>
        <v>8.8703285521838531</v>
      </c>
      <c r="Z122">
        <v>43.585963240483117</v>
      </c>
      <c r="AA122">
        <v>0</v>
      </c>
      <c r="AB122">
        <v>0</v>
      </c>
      <c r="AC122">
        <v>4.085721858572521</v>
      </c>
    </row>
    <row r="123" spans="1:29" ht="14.4" x14ac:dyDescent="0.3">
      <c r="A123" t="s">
        <v>276</v>
      </c>
      <c r="B123" s="4">
        <f>Tx_croissance!AH123</f>
        <v>2.5740527228647503</v>
      </c>
      <c r="C123" s="4">
        <f t="shared" si="1"/>
        <v>8.622680034502638</v>
      </c>
      <c r="D123" s="4" t="s">
        <v>37</v>
      </c>
      <c r="E123" s="4">
        <v>2.6102097303662224</v>
      </c>
      <c r="F123" s="4">
        <v>-0.77484837526248562</v>
      </c>
      <c r="G123" s="4">
        <v>75.576444444444434</v>
      </c>
      <c r="H123" s="4">
        <v>0.40831137518398486</v>
      </c>
      <c r="I123" s="4">
        <v>133.85924720764163</v>
      </c>
      <c r="J123" s="4">
        <v>149.70509147644023</v>
      </c>
      <c r="K123" s="4">
        <v>49.079029083252003</v>
      </c>
      <c r="L123" s="4">
        <v>-0.48976632518072921</v>
      </c>
      <c r="M123" s="4">
        <v>-5.0496957342450764E-2</v>
      </c>
      <c r="N123" s="4">
        <v>-0.26555620273575192</v>
      </c>
      <c r="O123" s="4">
        <v>-0.57655777782201756</v>
      </c>
      <c r="P123">
        <v>5556.2574189345551</v>
      </c>
      <c r="Q123">
        <v>11.886553505413792</v>
      </c>
      <c r="R123">
        <v>4.5501994894113373</v>
      </c>
      <c r="S123">
        <v>6.8666666666666654</v>
      </c>
      <c r="T123">
        <v>1.9815516291466395</v>
      </c>
      <c r="U123">
        <v>36.244751699890578</v>
      </c>
      <c r="V123">
        <f>'VATtax et trade tax et ipc '!AI123</f>
        <v>1.0546218979516362</v>
      </c>
      <c r="W123" s="9">
        <v>2.8501583604841438</v>
      </c>
      <c r="X123">
        <f>'VATtax et trade tax et ipc '!AM123</f>
        <v>0.21616807845716612</v>
      </c>
      <c r="Y123">
        <v>13.596388492578948</v>
      </c>
      <c r="AA123">
        <v>0</v>
      </c>
      <c r="AB123">
        <v>0</v>
      </c>
      <c r="AC123">
        <v>66.632202051745693</v>
      </c>
    </row>
    <row r="124" spans="1:29" ht="14.4" x14ac:dyDescent="0.3">
      <c r="A124" t="s">
        <v>278</v>
      </c>
      <c r="B124" s="4">
        <f>Tx_croissance!AH124</f>
        <v>1.5488190225136034</v>
      </c>
      <c r="C124" s="4">
        <f t="shared" si="1"/>
        <v>6.2037296060302145</v>
      </c>
      <c r="D124" s="4">
        <v>19.199720526861341</v>
      </c>
      <c r="E124" s="4">
        <v>3.0154460914563557</v>
      </c>
      <c r="F124" s="4">
        <v>0.83247881134351065</v>
      </c>
      <c r="G124" s="4">
        <v>54.690000000000012</v>
      </c>
      <c r="H124" s="4">
        <v>-0.82132871480037706</v>
      </c>
      <c r="I124" s="4">
        <v>100.0153901473336</v>
      </c>
      <c r="J124" s="4">
        <v>91.49601015837294</v>
      </c>
      <c r="K124" s="4">
        <v>44.219581604003899</v>
      </c>
      <c r="L124" s="4">
        <v>-0.71097622811794281</v>
      </c>
      <c r="M124" s="4">
        <v>-0.52579739938179648</v>
      </c>
      <c r="N124" s="4">
        <v>-0.51561841461807489</v>
      </c>
      <c r="O124" s="4">
        <v>-0.10770120956779772</v>
      </c>
      <c r="P124">
        <v>494.59023221281018</v>
      </c>
      <c r="Q124">
        <v>13.01432061529184</v>
      </c>
      <c r="R124">
        <v>25.954483924846734</v>
      </c>
      <c r="S124">
        <v>11.353333333333332</v>
      </c>
      <c r="T124">
        <v>19.799610734602613</v>
      </c>
      <c r="U124" t="s">
        <v>37</v>
      </c>
      <c r="V124">
        <f>'VATtax et trade tax et ipc '!AI124</f>
        <v>7.1451572766267208</v>
      </c>
      <c r="W124" s="9">
        <v>1.89619943849284</v>
      </c>
      <c r="X124">
        <f>'VATtax et trade tax et ipc '!AM124</f>
        <v>4.0435634029444394</v>
      </c>
      <c r="Z124">
        <v>22.219129532468436</v>
      </c>
      <c r="AA124">
        <v>0</v>
      </c>
      <c r="AB124">
        <v>1</v>
      </c>
      <c r="AC124">
        <v>14.002766356972209</v>
      </c>
    </row>
    <row r="125" spans="1:29" ht="14.4" x14ac:dyDescent="0.3">
      <c r="A125" t="s">
        <v>280</v>
      </c>
      <c r="B125" s="4">
        <f>Tx_croissance!AH125</f>
        <v>3.3915568347547387</v>
      </c>
      <c r="C125" s="4">
        <f t="shared" si="1"/>
        <v>9.4209923348984024</v>
      </c>
      <c r="D125" s="4">
        <v>21.008086010382005</v>
      </c>
      <c r="E125" s="4">
        <v>1.2449652091608012</v>
      </c>
      <c r="F125" s="4">
        <v>-0.69913384815057122</v>
      </c>
      <c r="G125" s="4">
        <v>80.129539295392973</v>
      </c>
      <c r="H125" s="4">
        <v>1.2166075656811393</v>
      </c>
      <c r="I125" s="4">
        <v>125.16325406674987</v>
      </c>
      <c r="J125" s="4">
        <v>32.338012014116565</v>
      </c>
      <c r="K125" s="4">
        <v>3.5716777188437328</v>
      </c>
      <c r="L125" s="4">
        <v>0.71783161908388138</v>
      </c>
      <c r="M125" s="4">
        <v>1.1363954097032545</v>
      </c>
      <c r="N125" s="4">
        <v>1.2440032263596852</v>
      </c>
      <c r="O125" s="4">
        <v>1.1790666778882331</v>
      </c>
      <c r="P125">
        <v>12344.826345576965</v>
      </c>
      <c r="Q125">
        <v>31.910878425911765</v>
      </c>
      <c r="R125">
        <v>44.448227222033204</v>
      </c>
      <c r="S125">
        <v>31.155555555555559</v>
      </c>
      <c r="T125">
        <v>29.044912907621981</v>
      </c>
      <c r="U125" t="s">
        <v>37</v>
      </c>
      <c r="V125">
        <f>'VATtax et trade tax et ipc '!AI125</f>
        <v>16.371276204891281</v>
      </c>
      <c r="W125" s="9">
        <v>0.94002463285598648</v>
      </c>
      <c r="X125">
        <f>'VATtax et trade tax et ipc '!AM125</f>
        <v>14.230186293873727</v>
      </c>
      <c r="Y125">
        <v>50.795167688453603</v>
      </c>
      <c r="Z125">
        <v>23.91625096606478</v>
      </c>
      <c r="AA125">
        <v>0</v>
      </c>
      <c r="AB125">
        <v>0</v>
      </c>
      <c r="AC125">
        <v>3.7091630102188411</v>
      </c>
    </row>
    <row r="126" spans="1:29" ht="14.4" x14ac:dyDescent="0.3">
      <c r="A126" t="s">
        <v>282</v>
      </c>
      <c r="B126" s="4">
        <f>Tx_croissance!AH126</f>
        <v>1.4759110609298132</v>
      </c>
      <c r="C126" s="4">
        <f t="shared" si="1"/>
        <v>8.1811795510201062</v>
      </c>
      <c r="D126" s="4">
        <v>24.132673544909462</v>
      </c>
      <c r="E126" s="4">
        <v>-0.64808277611955467</v>
      </c>
      <c r="F126" s="4">
        <v>0.77617426899572217</v>
      </c>
      <c r="G126" s="4">
        <v>63.683000000000007</v>
      </c>
      <c r="H126" s="4">
        <v>1.0602001160383225</v>
      </c>
      <c r="I126" s="4">
        <v>109.82111681424651</v>
      </c>
      <c r="J126" s="4">
        <v>58.883617083231606</v>
      </c>
      <c r="K126" s="4">
        <v>17.767403416335565</v>
      </c>
      <c r="L126" s="4">
        <v>-2.149370716910606E-2</v>
      </c>
      <c r="M126" s="4">
        <v>-0.88367852403057945</v>
      </c>
      <c r="N126" s="4">
        <v>0.41434115051621728</v>
      </c>
      <c r="O126" s="4">
        <v>1.1658515085776653</v>
      </c>
      <c r="P126">
        <v>3573.0667907014558</v>
      </c>
      <c r="Q126">
        <v>17.55523050035427</v>
      </c>
      <c r="R126">
        <v>38.578456372900519</v>
      </c>
      <c r="S126">
        <v>0</v>
      </c>
      <c r="T126">
        <v>11.027611128186049</v>
      </c>
      <c r="U126">
        <v>54.577049387243704</v>
      </c>
      <c r="V126">
        <f>'VATtax et trade tax et ipc '!AI126</f>
        <v>6.8797321799293565</v>
      </c>
      <c r="W126" s="9">
        <v>4.8442715268594361</v>
      </c>
      <c r="X126">
        <f>'VATtax et trade tax et ipc '!AM126</f>
        <v>7.7887442031056624</v>
      </c>
      <c r="AA126">
        <v>0</v>
      </c>
      <c r="AB126">
        <v>1</v>
      </c>
      <c r="AC126">
        <v>24.282610170502736</v>
      </c>
    </row>
    <row r="127" spans="1:29" ht="14.4" x14ac:dyDescent="0.3">
      <c r="A127" t="s">
        <v>284</v>
      </c>
      <c r="B127" s="4">
        <f>Tx_croissance!AH127</f>
        <v>0.59389999302543739</v>
      </c>
      <c r="C127" s="4">
        <f t="shared" si="1"/>
        <v>7.2283351783993313</v>
      </c>
      <c r="D127" s="4">
        <v>33.995818673239178</v>
      </c>
      <c r="E127" s="4">
        <v>2.5561787759956829</v>
      </c>
      <c r="F127" s="4">
        <v>6.2585452571511213E-2</v>
      </c>
      <c r="G127" s="4">
        <v>62.663740740740728</v>
      </c>
      <c r="H127" s="4">
        <v>-0.43373166645566613</v>
      </c>
      <c r="I127" s="4">
        <v>108.832356205693</v>
      </c>
      <c r="J127" s="4">
        <v>85.209613800048814</v>
      </c>
      <c r="K127" s="4">
        <v>27.973166677686908</v>
      </c>
      <c r="L127" s="4">
        <v>-0.66120855851719773</v>
      </c>
      <c r="M127" s="4">
        <v>-0.62857529769341181</v>
      </c>
      <c r="N127" s="4">
        <v>-0.73299504692355777</v>
      </c>
      <c r="O127" s="4">
        <v>-0.83802055815855636</v>
      </c>
      <c r="P127">
        <v>1377.9265915212209</v>
      </c>
      <c r="Q127" t="s">
        <v>37</v>
      </c>
      <c r="R127" t="e">
        <v>#DIV/0!</v>
      </c>
      <c r="S127">
        <v>0</v>
      </c>
      <c r="T127" t="e">
        <v>#DIV/0!</v>
      </c>
      <c r="U127" t="s">
        <v>37</v>
      </c>
      <c r="V127" t="str">
        <f>'VATtax et trade tax et ipc '!AI127</f>
        <v>NA</v>
      </c>
      <c r="W127" s="9" t="str">
        <v>NA</v>
      </c>
      <c r="X127" t="str">
        <f>'VATtax et trade tax et ipc '!AM127</f>
        <v>NA</v>
      </c>
      <c r="Z127">
        <v>38.824567301944292</v>
      </c>
      <c r="AA127">
        <v>0</v>
      </c>
      <c r="AB127">
        <v>1</v>
      </c>
      <c r="AC127" t="s">
        <v>37</v>
      </c>
    </row>
    <row r="128" spans="1:29" ht="14.4" x14ac:dyDescent="0.3">
      <c r="A128" t="s">
        <v>286</v>
      </c>
      <c r="B128" s="4">
        <f>Tx_croissance!AH128</f>
        <v>3.1605538882398587</v>
      </c>
      <c r="C128" s="4">
        <f t="shared" si="1"/>
        <v>8.4256801175786524</v>
      </c>
      <c r="D128" s="4">
        <v>21.628325091571519</v>
      </c>
      <c r="E128" s="4">
        <v>0.45068357815347676</v>
      </c>
      <c r="F128" s="4">
        <v>-0.14919422331609225</v>
      </c>
      <c r="G128" s="4">
        <v>72.717389340560104</v>
      </c>
      <c r="H128" s="4">
        <v>0.89676856497923485</v>
      </c>
      <c r="I128" s="4">
        <v>98.690522670745878</v>
      </c>
      <c r="J128" s="4">
        <v>85.967757161458309</v>
      </c>
      <c r="K128" s="4">
        <v>34.920427560806274</v>
      </c>
      <c r="L128" s="4">
        <v>0.28451364161446696</v>
      </c>
      <c r="M128" s="4">
        <v>0.74148426329096118</v>
      </c>
      <c r="N128" s="4">
        <v>0.87686134129762661</v>
      </c>
      <c r="O128" s="4">
        <v>0.82767797758181871</v>
      </c>
      <c r="P128">
        <v>4562.7469277578357</v>
      </c>
      <c r="Q128">
        <v>17.602275542898727</v>
      </c>
      <c r="R128">
        <v>21.364649411077544</v>
      </c>
      <c r="S128">
        <v>10.580000000000002</v>
      </c>
      <c r="T128">
        <v>17.153614814242953</v>
      </c>
      <c r="U128">
        <v>38.9698737433378</v>
      </c>
      <c r="V128">
        <f>'VATtax et trade tax et ipc '!AI128</f>
        <v>11.459812673868809</v>
      </c>
      <c r="W128" s="9">
        <v>1.32730556075715</v>
      </c>
      <c r="X128">
        <f>'VATtax et trade tax et ipc '!AM128</f>
        <v>4.192466885834901</v>
      </c>
      <c r="Y128">
        <v>16.114216608413727</v>
      </c>
      <c r="Z128">
        <v>23.487418011500942</v>
      </c>
      <c r="AA128">
        <v>0</v>
      </c>
      <c r="AB128">
        <v>0</v>
      </c>
      <c r="AC128">
        <v>15.621444086325512</v>
      </c>
    </row>
    <row r="129" spans="1:29" ht="14.4" x14ac:dyDescent="0.3">
      <c r="A129" t="s">
        <v>288</v>
      </c>
      <c r="B129" s="4">
        <f>Tx_croissance!AH129</f>
        <v>0.83552094221532869</v>
      </c>
      <c r="C129" s="4">
        <f t="shared" si="1"/>
        <v>8.9933954731113648</v>
      </c>
      <c r="D129" s="4">
        <v>21.403276208712281</v>
      </c>
      <c r="E129" s="4">
        <v>1.3115902519233464</v>
      </c>
      <c r="F129" s="4">
        <v>-0.57129593628148234</v>
      </c>
      <c r="G129" s="4">
        <v>73.631925925925927</v>
      </c>
      <c r="H129" s="4">
        <v>-0.61653756086404121</v>
      </c>
      <c r="I129" s="4">
        <v>92.875354919433576</v>
      </c>
      <c r="J129" s="4">
        <v>79.245432535807296</v>
      </c>
      <c r="K129" s="4">
        <v>32.226462402343742</v>
      </c>
      <c r="L129" s="4">
        <v>-0.57865326044460141</v>
      </c>
      <c r="M129" s="4">
        <v>0.20547971463141335</v>
      </c>
      <c r="N129" s="4">
        <v>-0.55441980933149659</v>
      </c>
      <c r="O129" s="4">
        <v>9.0176891001950213E-2</v>
      </c>
      <c r="P129">
        <v>8049.7432308201205</v>
      </c>
      <c r="Q129">
        <v>10.52327171603971</v>
      </c>
      <c r="R129">
        <v>49.557239665901072</v>
      </c>
      <c r="S129">
        <v>26.900000000000002</v>
      </c>
      <c r="T129">
        <v>32.358639188636793</v>
      </c>
      <c r="U129">
        <v>29.458867290469286</v>
      </c>
      <c r="V129">
        <f>'VATtax et trade tax et ipc '!AI129</f>
        <v>5.5244620068906816</v>
      </c>
      <c r="W129" s="9">
        <v>0.27586879685721094</v>
      </c>
      <c r="X129">
        <f>'VATtax et trade tax et ipc '!AM129</f>
        <v>6.3071151148629498</v>
      </c>
      <c r="Y129">
        <v>8.0316183057589523</v>
      </c>
      <c r="Z129">
        <v>16.213630091317867</v>
      </c>
      <c r="AA129">
        <v>0</v>
      </c>
      <c r="AB129">
        <v>0</v>
      </c>
      <c r="AC129">
        <v>3.0955611061388146</v>
      </c>
    </row>
    <row r="130" spans="1:29" ht="14.4" x14ac:dyDescent="0.3">
      <c r="A130" t="s">
        <v>290</v>
      </c>
      <c r="B130" s="4">
        <f>Tx_croissance!AH130</f>
        <v>-0.11049196536035977</v>
      </c>
      <c r="C130" s="4">
        <f t="shared" ref="C130:C193" si="2">IFERROR(LN(P130),"NA")</f>
        <v>7.9496667396438596</v>
      </c>
      <c r="D130" s="4" t="s">
        <v>37</v>
      </c>
      <c r="E130" s="4">
        <v>0.17042980951068376</v>
      </c>
      <c r="F130" s="4">
        <v>1.9070416837930675</v>
      </c>
      <c r="G130" s="4">
        <v>70.649888888888881</v>
      </c>
      <c r="H130" s="4">
        <v>1.1075412690639492</v>
      </c>
      <c r="I130" s="4">
        <v>66.906310154841492</v>
      </c>
      <c r="J130" s="4">
        <v>28.095628218217314</v>
      </c>
      <c r="K130" s="4">
        <v>3.7357564449310319</v>
      </c>
      <c r="L130" s="4">
        <v>0.25215176806638112</v>
      </c>
      <c r="M130" s="4">
        <v>-0.61890733791025021</v>
      </c>
      <c r="N130" s="4">
        <v>0.44988407633112137</v>
      </c>
      <c r="O130" s="4">
        <v>1.0578025753299398</v>
      </c>
      <c r="P130">
        <v>2834.6301232021337</v>
      </c>
      <c r="Q130">
        <v>8.7326498531883345</v>
      </c>
      <c r="R130">
        <v>53.753469083611925</v>
      </c>
      <c r="S130">
        <v>0</v>
      </c>
      <c r="T130">
        <v>14.024964279200324</v>
      </c>
      <c r="U130">
        <v>25.83830057281525</v>
      </c>
      <c r="V130">
        <f>'VATtax et trade tax et ipc '!AI130</f>
        <v>1.5703452145117949</v>
      </c>
      <c r="W130" s="9">
        <v>1.6778238833970947</v>
      </c>
      <c r="X130">
        <f>'VATtax et trade tax et ipc '!AM130</f>
        <v>7.3301906915476263</v>
      </c>
      <c r="AA130">
        <v>0</v>
      </c>
      <c r="AB130">
        <v>1</v>
      </c>
      <c r="AC130">
        <v>23.312132524098597</v>
      </c>
    </row>
    <row r="131" spans="1:29" ht="14.4" x14ac:dyDescent="0.3">
      <c r="A131" t="s">
        <v>292</v>
      </c>
      <c r="B131" s="4">
        <f>Tx_croissance!AH131</f>
        <v>3.2457748964596966</v>
      </c>
      <c r="C131" s="4">
        <f t="shared" si="2"/>
        <v>7.3212925170076053</v>
      </c>
      <c r="D131" s="4">
        <v>22.61835919157582</v>
      </c>
      <c r="E131" s="4">
        <v>-0.55721406285650543</v>
      </c>
      <c r="F131" s="4">
        <v>-0.40337893304725497</v>
      </c>
      <c r="G131" s="4">
        <v>68.203555555555553</v>
      </c>
      <c r="H131" s="4">
        <v>-0.23603545891334454</v>
      </c>
      <c r="I131" s="4">
        <v>102.00766782407398</v>
      </c>
      <c r="J131" s="4">
        <v>96.308841705322266</v>
      </c>
      <c r="K131" s="4">
        <v>37.466014438205306</v>
      </c>
      <c r="L131" s="4">
        <v>-0.69596190253893553</v>
      </c>
      <c r="M131" s="4">
        <v>-0.15266512643817501</v>
      </c>
      <c r="N131" s="4">
        <v>-0.39122872178753215</v>
      </c>
      <c r="O131" s="4">
        <v>-0.14877297220906868</v>
      </c>
      <c r="P131">
        <v>1512.1571960963408</v>
      </c>
      <c r="Q131">
        <v>16.693528614949617</v>
      </c>
      <c r="R131">
        <v>9.3321634074999658</v>
      </c>
      <c r="S131">
        <v>7.2066666666666679</v>
      </c>
      <c r="T131">
        <v>5.5146719687342189</v>
      </c>
      <c r="U131">
        <v>37.755209313521434</v>
      </c>
      <c r="V131">
        <f>'VATtax et trade tax et ipc '!AI131</f>
        <v>14.346902928655634</v>
      </c>
      <c r="W131" s="9">
        <v>1.1183797403390228</v>
      </c>
      <c r="X131">
        <f>'VATtax et trade tax et ipc '!AM131</f>
        <v>2.4597473773082354</v>
      </c>
      <c r="Z131">
        <v>15.954266507091743</v>
      </c>
      <c r="AA131">
        <v>0</v>
      </c>
      <c r="AB131">
        <v>1</v>
      </c>
      <c r="AC131">
        <v>6.2762059565905925</v>
      </c>
    </row>
    <row r="132" spans="1:29" ht="14.4" x14ac:dyDescent="0.3">
      <c r="A132" t="s">
        <v>294</v>
      </c>
      <c r="B132" s="4">
        <f>Tx_croissance!AH132</f>
        <v>2.8112961766255218</v>
      </c>
      <c r="C132" s="4">
        <f t="shared" si="2"/>
        <v>11.5914499243748</v>
      </c>
      <c r="D132" s="4" t="s">
        <v>37</v>
      </c>
      <c r="E132" s="4">
        <v>0.55124004668878757</v>
      </c>
      <c r="F132" s="4">
        <v>8.2108971093677763E-2</v>
      </c>
      <c r="G132" s="4" t="s">
        <v>37</v>
      </c>
      <c r="H132" s="4">
        <v>1.1726336628198637</v>
      </c>
      <c r="I132" s="4">
        <v>107.6594828555457</v>
      </c>
      <c r="J132" s="4">
        <v>48.997181948493505</v>
      </c>
      <c r="K132" s="4">
        <v>11.944324357169007</v>
      </c>
      <c r="L132" s="4">
        <v>1.5764596611261377</v>
      </c>
      <c r="M132" s="4">
        <v>1.2755247354507449</v>
      </c>
      <c r="N132" s="4">
        <v>1.0883759648903555</v>
      </c>
      <c r="O132" s="4">
        <v>0.89728799959023764</v>
      </c>
      <c r="P132">
        <v>108168.98123274521</v>
      </c>
      <c r="Q132" t="s">
        <v>37</v>
      </c>
      <c r="R132" t="e">
        <v>#DIV/0!</v>
      </c>
      <c r="S132" t="e">
        <v>#DIV/0!</v>
      </c>
      <c r="T132" t="e">
        <v>#DIV/0!</v>
      </c>
      <c r="U132" t="s">
        <v>37</v>
      </c>
      <c r="V132" t="str">
        <f>'VATtax et trade tax et ipc '!AI132</f>
        <v>NA</v>
      </c>
      <c r="W132" s="9" t="str">
        <v>NA</v>
      </c>
      <c r="X132" t="str">
        <f>'VATtax et trade tax et ipc '!AM132</f>
        <v>NA</v>
      </c>
      <c r="AA132">
        <v>0</v>
      </c>
      <c r="AB132">
        <v>0</v>
      </c>
      <c r="AC132" t="s">
        <v>37</v>
      </c>
    </row>
    <row r="133" spans="1:29" ht="14.4" x14ac:dyDescent="0.3">
      <c r="A133" t="s">
        <v>296</v>
      </c>
      <c r="B133" s="4">
        <f>Tx_croissance!AH133</f>
        <v>4.1124875258167881</v>
      </c>
      <c r="C133" s="4">
        <f t="shared" si="2"/>
        <v>7.2664508263249248</v>
      </c>
      <c r="D133" s="4">
        <v>28.817868690234796</v>
      </c>
      <c r="E133" s="4">
        <v>1.3918903521755936</v>
      </c>
      <c r="F133" s="4">
        <v>-0.205961789470166</v>
      </c>
      <c r="G133" s="4">
        <v>66.308148148148177</v>
      </c>
      <c r="H133" s="4">
        <v>0.70171484972039877</v>
      </c>
      <c r="I133" s="4">
        <v>103.65990024142792</v>
      </c>
      <c r="J133" s="4">
        <v>91.955124325222442</v>
      </c>
      <c r="K133" s="4">
        <v>43.126821600872546</v>
      </c>
      <c r="L133" s="4">
        <v>-0.44469043930682051</v>
      </c>
      <c r="M133" s="4">
        <v>-0.24856195436829384</v>
      </c>
      <c r="N133" s="4">
        <v>-0.1738347883462362</v>
      </c>
      <c r="O133" s="4">
        <v>0.26446050591766834</v>
      </c>
      <c r="P133">
        <v>1431.4609231411066</v>
      </c>
      <c r="Q133">
        <v>15.063870506768202</v>
      </c>
      <c r="R133">
        <v>29.546873467282389</v>
      </c>
      <c r="S133">
        <v>11.306666666666668</v>
      </c>
      <c r="T133">
        <v>17.03071469001797</v>
      </c>
      <c r="U133">
        <v>64.773054839766019</v>
      </c>
      <c r="V133">
        <f>'VATtax et trade tax et ipc '!AI133</f>
        <v>8.8039668635198645</v>
      </c>
      <c r="W133" s="9">
        <v>1.8435942798686162</v>
      </c>
      <c r="X133">
        <f>'VATtax et trade tax et ipc '!AM133</f>
        <v>4.1954682340077909</v>
      </c>
      <c r="Y133">
        <v>9.7739563560805092</v>
      </c>
      <c r="Z133">
        <v>22.894846795448391</v>
      </c>
      <c r="AA133">
        <v>0</v>
      </c>
      <c r="AB133">
        <v>1</v>
      </c>
      <c r="AC133">
        <v>11.027480727920178</v>
      </c>
    </row>
    <row r="134" spans="1:29" ht="14.4" x14ac:dyDescent="0.3">
      <c r="A134" t="s">
        <v>298</v>
      </c>
      <c r="B134" s="4" t="str">
        <f>Tx_croissance!AH134</f>
        <v>NA</v>
      </c>
      <c r="C134" s="4" t="str">
        <f t="shared" si="2"/>
        <v>NA</v>
      </c>
      <c r="D134" s="4">
        <v>22.59175055160642</v>
      </c>
      <c r="E134" s="4">
        <v>3.3859876184930561E-2</v>
      </c>
      <c r="F134" s="4">
        <v>-0.65476873144507397</v>
      </c>
      <c r="G134" s="4">
        <v>74.944392050587197</v>
      </c>
      <c r="H134" s="4">
        <v>0.26334129558766589</v>
      </c>
      <c r="I134" s="4">
        <v>99.995069776262554</v>
      </c>
      <c r="J134" s="4">
        <v>80.556658493845092</v>
      </c>
      <c r="K134" s="4">
        <v>46.937562772205887</v>
      </c>
      <c r="L134" s="4">
        <v>-0.16528295211332</v>
      </c>
      <c r="M134" s="4">
        <v>0.13359567090042723</v>
      </c>
      <c r="N134" s="4">
        <v>-8.6354913048284201E-2</v>
      </c>
      <c r="O134" s="4">
        <v>9.2027731118318717E-2</v>
      </c>
      <c r="P134" t="s">
        <v>37</v>
      </c>
      <c r="Q134" t="s">
        <v>37</v>
      </c>
      <c r="R134" t="e">
        <v>#DIV/0!</v>
      </c>
      <c r="S134">
        <v>8.4214285714285708</v>
      </c>
      <c r="T134" t="e">
        <v>#DIV/0!</v>
      </c>
      <c r="U134" t="s">
        <v>37</v>
      </c>
      <c r="V134" t="str">
        <f>'VATtax et trade tax et ipc '!AI134</f>
        <v>NA</v>
      </c>
      <c r="W134" s="9" t="str">
        <v>NA</v>
      </c>
      <c r="X134" t="str">
        <f>'VATtax et trade tax et ipc '!AM134</f>
        <v>NA</v>
      </c>
      <c r="AA134">
        <v>0</v>
      </c>
      <c r="AB134">
        <v>0</v>
      </c>
      <c r="AC134" t="s">
        <v>37</v>
      </c>
    </row>
    <row r="135" spans="1:29" ht="14.4" x14ac:dyDescent="0.3">
      <c r="A135" t="s">
        <v>300</v>
      </c>
      <c r="B135" s="4">
        <f>Tx_croissance!AH135</f>
        <v>2.50399571831601</v>
      </c>
      <c r="C135" s="4">
        <f t="shared" si="2"/>
        <v>7.434167033041998</v>
      </c>
      <c r="D135" s="4">
        <v>26.249164712169346</v>
      </c>
      <c r="E135" s="4">
        <v>1.2764318700669688</v>
      </c>
      <c r="F135" s="4">
        <v>-1.3657058576742804</v>
      </c>
      <c r="G135" s="4">
        <v>69.93140740740742</v>
      </c>
      <c r="H135" s="4">
        <v>-0.35160301936169475</v>
      </c>
      <c r="I135" s="4" t="s">
        <v>37</v>
      </c>
      <c r="J135" s="4" t="s">
        <v>37</v>
      </c>
      <c r="K135" s="4" t="s">
        <v>37</v>
      </c>
      <c r="L135" s="4">
        <v>-0.3136577932164073</v>
      </c>
      <c r="M135" s="4">
        <v>-0.14353036267372474</v>
      </c>
      <c r="N135" s="4">
        <v>-0.18476045178249481</v>
      </c>
      <c r="O135" s="4">
        <v>-0.61816391659279668</v>
      </c>
      <c r="P135">
        <v>1692.84704589844</v>
      </c>
      <c r="Q135">
        <v>19.783116362572066</v>
      </c>
      <c r="R135">
        <v>36.333467172246472</v>
      </c>
      <c r="S135">
        <v>26.286666666666672</v>
      </c>
      <c r="T135">
        <v>30.138735589390237</v>
      </c>
      <c r="U135">
        <v>52.047480625192541</v>
      </c>
      <c r="V135">
        <f>'VATtax et trade tax et ipc '!AI135</f>
        <v>11.203395501304943</v>
      </c>
      <c r="W135" s="9">
        <v>1.5425965774000818</v>
      </c>
      <c r="X135">
        <f>'VATtax et trade tax et ipc '!AM135</f>
        <v>7.9985254499874614</v>
      </c>
      <c r="Y135">
        <v>18.351209036906962</v>
      </c>
      <c r="Z135">
        <v>23.957303258858662</v>
      </c>
      <c r="AA135">
        <v>0</v>
      </c>
      <c r="AB135">
        <v>1</v>
      </c>
      <c r="AC135">
        <v>8.8905792264753263</v>
      </c>
    </row>
    <row r="136" spans="1:29" ht="14.4" x14ac:dyDescent="0.3">
      <c r="A136" t="s">
        <v>302</v>
      </c>
      <c r="B136" s="4">
        <f>Tx_croissance!AH136</f>
        <v>3.7753572331856722</v>
      </c>
      <c r="C136" s="4">
        <f t="shared" si="2"/>
        <v>5.3801723813312092</v>
      </c>
      <c r="D136" s="4" t="s">
        <v>37</v>
      </c>
      <c r="E136" s="4">
        <v>2.8334237069331478</v>
      </c>
      <c r="F136" s="4">
        <v>0.19189138392296926</v>
      </c>
      <c r="G136" s="4">
        <v>53.698000000000008</v>
      </c>
      <c r="H136" s="4">
        <v>-0.20915529365690136</v>
      </c>
      <c r="I136" s="4">
        <v>104.20842987060549</v>
      </c>
      <c r="J136" s="4">
        <v>23.410772105058033</v>
      </c>
      <c r="K136" s="4">
        <v>3.6354862905066945</v>
      </c>
      <c r="L136" s="4">
        <v>-0.62904308984676993</v>
      </c>
      <c r="M136" s="4">
        <v>-0.56982450808087981</v>
      </c>
      <c r="N136" s="4">
        <v>-0.79701083774367942</v>
      </c>
      <c r="O136" s="4">
        <v>-0.26048363430891192</v>
      </c>
      <c r="P136">
        <v>217.05968923831603</v>
      </c>
      <c r="Q136">
        <v>20.802186575292314</v>
      </c>
      <c r="R136">
        <v>44.177587872674913</v>
      </c>
      <c r="S136">
        <v>30.58666666666667</v>
      </c>
      <c r="T136">
        <v>34.742694423952052</v>
      </c>
      <c r="U136">
        <v>86.087834033964171</v>
      </c>
      <c r="V136">
        <f>'VATtax et trade tax et ipc '!AI136</f>
        <v>14.516485649913985</v>
      </c>
      <c r="W136" s="9">
        <v>2.6709187136412798</v>
      </c>
      <c r="X136">
        <f>'VATtax et trade tax et ipc '!AM136</f>
        <v>16.365702157031123</v>
      </c>
      <c r="AA136">
        <v>0</v>
      </c>
      <c r="AB136">
        <v>1</v>
      </c>
      <c r="AC136">
        <v>7.3908097393149017</v>
      </c>
    </row>
    <row r="137" spans="1:29" ht="14.4" x14ac:dyDescent="0.3">
      <c r="A137" t="s">
        <v>304</v>
      </c>
      <c r="B137" s="4">
        <f>Tx_croissance!AH137</f>
        <v>6.5551988211022039</v>
      </c>
      <c r="C137" s="4">
        <f t="shared" si="2"/>
        <v>5.3496853264569273</v>
      </c>
      <c r="D137" s="4" t="s">
        <v>37</v>
      </c>
      <c r="E137" s="4">
        <v>0.88083944510886647</v>
      </c>
      <c r="F137" s="4">
        <v>-0.23799372366920576</v>
      </c>
      <c r="G137" s="4">
        <v>62.557148148148144</v>
      </c>
      <c r="H137" s="4">
        <v>-1.2583780189355218</v>
      </c>
      <c r="I137" s="4">
        <v>86.612302633432222</v>
      </c>
      <c r="J137" s="4">
        <v>23.798520927429209</v>
      </c>
      <c r="K137" s="4">
        <v>4.3389491538206739</v>
      </c>
      <c r="L137" s="4">
        <v>-1.2156529525915785</v>
      </c>
      <c r="M137" s="4">
        <v>-1.6447365532318747</v>
      </c>
      <c r="N137" s="4">
        <v>-1.4089782784382499</v>
      </c>
      <c r="O137" s="4">
        <v>-1.6852499718467406</v>
      </c>
      <c r="P137">
        <v>210.5420354334484</v>
      </c>
      <c r="Q137">
        <v>6.028084213246828</v>
      </c>
      <c r="R137">
        <v>36.702254165502112</v>
      </c>
      <c r="S137">
        <v>28.137500000000006</v>
      </c>
      <c r="T137">
        <v>16.105977068862593</v>
      </c>
      <c r="U137" t="s">
        <v>37</v>
      </c>
      <c r="V137">
        <f>'VATtax et trade tax et ipc '!AI137</f>
        <v>2.3443876807548865</v>
      </c>
      <c r="W137" s="9">
        <v>0.42382912620705465</v>
      </c>
      <c r="X137">
        <f>'VATtax et trade tax et ipc '!AM137</f>
        <v>1.5225137979910064</v>
      </c>
      <c r="Y137">
        <v>3.744487200051593</v>
      </c>
      <c r="AA137">
        <v>0</v>
      </c>
      <c r="AB137">
        <v>1</v>
      </c>
      <c r="AC137">
        <v>10.550913122303756</v>
      </c>
    </row>
    <row r="138" spans="1:29" ht="14.4" x14ac:dyDescent="0.3">
      <c r="A138" t="s">
        <v>306</v>
      </c>
      <c r="B138" s="4">
        <f>Tx_croissance!AH138</f>
        <v>1.5756890704915039</v>
      </c>
      <c r="C138" s="4">
        <f t="shared" si="2"/>
        <v>7.9859918010164863</v>
      </c>
      <c r="D138" s="4">
        <v>21.302372781763751</v>
      </c>
      <c r="E138" s="4">
        <v>1.7823267167095851</v>
      </c>
      <c r="F138" s="4">
        <v>-0.84286196778217937</v>
      </c>
      <c r="G138" s="4">
        <v>56.463296296296285</v>
      </c>
      <c r="H138" s="4">
        <v>0.67129462709029486</v>
      </c>
      <c r="I138" s="4">
        <v>101.81775665283205</v>
      </c>
      <c r="J138" s="4">
        <v>85.46284164428711</v>
      </c>
      <c r="K138" s="4">
        <v>27.905694908565948</v>
      </c>
      <c r="L138" s="4">
        <v>0.33205129454533266</v>
      </c>
      <c r="M138" s="4">
        <v>0.15663204333638234</v>
      </c>
      <c r="N138" s="4">
        <v>0.25086792162619531</v>
      </c>
      <c r="O138" s="4">
        <v>0.43158974436422182</v>
      </c>
      <c r="P138">
        <v>2939.4912496335169</v>
      </c>
      <c r="Q138">
        <v>27.982903574051853</v>
      </c>
      <c r="R138">
        <v>39.209870112641227</v>
      </c>
      <c r="S138">
        <v>17.733333333333331</v>
      </c>
      <c r="T138">
        <v>35.494563511908318</v>
      </c>
      <c r="U138">
        <v>12.906258216912995</v>
      </c>
      <c r="V138">
        <f>'VATtax et trade tax et ipc '!AI138</f>
        <v>8.1272355339810627</v>
      </c>
      <c r="W138" s="9">
        <v>10.026039599290579</v>
      </c>
      <c r="X138">
        <f>'VATtax et trade tax et ipc '!AM138</f>
        <v>11.473858046299865</v>
      </c>
      <c r="Y138">
        <v>25.018694549562738</v>
      </c>
      <c r="Z138">
        <v>19.687985701749884</v>
      </c>
      <c r="AA138">
        <v>0</v>
      </c>
      <c r="AB138">
        <v>1</v>
      </c>
      <c r="AC138">
        <v>35.483095173183123</v>
      </c>
    </row>
    <row r="139" spans="1:29" ht="14.4" x14ac:dyDescent="0.3">
      <c r="A139" t="s">
        <v>308</v>
      </c>
      <c r="B139" s="4" t="str">
        <f>Tx_croissance!AH139</f>
        <v>NA</v>
      </c>
      <c r="C139" s="4" t="str">
        <f t="shared" si="2"/>
        <v>NA</v>
      </c>
      <c r="D139" s="4" t="s">
        <v>37</v>
      </c>
      <c r="E139" s="4">
        <v>0.74808105939756098</v>
      </c>
      <c r="F139" s="4">
        <v>1.8327309439579647</v>
      </c>
      <c r="G139" s="4">
        <v>60.342370370370361</v>
      </c>
      <c r="H139" s="4">
        <v>1.0203319519758218</v>
      </c>
      <c r="I139" s="4">
        <v>138.98947265624997</v>
      </c>
      <c r="J139" s="4">
        <v>33.907310867309569</v>
      </c>
      <c r="K139" s="4">
        <v>0.91111776381731047</v>
      </c>
      <c r="L139" s="4">
        <v>0.13914363447111094</v>
      </c>
      <c r="M139" s="4">
        <v>-0.69792375573888421</v>
      </c>
      <c r="N139" s="4">
        <v>0.32760321659346431</v>
      </c>
      <c r="O139" s="4">
        <v>0.86286999285221111</v>
      </c>
      <c r="P139" t="s">
        <v>37</v>
      </c>
      <c r="Q139">
        <v>27.448581314596392</v>
      </c>
      <c r="R139">
        <v>51.927272723929057</v>
      </c>
      <c r="S139" t="e">
        <v>#DIV/0!</v>
      </c>
      <c r="T139">
        <v>12.689211585847554</v>
      </c>
      <c r="U139" t="s">
        <v>37</v>
      </c>
      <c r="V139">
        <f>'VATtax et trade tax et ipc '!AI139</f>
        <v>2.6835171317795998</v>
      </c>
      <c r="W139" s="9">
        <v>15.846504993813841</v>
      </c>
      <c r="X139">
        <f>'VATtax et trade tax et ipc '!AM139</f>
        <v>25.652735681101039</v>
      </c>
      <c r="AA139">
        <v>0</v>
      </c>
      <c r="AB139">
        <v>0</v>
      </c>
      <c r="AC139">
        <v>47.187004350936846</v>
      </c>
    </row>
    <row r="140" spans="1:29" ht="14.4" x14ac:dyDescent="0.3">
      <c r="A140" t="s">
        <v>310</v>
      </c>
      <c r="B140" s="4">
        <f>Tx_croissance!AH140</f>
        <v>3.088026304224023</v>
      </c>
      <c r="C140" s="4">
        <f t="shared" si="2"/>
        <v>6.1663694861793603</v>
      </c>
      <c r="D140" s="4">
        <v>23.996356843120697</v>
      </c>
      <c r="E140" s="4">
        <v>1.2057725253248002</v>
      </c>
      <c r="F140" s="4">
        <v>0.81868026852607656</v>
      </c>
      <c r="G140" s="4">
        <v>65.622925925925927</v>
      </c>
      <c r="H140" s="4">
        <v>-1.1390149528160696</v>
      </c>
      <c r="I140" s="4">
        <v>99.265285633228459</v>
      </c>
      <c r="J140" s="4">
        <v>79.354470661708291</v>
      </c>
      <c r="K140" s="4">
        <v>34.222983213571396</v>
      </c>
      <c r="L140" s="4">
        <v>-0.68354033430417382</v>
      </c>
      <c r="M140" s="4">
        <v>-0.66445433100064599</v>
      </c>
      <c r="N140" s="4">
        <v>-0.59626196256916353</v>
      </c>
      <c r="O140" s="4">
        <v>-0.45112864580005407</v>
      </c>
      <c r="P140">
        <v>476.45319240920605</v>
      </c>
      <c r="Q140">
        <v>11.1578563676429</v>
      </c>
      <c r="R140">
        <v>21.434465462328152</v>
      </c>
      <c r="S140">
        <v>17.873333333333328</v>
      </c>
      <c r="T140">
        <v>16.088876286178099</v>
      </c>
      <c r="U140">
        <v>53.557001744652105</v>
      </c>
      <c r="V140">
        <f>'VATtax et trade tax et ipc '!AI140</f>
        <v>7.0931288424164212</v>
      </c>
      <c r="W140" s="9">
        <v>2.9540767119518412</v>
      </c>
      <c r="X140">
        <f>'VATtax et trade tax et ipc '!AM140</f>
        <v>3.5265053293378843</v>
      </c>
      <c r="Y140">
        <v>8.9855138587886394</v>
      </c>
      <c r="Z140">
        <v>22.069122847040038</v>
      </c>
      <c r="AA140">
        <v>0</v>
      </c>
      <c r="AB140">
        <v>1</v>
      </c>
      <c r="AC140">
        <v>24.976206597855715</v>
      </c>
    </row>
    <row r="141" spans="1:29" ht="14.4" x14ac:dyDescent="0.3">
      <c r="A141" t="s">
        <v>312</v>
      </c>
      <c r="B141" s="4">
        <f>Tx_croissance!AH141</f>
        <v>1.5131796225420047</v>
      </c>
      <c r="C141" s="4">
        <f t="shared" si="2"/>
        <v>10.425156489363562</v>
      </c>
      <c r="D141" s="4">
        <v>20.928028253012432</v>
      </c>
      <c r="E141" s="4">
        <v>0.50131302090859176</v>
      </c>
      <c r="F141" s="4">
        <v>1.7022625605265296</v>
      </c>
      <c r="G141" s="4">
        <v>79.924227642276421</v>
      </c>
      <c r="H141" s="4">
        <v>1.0452498098214469</v>
      </c>
      <c r="I141" s="4">
        <v>122.45193426949639</v>
      </c>
      <c r="J141" s="4" t="s">
        <v>37</v>
      </c>
      <c r="K141" s="4">
        <v>14.573719554477272</v>
      </c>
      <c r="L141" s="4">
        <v>2.0038597434759131</v>
      </c>
      <c r="M141" s="4">
        <v>1.8041615635156638</v>
      </c>
      <c r="N141" s="4">
        <v>1.7715782572825745</v>
      </c>
      <c r="O141" s="4">
        <v>1.5363506873448702</v>
      </c>
      <c r="P141">
        <v>33696.743828198312</v>
      </c>
      <c r="Q141">
        <v>21.843759171212724</v>
      </c>
      <c r="R141">
        <v>47.056514947252744</v>
      </c>
      <c r="S141">
        <v>22.226666666666667</v>
      </c>
      <c r="T141">
        <v>26.264780105081442</v>
      </c>
      <c r="U141" t="s">
        <v>37</v>
      </c>
      <c r="V141">
        <f>'VATtax et trade tax et ipc '!AI141</f>
        <v>10.228156586010876</v>
      </c>
      <c r="W141" s="9">
        <v>1.2073777689958969E-2</v>
      </c>
      <c r="X141">
        <f>'VATtax et trade tax et ipc '!AM141</f>
        <v>10.016822735856707</v>
      </c>
      <c r="Y141">
        <v>20.870164195092052</v>
      </c>
      <c r="Z141">
        <v>20.929336331388239</v>
      </c>
      <c r="AA141">
        <v>0</v>
      </c>
      <c r="AB141">
        <v>0</v>
      </c>
      <c r="AC141" t="s">
        <v>37</v>
      </c>
    </row>
    <row r="142" spans="1:29" ht="14.4" x14ac:dyDescent="0.3">
      <c r="A142" t="s">
        <v>314</v>
      </c>
      <c r="B142" s="4" t="str">
        <f>Tx_croissance!AH142</f>
        <v>NA</v>
      </c>
      <c r="C142" s="4" t="str">
        <f t="shared" si="2"/>
        <v>NA</v>
      </c>
      <c r="D142" s="4">
        <v>31.897875777698907</v>
      </c>
      <c r="E142" s="4">
        <v>1.254410200044237</v>
      </c>
      <c r="F142" s="4">
        <v>-0.8252131169040996</v>
      </c>
      <c r="G142" s="4">
        <v>76.270902439024411</v>
      </c>
      <c r="H142" s="4" t="s">
        <v>37</v>
      </c>
      <c r="I142" s="4" t="s">
        <v>37</v>
      </c>
      <c r="J142" s="4" t="s">
        <v>37</v>
      </c>
      <c r="K142" s="4" t="e">
        <v>#DIV/0!</v>
      </c>
      <c r="L142" s="4" t="s">
        <v>37</v>
      </c>
      <c r="M142" s="4" t="s">
        <v>37</v>
      </c>
      <c r="N142" s="4" t="s">
        <v>37</v>
      </c>
      <c r="O142" s="4" t="s">
        <v>37</v>
      </c>
      <c r="P142" t="s">
        <v>37</v>
      </c>
      <c r="Q142" t="s">
        <v>37</v>
      </c>
      <c r="R142" t="e">
        <v>#DIV/0!</v>
      </c>
      <c r="S142" t="e">
        <v>#DIV/0!</v>
      </c>
      <c r="T142" t="e">
        <v>#DIV/0!</v>
      </c>
      <c r="U142" t="s">
        <v>37</v>
      </c>
      <c r="V142" t="str">
        <f>'VATtax et trade tax et ipc '!AI142</f>
        <v>NA</v>
      </c>
      <c r="W142" s="9" t="str">
        <v>NA</v>
      </c>
      <c r="X142" t="str">
        <f>'VATtax et trade tax et ipc '!AM142</f>
        <v>NA</v>
      </c>
      <c r="AA142">
        <v>0</v>
      </c>
      <c r="AB142">
        <v>0</v>
      </c>
      <c r="AC142" t="s">
        <v>37</v>
      </c>
    </row>
    <row r="143" spans="1:29" ht="14.4" x14ac:dyDescent="0.3">
      <c r="A143" t="s">
        <v>316</v>
      </c>
      <c r="B143" s="4">
        <f>Tx_croissance!AH143</f>
        <v>1.5635731501504768</v>
      </c>
      <c r="C143" s="4">
        <f t="shared" si="2"/>
        <v>10.239746802616921</v>
      </c>
      <c r="D143" s="4">
        <v>22.492010570685032</v>
      </c>
      <c r="E143" s="4">
        <v>1.2410031214624859</v>
      </c>
      <c r="F143" s="4">
        <v>-0.78309322396914138</v>
      </c>
      <c r="G143" s="4">
        <v>80.092357723577251</v>
      </c>
      <c r="H143" s="4">
        <v>1.3578141381343201</v>
      </c>
      <c r="I143" s="4">
        <v>52.141441557142471</v>
      </c>
      <c r="J143" s="4">
        <v>11.378821806474162</v>
      </c>
      <c r="K143" s="4">
        <v>2.1270225246747327</v>
      </c>
      <c r="L143" s="4">
        <v>2.2392921249071764</v>
      </c>
      <c r="M143" s="4">
        <v>1.8320835282405217</v>
      </c>
      <c r="N143" s="4">
        <v>1.8558569451173141</v>
      </c>
      <c r="O143" s="4">
        <v>1.5685249070326492</v>
      </c>
      <c r="P143">
        <v>27994.037011908866</v>
      </c>
      <c r="Q143">
        <v>28.689772970862034</v>
      </c>
      <c r="R143">
        <v>63.294106189680654</v>
      </c>
      <c r="S143">
        <v>30.459999999999994</v>
      </c>
      <c r="T143">
        <v>53.340621716183165</v>
      </c>
      <c r="U143">
        <v>42.180458192212164</v>
      </c>
      <c r="V143">
        <f>'VATtax et trade tax et ipc '!AI143</f>
        <v>10.681283504022847</v>
      </c>
      <c r="W143" s="9">
        <v>1.0404745967443165</v>
      </c>
      <c r="X143">
        <f>'VATtax et trade tax et ipc '!AM143</f>
        <v>20.230822531696649</v>
      </c>
      <c r="Z143">
        <v>22.425080011638059</v>
      </c>
      <c r="AA143">
        <v>0</v>
      </c>
      <c r="AB143">
        <v>0</v>
      </c>
      <c r="AC143">
        <v>2.8778805256660736</v>
      </c>
    </row>
    <row r="144" spans="1:29" ht="14.4" x14ac:dyDescent="0.3">
      <c r="A144" t="s">
        <v>318</v>
      </c>
      <c r="B144" s="4">
        <f>Tx_croissance!AH144</f>
        <v>2.0854740930227766</v>
      </c>
      <c r="C144" s="4">
        <f t="shared" si="2"/>
        <v>7.1017552534311816</v>
      </c>
      <c r="D144" s="4">
        <v>24.244227241007611</v>
      </c>
      <c r="E144" s="4">
        <v>1.4534917153580056</v>
      </c>
      <c r="F144" s="4">
        <v>-1.0467441553870842</v>
      </c>
      <c r="G144" s="4">
        <v>70.033222222222221</v>
      </c>
      <c r="H144" s="4">
        <v>-0.33891331994285195</v>
      </c>
      <c r="I144" s="4">
        <v>89.419020080566426</v>
      </c>
      <c r="J144" s="4">
        <v>38.528485298156745</v>
      </c>
      <c r="K144" s="4">
        <v>9.8702456951141286</v>
      </c>
      <c r="L144" s="4">
        <v>-0.82749600956837321</v>
      </c>
      <c r="M144" s="4">
        <v>-0.48856252245604997</v>
      </c>
      <c r="N144" s="4">
        <v>-0.81979748855034451</v>
      </c>
      <c r="O144" s="4">
        <v>-0.48059868048100446</v>
      </c>
      <c r="P144">
        <v>1214.096251934913</v>
      </c>
      <c r="Q144">
        <v>14.421192236824304</v>
      </c>
      <c r="R144">
        <v>30.664065522299325</v>
      </c>
      <c r="S144">
        <v>21.013333333333335</v>
      </c>
      <c r="T144">
        <v>25.687066627091919</v>
      </c>
      <c r="U144" t="s">
        <v>37</v>
      </c>
      <c r="V144">
        <f>'VATtax et trade tax et ipc '!AI144</f>
        <v>8.810298204489742</v>
      </c>
      <c r="W144" s="9">
        <v>0.68346113829515787</v>
      </c>
      <c r="X144">
        <f>'VATtax et trade tax et ipc '!AM144</f>
        <v>6.1085823337746508</v>
      </c>
      <c r="Y144">
        <v>9.4027344016102834</v>
      </c>
      <c r="AA144">
        <v>0</v>
      </c>
      <c r="AB144">
        <v>1</v>
      </c>
      <c r="AC144">
        <v>6.3837815435144503</v>
      </c>
    </row>
    <row r="145" spans="1:29" ht="14.4" x14ac:dyDescent="0.3">
      <c r="A145" t="s">
        <v>320</v>
      </c>
      <c r="B145" s="4">
        <f>Tx_croissance!AH145</f>
        <v>0.98810110952949337</v>
      </c>
      <c r="C145" s="4">
        <f t="shared" si="2"/>
        <v>6.0360652651250035</v>
      </c>
      <c r="D145" s="4">
        <v>21.74897238905718</v>
      </c>
      <c r="E145" s="4">
        <v>3.6266964833804702</v>
      </c>
      <c r="F145" s="4">
        <v>-0.61968129873275879</v>
      </c>
      <c r="G145" s="4">
        <v>55.539296296296293</v>
      </c>
      <c r="H145" s="4">
        <v>-0.84567557733195609</v>
      </c>
      <c r="I145" s="4">
        <v>108.42587309617271</v>
      </c>
      <c r="J145" s="4">
        <v>59.357054392496742</v>
      </c>
      <c r="K145" s="4">
        <v>16.425549779619491</v>
      </c>
      <c r="L145" s="4">
        <v>-0.736807068188985</v>
      </c>
      <c r="M145" s="4">
        <v>-0.67421452949444449</v>
      </c>
      <c r="N145" s="4">
        <v>-0.60649732376138366</v>
      </c>
      <c r="O145" s="4">
        <v>-0.45123506585756962</v>
      </c>
      <c r="P145">
        <v>418.24411328061507</v>
      </c>
      <c r="Q145">
        <v>10.149297836281173</v>
      </c>
      <c r="R145" t="e">
        <v>#DIV/0!</v>
      </c>
      <c r="S145">
        <v>19.059999999999999</v>
      </c>
      <c r="T145" t="e">
        <v>#DIV/0!</v>
      </c>
      <c r="U145" t="s">
        <v>37</v>
      </c>
      <c r="V145" t="str">
        <f>'VATtax et trade tax et ipc '!AI145</f>
        <v>NA</v>
      </c>
      <c r="W145" s="9" t="str">
        <v>NA</v>
      </c>
      <c r="X145" t="str">
        <f>'VATtax et trade tax et ipc '!AM145</f>
        <v>NA</v>
      </c>
      <c r="Z145">
        <v>9.6928074371708881</v>
      </c>
      <c r="AA145">
        <v>0</v>
      </c>
      <c r="AB145">
        <v>1</v>
      </c>
      <c r="AC145" t="s">
        <v>37</v>
      </c>
    </row>
    <row r="146" spans="1:29" ht="14.4" x14ac:dyDescent="0.3">
      <c r="A146" t="s">
        <v>322</v>
      </c>
      <c r="B146" s="4">
        <f>Tx_croissance!AH146</f>
        <v>2.0161155941423869</v>
      </c>
      <c r="C146" s="4">
        <f t="shared" si="2"/>
        <v>7.2647386257224742</v>
      </c>
      <c r="D146" s="4" t="e">
        <v>#DIV/0!</v>
      </c>
      <c r="E146" s="4">
        <v>2.6024273511251268</v>
      </c>
      <c r="F146" s="4">
        <v>-0.22377081882829472</v>
      </c>
      <c r="G146" s="4">
        <v>49.776074074074074</v>
      </c>
      <c r="H146" s="4">
        <v>-1.808971529205639</v>
      </c>
      <c r="I146" s="4">
        <v>106.60194061279299</v>
      </c>
      <c r="J146" s="4">
        <v>120.99095916748047</v>
      </c>
      <c r="K146" s="4">
        <v>64.001449267069503</v>
      </c>
      <c r="L146" s="4">
        <v>-1.1660804127653448</v>
      </c>
      <c r="M146" s="4">
        <v>-0.91903460025787309</v>
      </c>
      <c r="N146" s="4">
        <v>-1.1173807208736737</v>
      </c>
      <c r="O146" s="4">
        <v>-0.67587431271870946</v>
      </c>
      <c r="P146">
        <v>1429.0120719466261</v>
      </c>
      <c r="Q146" t="s">
        <v>37</v>
      </c>
      <c r="R146" t="e">
        <v>#DIV/0!</v>
      </c>
      <c r="S146">
        <v>21.271428571428572</v>
      </c>
      <c r="T146" t="e">
        <v>#DIV/0!</v>
      </c>
      <c r="U146" t="s">
        <v>37</v>
      </c>
      <c r="V146" t="str">
        <f>'VATtax et trade tax et ipc '!AI146</f>
        <v>NA</v>
      </c>
      <c r="W146" s="9" t="str">
        <v>NA</v>
      </c>
      <c r="X146" t="str">
        <f>'VATtax et trade tax et ipc '!AM146</f>
        <v>NA</v>
      </c>
      <c r="AA146">
        <v>0</v>
      </c>
      <c r="AB146">
        <v>1</v>
      </c>
      <c r="AC146" t="s">
        <v>37</v>
      </c>
    </row>
    <row r="147" spans="1:29" ht="14.4" x14ac:dyDescent="0.3">
      <c r="A147" t="s">
        <v>324</v>
      </c>
      <c r="B147" s="4">
        <f>Tx_croissance!AH147</f>
        <v>2.4027755516166094</v>
      </c>
      <c r="C147" s="4">
        <f t="shared" si="2"/>
        <v>7.9714978810919979</v>
      </c>
      <c r="D147" s="4">
        <v>21.246830539309077</v>
      </c>
      <c r="E147" s="4">
        <v>0.13300414156927842</v>
      </c>
      <c r="F147" s="4">
        <v>1.8769155194362011</v>
      </c>
      <c r="G147" s="4">
        <v>74.191427280939493</v>
      </c>
      <c r="H147" s="4">
        <v>-0.42522214582034729</v>
      </c>
      <c r="I147" s="4">
        <v>98.758071051703581</v>
      </c>
      <c r="J147" s="4">
        <v>115.01374534324371</v>
      </c>
      <c r="K147" s="4">
        <v>75.011300546151617</v>
      </c>
      <c r="L147" s="4">
        <v>-0.3682212014682591</v>
      </c>
      <c r="M147" s="4">
        <v>0.1486521606178334</v>
      </c>
      <c r="N147" s="4">
        <v>-0.30389347501720004</v>
      </c>
      <c r="O147" s="4">
        <v>-3.8645854607845261E-2</v>
      </c>
      <c r="P147">
        <v>2897.1937674655428</v>
      </c>
      <c r="Q147">
        <v>17.207710441685119</v>
      </c>
      <c r="R147">
        <v>28.893294288586553</v>
      </c>
      <c r="S147">
        <v>10.166666666666666</v>
      </c>
      <c r="T147">
        <v>17.047455575056585</v>
      </c>
      <c r="U147" t="s">
        <v>37</v>
      </c>
      <c r="V147">
        <f>'VATtax et trade tax et ipc '!AI147</f>
        <v>14.525957479407655</v>
      </c>
      <c r="W147" s="9">
        <v>1.2394201435630339</v>
      </c>
      <c r="X147">
        <f>'VATtax et trade tax et ipc '!AM147</f>
        <v>5.9232548283776412</v>
      </c>
      <c r="Z147">
        <v>15.718043194194415</v>
      </c>
      <c r="AA147">
        <v>0</v>
      </c>
      <c r="AB147">
        <v>1</v>
      </c>
      <c r="AC147">
        <v>6.0618580367568793</v>
      </c>
    </row>
    <row r="148" spans="1:29" ht="14.4" x14ac:dyDescent="0.3">
      <c r="A148" t="s">
        <v>326</v>
      </c>
      <c r="B148" s="4" t="str">
        <f>Tx_croissance!AH148</f>
        <v>NA</v>
      </c>
      <c r="C148" s="4" t="str">
        <f t="shared" si="2"/>
        <v>NA</v>
      </c>
      <c r="D148" s="4" t="s">
        <v>37</v>
      </c>
      <c r="E148" s="4">
        <v>0.12998321539071592</v>
      </c>
      <c r="F148" s="4">
        <v>0.24826113328648114</v>
      </c>
      <c r="G148" s="4" t="s">
        <v>37</v>
      </c>
      <c r="H148" s="4" t="s">
        <v>37</v>
      </c>
      <c r="I148" s="4">
        <v>126.9989236684945</v>
      </c>
      <c r="J148" s="4">
        <v>56.742110411326088</v>
      </c>
      <c r="K148" s="4">
        <v>10.197038650512694</v>
      </c>
      <c r="L148" s="4" t="s">
        <v>37</v>
      </c>
      <c r="M148" s="4" t="s">
        <v>37</v>
      </c>
      <c r="N148" s="4" t="s">
        <v>37</v>
      </c>
      <c r="O148" s="4" t="s">
        <v>37</v>
      </c>
      <c r="P148" t="s">
        <v>37</v>
      </c>
      <c r="Q148" t="s">
        <v>37</v>
      </c>
      <c r="R148" t="e">
        <v>#DIV/0!</v>
      </c>
      <c r="S148" t="e">
        <v>#DIV/0!</v>
      </c>
      <c r="T148" t="e">
        <v>#DIV/0!</v>
      </c>
      <c r="U148" t="s">
        <v>37</v>
      </c>
      <c r="V148" t="str">
        <f>'VATtax et trade tax et ipc '!AI148</f>
        <v>NA</v>
      </c>
      <c r="W148" s="9" t="str">
        <v>NA</v>
      </c>
      <c r="X148" t="str">
        <f>'VATtax et trade tax et ipc '!AM148</f>
        <v>NA</v>
      </c>
      <c r="AA148">
        <v>0</v>
      </c>
      <c r="AB148">
        <v>0</v>
      </c>
      <c r="AC148" t="s">
        <v>37</v>
      </c>
    </row>
    <row r="149" spans="1:29" ht="14.4" x14ac:dyDescent="0.3">
      <c r="A149" t="s">
        <v>328</v>
      </c>
      <c r="B149" s="4">
        <f>Tx_croissance!AH149</f>
        <v>1.1565877051117335</v>
      </c>
      <c r="C149" s="4">
        <f t="shared" si="2"/>
        <v>10.974738381714724</v>
      </c>
      <c r="D149" s="4">
        <v>22.480768435949006</v>
      </c>
      <c r="E149" s="4">
        <v>0.82081725753635826</v>
      </c>
      <c r="F149" s="4">
        <v>-0.63259316980838787</v>
      </c>
      <c r="G149" s="4">
        <v>80.572466124661233</v>
      </c>
      <c r="H149" s="4">
        <v>1.2531713992357261</v>
      </c>
      <c r="I149" s="4">
        <v>96.604146172018645</v>
      </c>
      <c r="J149" s="4">
        <v>57.790940798245934</v>
      </c>
      <c r="K149" s="4" t="s">
        <v>37</v>
      </c>
      <c r="L149" s="4">
        <v>2.0954481462637582</v>
      </c>
      <c r="M149" s="4">
        <v>1.514164720972379</v>
      </c>
      <c r="N149" s="4">
        <v>1.9229007711013153</v>
      </c>
      <c r="O149" s="4">
        <v>1.6310738821824389</v>
      </c>
      <c r="P149">
        <v>58380.568466728</v>
      </c>
      <c r="Q149">
        <v>24.023781567799997</v>
      </c>
      <c r="R149">
        <v>48.60574908977992</v>
      </c>
      <c r="S149">
        <v>23.913333333333341</v>
      </c>
      <c r="T149">
        <v>26.484159915064865</v>
      </c>
      <c r="U149" t="s">
        <v>37</v>
      </c>
      <c r="V149">
        <f>'VATtax et trade tax et ipc '!AI149</f>
        <v>11.478682611788177</v>
      </c>
      <c r="W149" s="9">
        <v>0.10323845230418095</v>
      </c>
      <c r="X149">
        <f>'VATtax et trade tax et ipc '!AM149</f>
        <v>11.990362791039136</v>
      </c>
      <c r="Y149">
        <v>23.004906877311456</v>
      </c>
      <c r="Z149">
        <v>21.439087648914278</v>
      </c>
      <c r="AA149">
        <v>0</v>
      </c>
      <c r="AB149">
        <v>0</v>
      </c>
      <c r="AC149">
        <v>0.47778660986208477</v>
      </c>
    </row>
    <row r="150" spans="1:29" ht="14.4" x14ac:dyDescent="0.3">
      <c r="A150" t="s">
        <v>330</v>
      </c>
      <c r="B150" s="4">
        <f>Tx_croissance!AH150</f>
        <v>0.1812339864309509</v>
      </c>
      <c r="C150" s="4">
        <f t="shared" si="2"/>
        <v>9.7957439723881858</v>
      </c>
      <c r="D150" s="4">
        <v>25.796572990553518</v>
      </c>
      <c r="E150" s="4">
        <v>2.7251590328959843</v>
      </c>
      <c r="F150" s="4">
        <v>-0.13759889503320058</v>
      </c>
      <c r="G150" s="4">
        <v>75.052407407407387</v>
      </c>
      <c r="H150" s="4">
        <v>0.75008849551280354</v>
      </c>
      <c r="I150" s="4">
        <v>99.279371190954123</v>
      </c>
      <c r="J150" s="4">
        <v>116.20500211362486</v>
      </c>
      <c r="K150" s="4">
        <v>76.092525135387078</v>
      </c>
      <c r="L150" s="4">
        <v>0.36397220256427931</v>
      </c>
      <c r="M150" s="4">
        <v>0.4445642192537585</v>
      </c>
      <c r="N150" s="4">
        <v>0.46415914470950764</v>
      </c>
      <c r="O150" s="4">
        <v>-1.0008915265401201</v>
      </c>
      <c r="P150">
        <v>17957.155909569137</v>
      </c>
      <c r="Q150" t="s">
        <v>37</v>
      </c>
      <c r="R150" t="e">
        <v>#DIV/0!</v>
      </c>
      <c r="S150">
        <v>10.713333333333335</v>
      </c>
      <c r="T150" t="e">
        <v>#DIV/0!</v>
      </c>
      <c r="U150" t="s">
        <v>37</v>
      </c>
      <c r="V150" t="str">
        <f>'VATtax et trade tax et ipc '!AI150</f>
        <v>NA</v>
      </c>
      <c r="W150" s="9" t="str">
        <v>NA</v>
      </c>
      <c r="X150" t="str">
        <f>'VATtax et trade tax et ipc '!AM150</f>
        <v>NA</v>
      </c>
      <c r="Z150">
        <v>14.979932543196849</v>
      </c>
      <c r="AA150">
        <v>0</v>
      </c>
      <c r="AB150">
        <v>0</v>
      </c>
      <c r="AC150" t="s">
        <v>37</v>
      </c>
    </row>
    <row r="151" spans="1:29" ht="14.4" x14ac:dyDescent="0.3">
      <c r="A151" t="s">
        <v>332</v>
      </c>
      <c r="B151" s="4">
        <f>Tx_croissance!AH151</f>
        <v>1.8266646418237498</v>
      </c>
      <c r="C151" s="4">
        <f t="shared" si="2"/>
        <v>6.94725316212193</v>
      </c>
      <c r="D151" s="4">
        <v>14.559640591391334</v>
      </c>
      <c r="E151" s="4">
        <v>2.1477804141396359</v>
      </c>
      <c r="F151" s="4">
        <v>0.12432613464382791</v>
      </c>
      <c r="G151" s="4">
        <v>63.803555555555569</v>
      </c>
      <c r="H151" s="4">
        <v>-2.0822696387767796</v>
      </c>
      <c r="I151" s="4">
        <v>96.318406911996718</v>
      </c>
      <c r="J151" s="4">
        <v>89.731719818115195</v>
      </c>
      <c r="K151" s="4">
        <v>27.486757863651622</v>
      </c>
      <c r="L151" s="4">
        <v>-0.93923326581716537</v>
      </c>
      <c r="M151" s="4">
        <v>-0.69106852635741234</v>
      </c>
      <c r="N151" s="4">
        <v>-0.81618610521157564</v>
      </c>
      <c r="O151" s="4">
        <v>-0.86041963100433339</v>
      </c>
      <c r="P151">
        <v>1040.2882967377277</v>
      </c>
      <c r="Q151">
        <v>12.168756631767165</v>
      </c>
      <c r="R151">
        <v>27.526803600109595</v>
      </c>
      <c r="S151">
        <v>18.38571428571429</v>
      </c>
      <c r="T151">
        <v>21.369620908452635</v>
      </c>
      <c r="U151">
        <v>67.058556799403647</v>
      </c>
      <c r="V151">
        <f>'VATtax et trade tax et ipc '!AI151</f>
        <v>0.66714124639277983</v>
      </c>
      <c r="W151" s="9">
        <v>0.35741387680127423</v>
      </c>
      <c r="X151">
        <f>'VATtax et trade tax et ipc '!AM151</f>
        <v>0.4885331266065514</v>
      </c>
      <c r="Z151">
        <v>17.034206145808881</v>
      </c>
      <c r="AA151">
        <v>0</v>
      </c>
      <c r="AB151">
        <v>1</v>
      </c>
      <c r="AC151">
        <v>20.590246587171428</v>
      </c>
    </row>
    <row r="152" spans="1:29" ht="14.4" x14ac:dyDescent="0.3">
      <c r="A152" t="s">
        <v>334</v>
      </c>
      <c r="B152" s="4" t="str">
        <f>Tx_croissance!AH152</f>
        <v>NA</v>
      </c>
      <c r="C152" s="4" t="str">
        <f t="shared" si="2"/>
        <v>NA</v>
      </c>
      <c r="D152" s="4" t="s">
        <v>37</v>
      </c>
      <c r="E152" s="4">
        <v>0.26368242462251323</v>
      </c>
      <c r="F152" s="4">
        <v>-0.66961745048562682</v>
      </c>
      <c r="G152" s="4">
        <v>70.489186991869914</v>
      </c>
      <c r="H152" s="4">
        <v>1.1084386587142936</v>
      </c>
      <c r="I152" s="4">
        <v>73.122050694056924</v>
      </c>
      <c r="J152" s="4">
        <v>31.355923016866043</v>
      </c>
      <c r="K152" s="4">
        <v>7.1953903506783865</v>
      </c>
      <c r="L152" s="4">
        <v>7.8171513477961224E-2</v>
      </c>
      <c r="M152" s="4">
        <v>-0.26479258388280863</v>
      </c>
      <c r="N152" s="4">
        <v>0.82853340605894743</v>
      </c>
      <c r="O152" s="4">
        <v>1.1597413718700407</v>
      </c>
      <c r="P152" t="s">
        <v>37</v>
      </c>
      <c r="Q152">
        <v>18.50638406307257</v>
      </c>
      <c r="R152">
        <v>19.592678371517064</v>
      </c>
      <c r="S152">
        <v>65.846666666666636</v>
      </c>
      <c r="T152">
        <v>8.3205655185420202</v>
      </c>
      <c r="U152">
        <v>46.569734685195073</v>
      </c>
      <c r="V152">
        <f>'VATtax et trade tax et ipc '!AI152</f>
        <v>10.660498685536668</v>
      </c>
      <c r="W152" s="9">
        <v>5.4461234827783729</v>
      </c>
      <c r="X152">
        <f>'VATtax et trade tax et ipc '!AM152</f>
        <v>4.0471006196214114</v>
      </c>
      <c r="AA152">
        <v>0</v>
      </c>
      <c r="AB152">
        <v>0</v>
      </c>
      <c r="AC152">
        <v>24.189479472002581</v>
      </c>
    </row>
    <row r="153" spans="1:29" ht="14.4" x14ac:dyDescent="0.3">
      <c r="A153" t="s">
        <v>336</v>
      </c>
      <c r="B153" s="4">
        <f>Tx_croissance!AH153</f>
        <v>3.4786186856517354</v>
      </c>
      <c r="C153" s="4">
        <f t="shared" si="2"/>
        <v>8.7180866833057955</v>
      </c>
      <c r="D153" s="4">
        <v>28.495191807513368</v>
      </c>
      <c r="E153" s="4">
        <v>1.8025221606869679</v>
      </c>
      <c r="F153" s="4">
        <v>-0.8584938173492751</v>
      </c>
      <c r="G153" s="4">
        <v>75.746074074074073</v>
      </c>
      <c r="H153" s="4">
        <v>0.13385353361566862</v>
      </c>
      <c r="I153" s="4">
        <v>102.81250234750601</v>
      </c>
      <c r="J153" s="4">
        <v>70.982598114013669</v>
      </c>
      <c r="K153" s="4">
        <v>42.374039043079726</v>
      </c>
      <c r="L153" s="4">
        <v>-0.40657020453363674</v>
      </c>
      <c r="M153" s="4">
        <v>0.42893905875583488</v>
      </c>
      <c r="N153" s="4">
        <v>-0.14640811956875649</v>
      </c>
      <c r="O153" s="4">
        <v>0.52658742604156339</v>
      </c>
      <c r="P153">
        <v>6112.4727965178463</v>
      </c>
      <c r="Q153">
        <v>9.3113009559906867</v>
      </c>
      <c r="R153">
        <v>43.262692661669874</v>
      </c>
      <c r="S153">
        <v>12.373333333333335</v>
      </c>
      <c r="T153">
        <v>31.314690430630201</v>
      </c>
      <c r="U153" t="s">
        <v>37</v>
      </c>
      <c r="V153">
        <f>'VATtax et trade tax et ipc '!AI153</f>
        <v>7.9641855779350701</v>
      </c>
      <c r="W153" s="9">
        <v>0.98447842127498209</v>
      </c>
      <c r="X153">
        <f>'VATtax et trade tax et ipc '!AM153</f>
        <v>7.2418376302903615</v>
      </c>
      <c r="Z153">
        <v>23.233448756162865</v>
      </c>
      <c r="AA153">
        <v>0</v>
      </c>
      <c r="AB153">
        <v>0</v>
      </c>
      <c r="AC153">
        <v>5.9016777541084009</v>
      </c>
    </row>
    <row r="154" spans="1:29" ht="14.4" x14ac:dyDescent="0.3">
      <c r="A154" t="s">
        <v>338</v>
      </c>
      <c r="B154" s="4">
        <f>Tx_croissance!AH154</f>
        <v>7.7065709404644522E-2</v>
      </c>
      <c r="C154" s="4">
        <f t="shared" si="2"/>
        <v>7.7881525802848248</v>
      </c>
      <c r="D154" s="4">
        <v>17.540983435420056</v>
      </c>
      <c r="E154" s="4">
        <v>2.9409341104989344</v>
      </c>
      <c r="F154" s="4">
        <v>-0.33660640831415845</v>
      </c>
      <c r="G154" s="4">
        <v>62.98696296296297</v>
      </c>
      <c r="H154" s="4">
        <v>-0.60472798844178521</v>
      </c>
      <c r="I154" s="4">
        <v>109.39461326599121</v>
      </c>
      <c r="J154" s="4">
        <v>89.031561170305523</v>
      </c>
      <c r="K154" s="4">
        <v>37.057502746582038</v>
      </c>
      <c r="L154" s="4">
        <v>-0.92193516219655658</v>
      </c>
      <c r="M154" s="4">
        <v>-0.60019237423936522</v>
      </c>
      <c r="N154" s="4">
        <v>-0.80393451700607954</v>
      </c>
      <c r="O154" s="4">
        <v>-2.1180029143579315E-2</v>
      </c>
      <c r="P154">
        <v>2411.8577503146603</v>
      </c>
      <c r="Q154">
        <v>18.310202330734164</v>
      </c>
      <c r="R154">
        <v>57.70331841389465</v>
      </c>
      <c r="S154">
        <v>22.639999999999993</v>
      </c>
      <c r="T154">
        <v>46.674512006519578</v>
      </c>
      <c r="U154">
        <v>49.736324870402527</v>
      </c>
      <c r="V154">
        <f>'VATtax et trade tax et ipc '!AI154</f>
        <v>4.062007941677872</v>
      </c>
      <c r="W154" s="9">
        <v>1.539132326842152</v>
      </c>
      <c r="X154">
        <f>'VATtax et trade tax et ipc '!AM154</f>
        <v>8.3524268101146983</v>
      </c>
      <c r="Y154">
        <v>19.72715385732965</v>
      </c>
      <c r="Z154">
        <v>19.535517458472565</v>
      </c>
      <c r="AA154">
        <v>0</v>
      </c>
      <c r="AB154">
        <v>1</v>
      </c>
      <c r="AC154">
        <v>13.855452985782962</v>
      </c>
    </row>
    <row r="155" spans="1:29" ht="14.4" x14ac:dyDescent="0.3">
      <c r="A155" t="s">
        <v>340</v>
      </c>
      <c r="B155" s="4">
        <f>Tx_croissance!AH155</f>
        <v>1.2556263934004885</v>
      </c>
      <c r="C155" s="4">
        <f t="shared" si="2"/>
        <v>8.3943270188798227</v>
      </c>
      <c r="D155" s="4">
        <v>18.889891845971814</v>
      </c>
      <c r="E155" s="4">
        <v>1.468050719539276</v>
      </c>
      <c r="F155" s="4">
        <v>1.4733579164991665E-2</v>
      </c>
      <c r="G155" s="4">
        <v>71.320111111111117</v>
      </c>
      <c r="H155" s="4">
        <v>-0.48307092871012475</v>
      </c>
      <c r="I155" s="4">
        <v>105.07999897003168</v>
      </c>
      <c r="J155" s="4">
        <v>82.557346509850547</v>
      </c>
      <c r="K155" s="4">
        <v>31.277169068654377</v>
      </c>
      <c r="L155" s="4">
        <v>-1.0488943159580233</v>
      </c>
      <c r="M155" s="4">
        <v>-0.40653314751883346</v>
      </c>
      <c r="N155" s="4">
        <v>-0.78724943970640515</v>
      </c>
      <c r="O155" s="4">
        <v>-0.15842279793772229</v>
      </c>
      <c r="P155">
        <v>4421.910046213814</v>
      </c>
      <c r="Q155">
        <v>9.1637086797538547</v>
      </c>
      <c r="R155">
        <v>21.182588563405769</v>
      </c>
      <c r="S155">
        <v>11.566666666666663</v>
      </c>
      <c r="T155">
        <v>12.004221271305614</v>
      </c>
      <c r="U155" t="s">
        <v>37</v>
      </c>
      <c r="V155">
        <f>'VATtax et trade tax et ipc '!AI155</f>
        <v>8.3225957422127159</v>
      </c>
      <c r="W155" s="9">
        <v>1.3373908595407638</v>
      </c>
      <c r="X155">
        <f>'VATtax et trade tax et ipc '!AM155</f>
        <v>2.8322859638856439</v>
      </c>
      <c r="Z155">
        <v>20.028392465106357</v>
      </c>
      <c r="AA155">
        <v>0</v>
      </c>
      <c r="AB155">
        <v>0</v>
      </c>
      <c r="AC155">
        <v>11.169841668269667</v>
      </c>
    </row>
    <row r="156" spans="1:29" ht="14.4" x14ac:dyDescent="0.3">
      <c r="A156" t="s">
        <v>342</v>
      </c>
      <c r="B156" s="4">
        <f>Tx_croissance!AH156</f>
        <v>2.7560966998497971</v>
      </c>
      <c r="C156" s="4">
        <f t="shared" si="2"/>
        <v>8.0539014310962305</v>
      </c>
      <c r="D156" s="4">
        <v>21.365092853039297</v>
      </c>
      <c r="E156" s="4">
        <v>1.2516497467107661</v>
      </c>
      <c r="F156" s="4">
        <v>0.52294698233405745</v>
      </c>
      <c r="G156" s="4">
        <v>72.801481481481488</v>
      </c>
      <c r="H156" s="4">
        <v>-0.70371187850832906</v>
      </c>
      <c r="I156" s="4">
        <v>105.5830431851473</v>
      </c>
      <c r="J156" s="4">
        <v>105.07082089510835</v>
      </c>
      <c r="K156" s="4">
        <v>46.476617813110352</v>
      </c>
      <c r="L156" s="4">
        <v>-0.42404774265984696</v>
      </c>
      <c r="M156" s="4">
        <v>0.32347635137072456</v>
      </c>
      <c r="N156" s="4">
        <v>-0.59402179718017578</v>
      </c>
      <c r="O156" s="4">
        <v>5.880308616906401E-2</v>
      </c>
      <c r="P156">
        <v>3146.0451374896165</v>
      </c>
      <c r="Q156">
        <v>13.513339229289818</v>
      </c>
      <c r="R156">
        <v>35.180903132276541</v>
      </c>
      <c r="S156">
        <v>23.546666666666663</v>
      </c>
      <c r="T156">
        <v>26.515832531893235</v>
      </c>
      <c r="U156">
        <v>25.564539028401903</v>
      </c>
      <c r="V156">
        <f>'VATtax et trade tax et ipc '!AI156</f>
        <v>7.0192287441278349</v>
      </c>
      <c r="W156" s="9">
        <v>0.46309671549612441</v>
      </c>
      <c r="X156">
        <f>'VATtax et trade tax et ipc '!AM156</f>
        <v>5.4640166311100238</v>
      </c>
      <c r="Y156">
        <v>13.684757572985873</v>
      </c>
      <c r="Z156">
        <v>23.958324671761059</v>
      </c>
      <c r="AA156">
        <v>0</v>
      </c>
      <c r="AB156">
        <v>0</v>
      </c>
      <c r="AC156">
        <v>5.4792274371795262</v>
      </c>
    </row>
    <row r="157" spans="1:29" ht="14.4" x14ac:dyDescent="0.3">
      <c r="A157" t="s">
        <v>344</v>
      </c>
      <c r="B157" s="4">
        <f>Tx_croissance!AH157</f>
        <v>2.6843125064765161</v>
      </c>
      <c r="C157" s="4">
        <f t="shared" si="2"/>
        <v>7.4532735223153752</v>
      </c>
      <c r="D157" s="4">
        <v>20.949699348848764</v>
      </c>
      <c r="E157" s="4">
        <v>1.9122491500897565</v>
      </c>
      <c r="F157" s="4">
        <v>1.0683539807796463</v>
      </c>
      <c r="G157" s="4">
        <v>70.318851851851861</v>
      </c>
      <c r="H157" s="4">
        <v>-1.1723083158334096</v>
      </c>
      <c r="I157" s="4">
        <v>71.663102467854813</v>
      </c>
      <c r="J157" s="4">
        <v>28.598367929458625</v>
      </c>
      <c r="K157" s="4" t="s">
        <v>37</v>
      </c>
      <c r="L157" s="4">
        <v>-0.59058612833420432</v>
      </c>
      <c r="M157" s="4">
        <v>-2.733333346744389E-2</v>
      </c>
      <c r="N157" s="4">
        <v>-0.45516228792257607</v>
      </c>
      <c r="O157" s="4">
        <v>4.4139215179408581E-2</v>
      </c>
      <c r="P157">
        <v>1725.5023808074038</v>
      </c>
      <c r="Q157">
        <v>13.078329262095467</v>
      </c>
      <c r="R157">
        <v>43.585616173953987</v>
      </c>
      <c r="S157">
        <v>20.673333333333336</v>
      </c>
      <c r="T157">
        <v>38.820470593154248</v>
      </c>
      <c r="U157">
        <v>55.23896192879694</v>
      </c>
      <c r="V157">
        <f>'VATtax et trade tax et ipc '!AI157</f>
        <v>3.8508835754180435</v>
      </c>
      <c r="W157" s="9">
        <v>2.9518870498487848</v>
      </c>
      <c r="X157">
        <f>'VATtax et trade tax et ipc '!AM157</f>
        <v>5.7402281196223033</v>
      </c>
      <c r="Y157">
        <v>14.26625523510088</v>
      </c>
      <c r="AA157">
        <v>0</v>
      </c>
      <c r="AB157">
        <v>1</v>
      </c>
      <c r="AC157">
        <v>22.124397359482025</v>
      </c>
    </row>
    <row r="158" spans="1:29" ht="14.4" x14ac:dyDescent="0.3">
      <c r="A158" t="s">
        <v>346</v>
      </c>
      <c r="B158" s="4">
        <f>Tx_croissance!AH158</f>
        <v>4.2055011122256403</v>
      </c>
      <c r="C158" s="4">
        <f t="shared" si="2"/>
        <v>8.6355887041740029</v>
      </c>
      <c r="D158" s="4">
        <v>19.905418280454576</v>
      </c>
      <c r="E158" s="4">
        <v>-0.16313141502985637</v>
      </c>
      <c r="F158" s="4">
        <v>0.43936406448483439</v>
      </c>
      <c r="G158" s="4">
        <v>75.418337850045162</v>
      </c>
      <c r="H158" s="4">
        <v>0.66840423084795442</v>
      </c>
      <c r="I158" s="4">
        <v>98.440761413574236</v>
      </c>
      <c r="J158" s="4">
        <v>103.26630881980601</v>
      </c>
      <c r="K158" s="4">
        <v>62.222405468976056</v>
      </c>
      <c r="L158" s="4">
        <v>0.53664755200346315</v>
      </c>
      <c r="M158" s="4">
        <v>0.84583858400583256</v>
      </c>
      <c r="N158" s="4">
        <v>0.59308206165830291</v>
      </c>
      <c r="O158" s="4">
        <v>0.91669475038846315</v>
      </c>
      <c r="P158">
        <v>5628.4462389587625</v>
      </c>
      <c r="Q158">
        <v>17.692951164064628</v>
      </c>
      <c r="R158">
        <v>28.636344265012443</v>
      </c>
      <c r="S158">
        <v>15.046666666666665</v>
      </c>
      <c r="T158">
        <v>14.599116814803395</v>
      </c>
      <c r="U158" t="s">
        <v>37</v>
      </c>
      <c r="V158">
        <f>'VATtax et trade tax et ipc '!AI158</f>
        <v>11.533685615679111</v>
      </c>
      <c r="W158" s="9">
        <v>0.35583826143615682</v>
      </c>
      <c r="X158">
        <f>'VATtax et trade tax et ipc '!AM158</f>
        <v>4.4478118097377699</v>
      </c>
      <c r="Y158">
        <v>22.369153190749437</v>
      </c>
      <c r="Z158">
        <v>17.416391352228597</v>
      </c>
      <c r="AA158">
        <v>0</v>
      </c>
      <c r="AB158">
        <v>0</v>
      </c>
      <c r="AC158">
        <v>4.4101992709981781</v>
      </c>
    </row>
    <row r="159" spans="1:29" ht="14.4" x14ac:dyDescent="0.3">
      <c r="A159" t="s">
        <v>348</v>
      </c>
      <c r="B159" s="4">
        <f>Tx_croissance!AH159</f>
        <v>1.2576134404944206</v>
      </c>
      <c r="C159" s="4">
        <f t="shared" si="2"/>
        <v>9.6670677040220738</v>
      </c>
      <c r="D159" s="4">
        <v>21.292889198251636</v>
      </c>
      <c r="E159" s="4">
        <v>0.14643290843516812</v>
      </c>
      <c r="F159" s="4">
        <v>0.7174532599747182</v>
      </c>
      <c r="G159" s="4">
        <v>78.712827461607972</v>
      </c>
      <c r="H159" s="4">
        <v>1.0018491446971887</v>
      </c>
      <c r="I159" s="4">
        <v>98.485616895887546</v>
      </c>
      <c r="J159" s="4">
        <v>89.305031670464416</v>
      </c>
      <c r="K159" s="4">
        <v>91.786279158158735</v>
      </c>
      <c r="L159" s="4">
        <v>0.98829601953426971</v>
      </c>
      <c r="M159" s="4">
        <v>0.95476246128479625</v>
      </c>
      <c r="N159" s="4">
        <v>1.1195836290717123</v>
      </c>
      <c r="O159" s="4">
        <v>1.2385563900073369</v>
      </c>
      <c r="P159">
        <v>15788.983105781952</v>
      </c>
      <c r="Q159">
        <v>18.870647547184557</v>
      </c>
      <c r="R159">
        <v>39.521716894940567</v>
      </c>
      <c r="S159">
        <v>14.173333333333334</v>
      </c>
      <c r="T159">
        <v>22.834857049917382</v>
      </c>
      <c r="U159" t="s">
        <v>37</v>
      </c>
      <c r="V159">
        <f>'VATtax et trade tax et ipc '!AI159</f>
        <v>11.62576337326327</v>
      </c>
      <c r="W159" s="9">
        <v>3.8742876119981758E-4</v>
      </c>
      <c r="X159">
        <f>'VATtax et trade tax et ipc '!AM159</f>
        <v>8.2953195097443118</v>
      </c>
      <c r="Y159">
        <v>19.694930021161635</v>
      </c>
      <c r="Z159">
        <v>23.281527521556932</v>
      </c>
      <c r="AA159">
        <v>0</v>
      </c>
      <c r="AB159">
        <v>0</v>
      </c>
      <c r="AC159">
        <v>2.9886166532763999E-3</v>
      </c>
    </row>
    <row r="160" spans="1:29" ht="14.4" x14ac:dyDescent="0.3">
      <c r="A160" t="s">
        <v>350</v>
      </c>
      <c r="B160" s="4">
        <f>Tx_croissance!AH160</f>
        <v>1.1351011011056178</v>
      </c>
      <c r="C160" s="4">
        <f t="shared" si="2"/>
        <v>9.9959050059969723</v>
      </c>
      <c r="D160" s="4">
        <v>13.153895626103793</v>
      </c>
      <c r="E160" s="4">
        <v>-0.44493324753914765</v>
      </c>
      <c r="F160" s="4">
        <v>1.0033238906609381</v>
      </c>
      <c r="G160" s="4">
        <v>77.574814814814815</v>
      </c>
      <c r="H160" s="4">
        <v>0.42177616370220977</v>
      </c>
      <c r="I160" s="4" t="s">
        <v>37</v>
      </c>
      <c r="J160" s="4">
        <v>95.956962585449205</v>
      </c>
      <c r="K160" s="4">
        <v>28.961044788360624</v>
      </c>
      <c r="L160" s="4">
        <v>0.48495499354127464</v>
      </c>
      <c r="M160" s="4">
        <v>0.97171323001384691</v>
      </c>
      <c r="N160" s="4">
        <v>0.69953271001577377</v>
      </c>
      <c r="O160" s="4">
        <v>0.78410469368100222</v>
      </c>
      <c r="P160">
        <v>21936.451978275123</v>
      </c>
      <c r="Q160" t="s">
        <v>37</v>
      </c>
      <c r="R160" t="e">
        <v>#DIV/0!</v>
      </c>
      <c r="S160">
        <v>27.786666666666672</v>
      </c>
      <c r="T160" t="e">
        <v>#DIV/0!</v>
      </c>
      <c r="U160" t="s">
        <v>37</v>
      </c>
      <c r="V160" t="str">
        <f>'VATtax et trade tax et ipc '!AI160</f>
        <v>NA</v>
      </c>
      <c r="W160" s="9" t="str">
        <v>NA</v>
      </c>
      <c r="X160" t="str">
        <f>'VATtax et trade tax et ipc '!AM160</f>
        <v>NA</v>
      </c>
      <c r="Z160">
        <v>15.379337572144902</v>
      </c>
      <c r="AA160">
        <v>0</v>
      </c>
      <c r="AB160">
        <v>0</v>
      </c>
      <c r="AC160" t="s">
        <v>37</v>
      </c>
    </row>
    <row r="161" spans="1:29" ht="14.4" x14ac:dyDescent="0.3">
      <c r="A161" t="s">
        <v>352</v>
      </c>
      <c r="B161" s="4" t="str">
        <f>Tx_croissance!AH161</f>
        <v>NA</v>
      </c>
      <c r="C161" s="4" t="str">
        <f t="shared" si="2"/>
        <v>NA</v>
      </c>
      <c r="D161" s="4" t="s">
        <v>37</v>
      </c>
      <c r="E161" s="4">
        <v>6.0115199465793951</v>
      </c>
      <c r="F161" s="4">
        <v>-0.17892438727524973</v>
      </c>
      <c r="G161" s="4">
        <v>77.50500000000001</v>
      </c>
      <c r="H161" s="4">
        <v>0.9590646860500186</v>
      </c>
      <c r="I161" s="4">
        <v>112.70514561579775</v>
      </c>
      <c r="J161" s="4">
        <v>109.49672933725212</v>
      </c>
      <c r="K161" s="4">
        <v>56.775136427445858</v>
      </c>
      <c r="L161" s="4">
        <v>0.80014939482013414</v>
      </c>
      <c r="M161" s="4">
        <v>0.49511115012379986</v>
      </c>
      <c r="N161" s="4">
        <v>0.66620292576650775</v>
      </c>
      <c r="O161" s="4">
        <v>-0.95923518513639727</v>
      </c>
      <c r="P161" t="s">
        <v>37</v>
      </c>
      <c r="Q161" t="s">
        <v>37</v>
      </c>
      <c r="R161" t="e">
        <v>#DIV/0!</v>
      </c>
      <c r="S161">
        <v>0</v>
      </c>
      <c r="T161" t="e">
        <v>#DIV/0!</v>
      </c>
      <c r="U161" t="s">
        <v>37</v>
      </c>
      <c r="V161" t="str">
        <f>'VATtax et trade tax et ipc '!AI161</f>
        <v>NA</v>
      </c>
      <c r="W161" s="9" t="str">
        <v>NA</v>
      </c>
      <c r="X161" t="str">
        <f>'VATtax et trade tax et ipc '!AM161</f>
        <v>NA</v>
      </c>
      <c r="AA161">
        <v>0</v>
      </c>
      <c r="AB161">
        <v>0</v>
      </c>
      <c r="AC161" t="s">
        <v>37</v>
      </c>
    </row>
    <row r="162" spans="1:29" ht="14.4" x14ac:dyDescent="0.3">
      <c r="A162" t="s">
        <v>354</v>
      </c>
      <c r="B162" s="4">
        <f>Tx_croissance!AH162</f>
        <v>3.6999568626298718</v>
      </c>
      <c r="C162" s="4">
        <f t="shared" si="2"/>
        <v>8.4273089931925043</v>
      </c>
      <c r="D162" s="4">
        <v>24.081875759157757</v>
      </c>
      <c r="E162" s="4">
        <v>-0.63137442619911543</v>
      </c>
      <c r="F162" s="4">
        <v>-0.40812169046451663</v>
      </c>
      <c r="G162" s="4">
        <v>72.684191508581748</v>
      </c>
      <c r="H162" s="4">
        <v>0.24832279824962225</v>
      </c>
      <c r="I162" s="4">
        <v>110.21330085167521</v>
      </c>
      <c r="J162" s="4">
        <v>69.2754807472229</v>
      </c>
      <c r="K162" s="4">
        <v>25.162846271808341</v>
      </c>
      <c r="L162" s="4">
        <v>-0.27763789589516813</v>
      </c>
      <c r="M162" s="4">
        <v>0.38724524186303216</v>
      </c>
      <c r="N162" s="4">
        <v>0.10143100520751132</v>
      </c>
      <c r="O162" s="4">
        <v>0.4535883901019892</v>
      </c>
      <c r="P162">
        <v>4570.1851312701874</v>
      </c>
      <c r="Q162">
        <v>14.571063498939814</v>
      </c>
      <c r="R162">
        <v>34.735805600465419</v>
      </c>
      <c r="S162">
        <v>11.606666666666667</v>
      </c>
      <c r="T162">
        <v>19.329155453764137</v>
      </c>
      <c r="U162">
        <v>34.472350406198402</v>
      </c>
      <c r="V162">
        <f>'VATtax et trade tax et ipc '!AI162</f>
        <v>10.042936031361481</v>
      </c>
      <c r="W162" s="9">
        <v>9.9989829469994226E-2</v>
      </c>
      <c r="X162">
        <f>'VATtax et trade tax et ipc '!AM162</f>
        <v>4.9918651056491452</v>
      </c>
      <c r="Y162">
        <v>17.402044516858066</v>
      </c>
      <c r="Z162">
        <v>21.161275063726904</v>
      </c>
      <c r="AA162">
        <v>0</v>
      </c>
      <c r="AB162">
        <v>0</v>
      </c>
      <c r="AC162">
        <v>2.8442334741360491</v>
      </c>
    </row>
    <row r="163" spans="1:29" ht="14.4" x14ac:dyDescent="0.3">
      <c r="A163" t="s">
        <v>356</v>
      </c>
      <c r="B163" s="4">
        <f>Tx_croissance!AH163</f>
        <v>2.7177630337535064</v>
      </c>
      <c r="C163" s="4">
        <f t="shared" si="2"/>
        <v>8.4893381127942806</v>
      </c>
      <c r="D163" s="4">
        <v>19.919892420254175</v>
      </c>
      <c r="E163" s="4">
        <v>-0.10181188992657526</v>
      </c>
      <c r="F163" s="4">
        <v>-0.32501085886421305</v>
      </c>
      <c r="G163" s="4">
        <v>68.328888888888898</v>
      </c>
      <c r="H163" s="4">
        <v>-0.92876798411210382</v>
      </c>
      <c r="I163" s="4">
        <v>93.464728178801366</v>
      </c>
      <c r="J163" s="4">
        <v>84.301400078667541</v>
      </c>
      <c r="K163" s="4">
        <v>38.192226657161001</v>
      </c>
      <c r="L163" s="4">
        <v>-0.95822818328936898</v>
      </c>
      <c r="M163" s="4">
        <v>-0.40999449137598259</v>
      </c>
      <c r="N163" s="4">
        <v>-0.88526584953069687</v>
      </c>
      <c r="O163" s="4">
        <v>-0.85556064111491059</v>
      </c>
      <c r="P163">
        <v>4862.646484375</v>
      </c>
      <c r="Q163">
        <v>13.102632278119676</v>
      </c>
      <c r="R163">
        <v>8.1584376545367068</v>
      </c>
      <c r="S163">
        <v>8.3142857142857132</v>
      </c>
      <c r="T163">
        <v>4.0904037216314544</v>
      </c>
      <c r="U163">
        <v>27.914784766396451</v>
      </c>
      <c r="V163">
        <f>'VATtax et trade tax et ipc '!AI163</f>
        <v>7.3752295248483142</v>
      </c>
      <c r="W163" s="9">
        <v>4.7820999825110881</v>
      </c>
      <c r="X163">
        <f>'VATtax et trade tax et ipc '!AM163</f>
        <v>0.77898829555716509</v>
      </c>
      <c r="Z163">
        <v>21.077727813941415</v>
      </c>
      <c r="AA163">
        <v>0</v>
      </c>
      <c r="AB163">
        <v>0</v>
      </c>
      <c r="AC163">
        <v>7.848206355243633</v>
      </c>
    </row>
    <row r="164" spans="1:29" ht="14.4" x14ac:dyDescent="0.3">
      <c r="A164" t="s">
        <v>358</v>
      </c>
      <c r="B164" s="4">
        <f>Tx_croissance!AH164</f>
        <v>4.2617739407743382</v>
      </c>
      <c r="C164" s="4">
        <f t="shared" si="2"/>
        <v>5.7194337620501949</v>
      </c>
      <c r="D164" s="4">
        <v>18.933293596455126</v>
      </c>
      <c r="E164" s="4">
        <v>2.5571698601533894</v>
      </c>
      <c r="F164" s="4">
        <v>0.34317145666379173</v>
      </c>
      <c r="G164" s="4">
        <v>57.20066666666667</v>
      </c>
      <c r="H164" s="4">
        <v>-0.5484876636473931</v>
      </c>
      <c r="I164" s="4" t="s">
        <v>37</v>
      </c>
      <c r="J164" s="4" t="s">
        <v>37</v>
      </c>
      <c r="K164" s="4" t="s">
        <v>37</v>
      </c>
      <c r="L164" s="4">
        <v>0.11230743577471002</v>
      </c>
      <c r="M164" s="4">
        <v>-0.40392403265771754</v>
      </c>
      <c r="N164" s="4">
        <v>-0.43543397852530075</v>
      </c>
      <c r="O164" s="4">
        <v>-1.2446884885430334</v>
      </c>
      <c r="P164">
        <v>304.73232308935712</v>
      </c>
      <c r="Q164">
        <v>11.315531110126864</v>
      </c>
      <c r="R164">
        <v>40.760573791760571</v>
      </c>
      <c r="S164">
        <v>25.646666666666665</v>
      </c>
      <c r="T164">
        <v>22.392588014277866</v>
      </c>
      <c r="U164" t="s">
        <v>37</v>
      </c>
      <c r="V164">
        <f>'VATtax et trade tax et ipc '!AI164</f>
        <v>13.306876837537931</v>
      </c>
      <c r="W164" s="9">
        <v>2.087958316716215</v>
      </c>
      <c r="X164">
        <f>'VATtax et trade tax et ipc '!AM164</f>
        <v>10.765174972321109</v>
      </c>
      <c r="Z164">
        <v>13.409132990084943</v>
      </c>
      <c r="AA164">
        <v>0</v>
      </c>
      <c r="AB164">
        <v>1</v>
      </c>
      <c r="AC164">
        <v>7.8448090358272253</v>
      </c>
    </row>
    <row r="165" spans="1:29" ht="14.4" x14ac:dyDescent="0.3">
      <c r="A165" t="s">
        <v>360</v>
      </c>
      <c r="B165" s="4">
        <f>Tx_croissance!AH165</f>
        <v>1.2264260298024077</v>
      </c>
      <c r="C165" s="4">
        <f t="shared" si="2"/>
        <v>7.8572892100971812</v>
      </c>
      <c r="D165" s="4">
        <v>34.012099739634444</v>
      </c>
      <c r="E165" s="4">
        <v>0.89459544082891918</v>
      </c>
      <c r="F165" s="4">
        <v>1.634770691394805</v>
      </c>
      <c r="G165" s="4">
        <v>71.600740740740733</v>
      </c>
      <c r="H165" s="4">
        <v>1.1151707495252292</v>
      </c>
      <c r="I165" s="4">
        <v>100.38424183772158</v>
      </c>
      <c r="J165" s="4">
        <v>95.313741455078159</v>
      </c>
      <c r="K165" s="4">
        <v>17.761412126046643</v>
      </c>
      <c r="L165" s="4">
        <v>0.25561514248450606</v>
      </c>
      <c r="M165" s="4">
        <v>-0.14726696710567927</v>
      </c>
      <c r="N165" s="4">
        <v>0.92235015581051538</v>
      </c>
      <c r="O165" s="4">
        <v>0.66729067638516426</v>
      </c>
      <c r="P165">
        <v>2584.5048212886777</v>
      </c>
      <c r="Q165">
        <v>23.355441739989818</v>
      </c>
      <c r="R165">
        <v>23.215980542728857</v>
      </c>
      <c r="S165">
        <v>11.573333333333332</v>
      </c>
      <c r="T165">
        <v>16.175594057245267</v>
      </c>
      <c r="U165" t="s">
        <v>37</v>
      </c>
      <c r="V165">
        <f>'VATtax et trade tax et ipc '!AI165</f>
        <v>21.319280438263636</v>
      </c>
      <c r="W165" s="9">
        <v>3.4755020887465675</v>
      </c>
      <c r="X165">
        <f>'VATtax et trade tax et ipc '!AM165</f>
        <v>7.4867521410903555</v>
      </c>
      <c r="AA165">
        <v>0</v>
      </c>
      <c r="AB165">
        <v>1</v>
      </c>
      <c r="AC165">
        <v>10.724909795462919</v>
      </c>
    </row>
    <row r="166" spans="1:29" ht="14.4" x14ac:dyDescent="0.3">
      <c r="A166" t="s">
        <v>362</v>
      </c>
      <c r="B166" s="4" t="str">
        <f>Tx_croissance!AH166</f>
        <v>NA</v>
      </c>
      <c r="C166" s="4" t="str">
        <f t="shared" si="2"/>
        <v>NA</v>
      </c>
      <c r="D166" s="4">
        <v>19.568223999790124</v>
      </c>
      <c r="E166" s="4">
        <v>1.1293197115028326</v>
      </c>
      <c r="F166" s="4">
        <v>-0.70454381778836239</v>
      </c>
      <c r="G166" s="4" t="s">
        <v>37</v>
      </c>
      <c r="H166" s="4">
        <v>1.1899041593074791</v>
      </c>
      <c r="I166" s="4">
        <v>98.121235046386744</v>
      </c>
      <c r="J166" s="4">
        <v>87.79650228994862</v>
      </c>
      <c r="K166" s="4">
        <v>45.75949870215522</v>
      </c>
      <c r="L166" s="4">
        <v>1.2068704515695576</v>
      </c>
      <c r="M166" s="4">
        <v>0.49670694023370754</v>
      </c>
      <c r="N166" s="4">
        <v>1.121609436429065</v>
      </c>
      <c r="O166" s="4">
        <v>1.1920321285724642</v>
      </c>
      <c r="P166" t="s">
        <v>37</v>
      </c>
      <c r="Q166">
        <v>17.092912416998139</v>
      </c>
      <c r="R166">
        <v>41.091525304208581</v>
      </c>
      <c r="S166">
        <v>7.6750000000000007</v>
      </c>
      <c r="T166">
        <v>18.336035284794033</v>
      </c>
      <c r="U166">
        <v>51.546705799004357</v>
      </c>
      <c r="V166">
        <f>'VATtax et trade tax et ipc '!AI166</f>
        <v>509.2429411732316</v>
      </c>
      <c r="W166" s="9">
        <v>22.037847929798357</v>
      </c>
      <c r="X166" t="str">
        <f>'VATtax et trade tax et ipc '!AM166</f>
        <v>NA</v>
      </c>
      <c r="AA166">
        <v>0</v>
      </c>
      <c r="AB166">
        <v>0</v>
      </c>
      <c r="AC166">
        <v>1.8487396939316165</v>
      </c>
    </row>
    <row r="167" spans="1:29" ht="14.4" x14ac:dyDescent="0.3">
      <c r="A167" t="s">
        <v>364</v>
      </c>
      <c r="B167" s="4" t="str">
        <f>Tx_croissance!AH167</f>
        <v>NA</v>
      </c>
      <c r="C167" s="4" t="str">
        <f t="shared" si="2"/>
        <v>NA</v>
      </c>
      <c r="D167" s="4" t="s">
        <v>37</v>
      </c>
      <c r="E167" s="4">
        <v>1.9784934915444274</v>
      </c>
      <c r="F167" s="4">
        <v>-1.922331610694528E-2</v>
      </c>
      <c r="G167" s="4">
        <v>64.683555555555557</v>
      </c>
      <c r="H167" s="4">
        <v>0.41582438384648407</v>
      </c>
      <c r="I167" s="4">
        <v>104.11264336627461</v>
      </c>
      <c r="J167" s="4">
        <v>93.00761159261063</v>
      </c>
      <c r="K167" s="4">
        <v>69.619874636332199</v>
      </c>
      <c r="L167" s="4">
        <v>-2.4756728671491129E-2</v>
      </c>
      <c r="M167" s="4">
        <v>-0.78983720391988754</v>
      </c>
      <c r="N167" s="4">
        <v>-0.49616626588006812</v>
      </c>
      <c r="O167" s="4">
        <v>0.27290075412020093</v>
      </c>
      <c r="P167" t="s">
        <v>37</v>
      </c>
      <c r="Q167" t="s">
        <v>37</v>
      </c>
      <c r="R167" t="e">
        <v>#DIV/0!</v>
      </c>
      <c r="S167">
        <v>23.813333333333329</v>
      </c>
      <c r="T167" t="e">
        <v>#DIV/0!</v>
      </c>
      <c r="U167" t="s">
        <v>37</v>
      </c>
      <c r="V167" t="str">
        <f>'VATtax et trade tax et ipc '!AI167</f>
        <v>NA</v>
      </c>
      <c r="W167" s="9" t="str">
        <v>NA</v>
      </c>
      <c r="X167" t="str">
        <f>'VATtax et trade tax et ipc '!AM167</f>
        <v>NA</v>
      </c>
      <c r="AA167">
        <v>0</v>
      </c>
      <c r="AB167">
        <v>1</v>
      </c>
      <c r="AC167" t="s">
        <v>37</v>
      </c>
    </row>
    <row r="168" spans="1:29" ht="14.4" x14ac:dyDescent="0.3">
      <c r="A168" t="s">
        <v>366</v>
      </c>
      <c r="B168" s="4">
        <f>Tx_croissance!AH168</f>
        <v>0.62049189956046025</v>
      </c>
      <c r="C168" s="4">
        <f t="shared" si="2"/>
        <v>9.7918430385535622</v>
      </c>
      <c r="D168" s="4">
        <v>21.771846941685425</v>
      </c>
      <c r="E168" s="4">
        <v>2.4436668930012893</v>
      </c>
      <c r="F168" s="4">
        <v>-0.2973809289493754</v>
      </c>
      <c r="G168" s="4">
        <v>74.820888888888902</v>
      </c>
      <c r="H168" s="4">
        <v>-0.37322932907651801</v>
      </c>
      <c r="I168" s="4">
        <v>126.37303253173827</v>
      </c>
      <c r="J168" s="4">
        <v>27.452257653941277</v>
      </c>
      <c r="K168" s="4">
        <v>4.9512881562113771</v>
      </c>
      <c r="L168" s="4">
        <v>1.3892694531629578E-2</v>
      </c>
      <c r="M168" s="4">
        <v>3.815130245250966E-2</v>
      </c>
      <c r="N168" s="4">
        <v>9.8165167379192994E-2</v>
      </c>
      <c r="O168" s="4">
        <v>-1.691575000683466</v>
      </c>
      <c r="P168">
        <v>17887.242684597692</v>
      </c>
      <c r="Q168">
        <v>4.1938464448804531</v>
      </c>
      <c r="R168">
        <v>14.167217808442711</v>
      </c>
      <c r="S168">
        <v>2.2199999999999998</v>
      </c>
      <c r="T168">
        <v>1.6785408750480715</v>
      </c>
      <c r="U168" t="s">
        <v>37</v>
      </c>
      <c r="V168">
        <f>'VATtax et trade tax et ipc '!AI168</f>
        <v>3.732376947999112</v>
      </c>
      <c r="W168" s="9">
        <v>0.98541273125499196</v>
      </c>
      <c r="X168">
        <f>'VATtax et trade tax et ipc '!AM168</f>
        <v>0.74059696561704003</v>
      </c>
      <c r="Z168">
        <v>19.245948756236668</v>
      </c>
      <c r="AA168">
        <v>0</v>
      </c>
      <c r="AB168">
        <v>0</v>
      </c>
      <c r="AC168">
        <v>20.442960037933322</v>
      </c>
    </row>
    <row r="169" spans="1:29" ht="14.4" x14ac:dyDescent="0.3">
      <c r="A169" t="s">
        <v>368</v>
      </c>
      <c r="B169" s="4">
        <f>Tx_croissance!AH169</f>
        <v>1.4820591656354409</v>
      </c>
      <c r="C169" s="4">
        <f t="shared" si="2"/>
        <v>6.8924630261288371</v>
      </c>
      <c r="D169" s="4">
        <v>22.076623655549064</v>
      </c>
      <c r="E169" s="4">
        <v>2.5764419471844486</v>
      </c>
      <c r="F169" s="4">
        <v>-0.24412804143018266</v>
      </c>
      <c r="G169" s="4">
        <v>62.559074074074083</v>
      </c>
      <c r="H169" s="4">
        <v>-0.23972944084865336</v>
      </c>
      <c r="I169" s="4" t="s">
        <v>37</v>
      </c>
      <c r="J169" s="4" t="s">
        <v>37</v>
      </c>
      <c r="K169" s="4">
        <v>33.061560133229129</v>
      </c>
      <c r="L169" s="4">
        <v>-0.15952984932422021</v>
      </c>
      <c r="M169" s="4">
        <v>-0.2488811764245232</v>
      </c>
      <c r="N169" s="4">
        <v>-0.18309299162744239</v>
      </c>
      <c r="O169" s="4">
        <v>0.10369427387680245</v>
      </c>
      <c r="P169">
        <v>984.82407989385365</v>
      </c>
      <c r="Q169">
        <v>17.059587184522794</v>
      </c>
      <c r="R169">
        <v>28.640876403960405</v>
      </c>
      <c r="S169">
        <v>16.026666666666664</v>
      </c>
      <c r="T169">
        <v>21.440804993554831</v>
      </c>
      <c r="U169" t="s">
        <v>37</v>
      </c>
      <c r="V169">
        <f>'VATtax et trade tax et ipc '!AI169</f>
        <v>15.019962771308355</v>
      </c>
      <c r="W169" s="9">
        <v>4.1154218804500449</v>
      </c>
      <c r="X169">
        <f>'VATtax et trade tax et ipc '!AM169</f>
        <v>8.1922878174441678</v>
      </c>
      <c r="Z169">
        <v>15.299541973942882</v>
      </c>
      <c r="AA169">
        <v>0</v>
      </c>
      <c r="AB169">
        <v>1</v>
      </c>
      <c r="AC169">
        <v>14.412131344054856</v>
      </c>
    </row>
    <row r="170" spans="1:29" ht="14.4" x14ac:dyDescent="0.3">
      <c r="A170" t="s">
        <v>370</v>
      </c>
      <c r="B170" s="4">
        <f>Tx_croissance!AH170</f>
        <v>3.7389124709434007</v>
      </c>
      <c r="C170" s="4">
        <f t="shared" si="2"/>
        <v>7.9306544329577688</v>
      </c>
      <c r="D170" s="4">
        <v>17.527200172627584</v>
      </c>
      <c r="E170" s="4">
        <v>-0.53186261576509308</v>
      </c>
      <c r="F170" s="4">
        <v>0.60595805818835891</v>
      </c>
      <c r="G170" s="4">
        <v>73.495840108401097</v>
      </c>
      <c r="H170" s="4">
        <v>-0.42494338607260346</v>
      </c>
      <c r="I170" s="4">
        <v>71.730941560533296</v>
      </c>
      <c r="J170" s="4">
        <v>40.367302576700844</v>
      </c>
      <c r="K170" s="4">
        <v>12.175885396845198</v>
      </c>
      <c r="L170" s="4">
        <v>-0.49668551671008282</v>
      </c>
      <c r="M170" s="4">
        <v>-0.23938077773588398</v>
      </c>
      <c r="N170" s="4">
        <v>-0.49152272877593828</v>
      </c>
      <c r="O170" s="4">
        <v>-3.3015789405908401E-2</v>
      </c>
      <c r="P170">
        <v>2781.2463483413476</v>
      </c>
      <c r="Q170">
        <v>21.63759174159911</v>
      </c>
      <c r="R170">
        <v>21.569865572585641</v>
      </c>
      <c r="S170">
        <v>9.8266666666666644</v>
      </c>
      <c r="T170">
        <v>12.37090506587106</v>
      </c>
      <c r="U170" t="s">
        <v>37</v>
      </c>
      <c r="V170">
        <f>'VATtax et trade tax et ipc '!AI170</f>
        <v>23.281238528532079</v>
      </c>
      <c r="W170" s="9">
        <v>1.5266225674596734</v>
      </c>
      <c r="X170">
        <f>'VATtax et trade tax et ipc '!AM170</f>
        <v>7.3109611794200786</v>
      </c>
      <c r="Z170">
        <v>11.142120649667547</v>
      </c>
      <c r="AA170">
        <v>0</v>
      </c>
      <c r="AB170">
        <v>0</v>
      </c>
      <c r="AC170">
        <v>5.2952621441333587</v>
      </c>
    </row>
    <row r="171" spans="1:29" ht="14.4" x14ac:dyDescent="0.3">
      <c r="A171" t="s">
        <v>372</v>
      </c>
      <c r="B171" s="4">
        <f>Tx_croissance!AH171</f>
        <v>1.5552974657150553</v>
      </c>
      <c r="C171" s="4">
        <f t="shared" si="2"/>
        <v>9.1625501818163784</v>
      </c>
      <c r="D171" s="4">
        <v>37.576547560255982</v>
      </c>
      <c r="E171" s="4">
        <v>1.0773740277968606</v>
      </c>
      <c r="F171" s="4">
        <v>-1.2559093336264286</v>
      </c>
      <c r="G171" s="4">
        <v>73.007136404697377</v>
      </c>
      <c r="H171" s="4">
        <v>0.79306045547127724</v>
      </c>
      <c r="I171" s="4">
        <v>78.61243615831647</v>
      </c>
      <c r="J171" s="4">
        <v>31.784757977440254</v>
      </c>
      <c r="K171" s="4">
        <v>9.5427343164171443</v>
      </c>
      <c r="L171" s="4">
        <v>0.77952598904569925</v>
      </c>
      <c r="M171" s="4">
        <v>9.6079889781928329E-2</v>
      </c>
      <c r="N171" s="4">
        <v>0.33847530873026699</v>
      </c>
      <c r="O171" s="4">
        <v>0.16465287936928988</v>
      </c>
      <c r="P171">
        <v>9533.337849050793</v>
      </c>
      <c r="Q171">
        <v>28.51012414000429</v>
      </c>
      <c r="R171">
        <v>28.53625666692443</v>
      </c>
      <c r="S171">
        <v>20.40666666666667</v>
      </c>
      <c r="T171">
        <v>22.055641269295972</v>
      </c>
      <c r="U171">
        <v>85.678740678311968</v>
      </c>
      <c r="V171">
        <f>'VATtax et trade tax et ipc '!AI171</f>
        <v>15.127886061317843</v>
      </c>
      <c r="W171" s="9">
        <v>4.2764595869844397</v>
      </c>
      <c r="X171">
        <f>'VATtax et trade tax et ipc '!AM171</f>
        <v>9.8870552456141318</v>
      </c>
      <c r="Y171">
        <v>25.973655769136144</v>
      </c>
      <c r="Z171">
        <v>30.008349396312511</v>
      </c>
      <c r="AA171">
        <v>0</v>
      </c>
      <c r="AB171">
        <v>0</v>
      </c>
      <c r="AC171">
        <v>27.88848668337911</v>
      </c>
    </row>
    <row r="172" spans="1:29" ht="14.4" x14ac:dyDescent="0.3">
      <c r="A172" t="s">
        <v>374</v>
      </c>
      <c r="B172" s="4">
        <f>Tx_croissance!AH172</f>
        <v>1.5240339189976027</v>
      </c>
      <c r="C172" s="4">
        <f t="shared" si="2"/>
        <v>6.032405258211611</v>
      </c>
      <c r="D172" s="4">
        <v>12.387765055014793</v>
      </c>
      <c r="E172" s="4">
        <v>2.465501549298041</v>
      </c>
      <c r="F172" s="4">
        <v>2.174927969773611</v>
      </c>
      <c r="G172" s="4">
        <v>51.45366666666667</v>
      </c>
      <c r="H172" s="4">
        <v>-0.47133636319388889</v>
      </c>
      <c r="I172" s="4">
        <v>101.62461916605646</v>
      </c>
      <c r="J172" s="4">
        <v>107.12529945373535</v>
      </c>
      <c r="K172" s="4">
        <v>89.823834737141922</v>
      </c>
      <c r="L172" s="4">
        <v>-0.78514684488375952</v>
      </c>
      <c r="M172" s="4">
        <v>-1.0282900507251413</v>
      </c>
      <c r="N172" s="4">
        <v>-0.98774503916501921</v>
      </c>
      <c r="O172" s="4">
        <v>-0.34632595659544102</v>
      </c>
      <c r="P172">
        <v>416.71613484602778</v>
      </c>
      <c r="Q172" t="s">
        <v>37</v>
      </c>
      <c r="R172" t="e">
        <v>#DIV/0!</v>
      </c>
      <c r="S172">
        <v>11.1</v>
      </c>
      <c r="T172" t="e">
        <v>#DIV/0!</v>
      </c>
      <c r="U172" t="s">
        <v>37</v>
      </c>
      <c r="V172" t="str">
        <f>'VATtax et trade tax et ipc '!AI172</f>
        <v>NA</v>
      </c>
      <c r="W172" s="9" t="str">
        <v>NA</v>
      </c>
      <c r="X172" t="str">
        <f>'VATtax et trade tax et ipc '!AM172</f>
        <v>NA</v>
      </c>
      <c r="Z172">
        <v>5.5728660562624226</v>
      </c>
      <c r="AA172">
        <v>0</v>
      </c>
      <c r="AB172">
        <v>1</v>
      </c>
      <c r="AC172" t="s">
        <v>37</v>
      </c>
    </row>
    <row r="173" spans="1:29" ht="14.4" x14ac:dyDescent="0.3">
      <c r="A173" t="s">
        <v>376</v>
      </c>
      <c r="B173" s="4">
        <f>Tx_croissance!AH173</f>
        <v>2.993055034378167</v>
      </c>
      <c r="C173" s="4">
        <f t="shared" si="2"/>
        <v>10.321536455356226</v>
      </c>
      <c r="D173" s="4">
        <v>27.434078029685484</v>
      </c>
      <c r="E173" s="4">
        <v>1.785692007591535</v>
      </c>
      <c r="F173" s="4">
        <v>0.68184783061345422</v>
      </c>
      <c r="G173" s="4">
        <v>80.519783197831956</v>
      </c>
      <c r="H173" s="4">
        <v>1.2695075497031203</v>
      </c>
      <c r="I173" s="4">
        <v>103.19520167300573</v>
      </c>
      <c r="J173" s="4" t="s">
        <v>37</v>
      </c>
      <c r="K173" s="4" t="s">
        <v>37</v>
      </c>
      <c r="L173" s="4">
        <v>2.1397637029488878</v>
      </c>
      <c r="M173" s="4">
        <v>1.9981325666109726</v>
      </c>
      <c r="N173" s="4">
        <v>1.6361315747102101</v>
      </c>
      <c r="O173" s="4">
        <v>-9.0346254408359528E-2</v>
      </c>
      <c r="P173">
        <v>30379.899114459811</v>
      </c>
      <c r="Q173">
        <v>14.58625840461219</v>
      </c>
      <c r="R173">
        <v>46.582734279670085</v>
      </c>
      <c r="S173">
        <v>4.28</v>
      </c>
      <c r="T173">
        <v>31.031616316394363</v>
      </c>
      <c r="U173">
        <v>100.70223428380895</v>
      </c>
      <c r="V173">
        <f>'VATtax et trade tax et ipc '!AI173</f>
        <v>3.9955347423693364</v>
      </c>
      <c r="W173" s="9">
        <v>0.1058087367767864</v>
      </c>
      <c r="X173">
        <f>'VATtax et trade tax et ipc '!AM173</f>
        <v>5.9715657315953772</v>
      </c>
      <c r="Y173">
        <v>15.768503647259873</v>
      </c>
      <c r="Z173">
        <v>33.18616813148936</v>
      </c>
      <c r="AA173">
        <v>0</v>
      </c>
      <c r="AB173">
        <v>0</v>
      </c>
      <c r="AC173">
        <v>1.5022084892844494</v>
      </c>
    </row>
    <row r="174" spans="1:29" ht="14.4" x14ac:dyDescent="0.3">
      <c r="A174" t="s">
        <v>378</v>
      </c>
      <c r="B174" s="4" t="str">
        <f>Tx_croissance!AH174</f>
        <v>NA</v>
      </c>
      <c r="C174" s="4" t="str">
        <f t="shared" si="2"/>
        <v>NA</v>
      </c>
      <c r="D174" s="4" t="s">
        <v>37</v>
      </c>
      <c r="E174" s="4">
        <v>1.0722814169654591</v>
      </c>
      <c r="F174" s="4">
        <v>0.97935543954372362</v>
      </c>
      <c r="G174" s="4">
        <v>74.878074074074064</v>
      </c>
      <c r="H174" s="4" t="s">
        <v>37</v>
      </c>
      <c r="I174" s="4">
        <v>114.30331103006993</v>
      </c>
      <c r="J174" s="4">
        <v>37.742160797119141</v>
      </c>
      <c r="K174" s="4">
        <v>1.8582933346430466</v>
      </c>
      <c r="L174" s="4" t="s">
        <v>37</v>
      </c>
      <c r="M174" s="4" t="s">
        <v>37</v>
      </c>
      <c r="N174" s="4" t="s">
        <v>37</v>
      </c>
      <c r="O174" s="4" t="s">
        <v>37</v>
      </c>
      <c r="P174" t="s">
        <v>37</v>
      </c>
      <c r="Q174" t="s">
        <v>37</v>
      </c>
      <c r="R174" t="e">
        <v>#DIV/0!</v>
      </c>
      <c r="S174" t="e">
        <v>#DIV/0!</v>
      </c>
      <c r="T174" t="e">
        <v>#DIV/0!</v>
      </c>
      <c r="U174" t="s">
        <v>37</v>
      </c>
      <c r="V174" t="str">
        <f>'VATtax et trade tax et ipc '!AI174</f>
        <v>NA</v>
      </c>
      <c r="W174" s="9" t="str">
        <v>NA</v>
      </c>
      <c r="X174" t="str">
        <f>'VATtax et trade tax et ipc '!AM174</f>
        <v>NA</v>
      </c>
      <c r="AA174">
        <v>0</v>
      </c>
      <c r="AB174">
        <v>0</v>
      </c>
      <c r="AC174" t="s">
        <v>37</v>
      </c>
    </row>
    <row r="175" spans="1:29" ht="14.4" x14ac:dyDescent="0.3">
      <c r="A175" t="s">
        <v>380</v>
      </c>
      <c r="B175" s="4">
        <f>Tx_croissance!AH175</f>
        <v>3.4565177830178984</v>
      </c>
      <c r="C175" s="4">
        <f t="shared" si="2"/>
        <v>8.9282573990456537</v>
      </c>
      <c r="D175" s="4">
        <v>24.565212742467651</v>
      </c>
      <c r="E175" s="4">
        <v>5.6611437813411568E-2</v>
      </c>
      <c r="F175" s="4">
        <v>-0.92262261478524421</v>
      </c>
      <c r="G175" s="4">
        <v>74.830803974706427</v>
      </c>
      <c r="H175" s="4">
        <v>0.86569283530116092</v>
      </c>
      <c r="I175" s="4">
        <v>106.15526763916017</v>
      </c>
      <c r="J175" s="4">
        <v>64.792566208612357</v>
      </c>
      <c r="K175" s="4">
        <v>24.347530593872076</v>
      </c>
      <c r="L175" s="4">
        <v>0.21278067476426557</v>
      </c>
      <c r="M175" s="4">
        <v>0.89838030437628458</v>
      </c>
      <c r="N175" s="4">
        <v>0.46998659521341324</v>
      </c>
      <c r="O175" s="4">
        <v>0.90154992540677392</v>
      </c>
      <c r="P175">
        <v>7542.111028313916</v>
      </c>
      <c r="Q175">
        <v>18.040069850520801</v>
      </c>
      <c r="R175">
        <v>36.229120988254252</v>
      </c>
      <c r="S175">
        <v>8.3800000000000008</v>
      </c>
      <c r="T175">
        <v>17.886529390865707</v>
      </c>
      <c r="U175">
        <v>53.222732774558658</v>
      </c>
      <c r="V175">
        <f>'VATtax et trade tax et ipc '!AI175</f>
        <v>10.726070532844</v>
      </c>
      <c r="W175" s="9">
        <v>0.16574683746726829</v>
      </c>
      <c r="X175">
        <f>'VATtax et trade tax et ipc '!AM175</f>
        <v>6.2940345984259665</v>
      </c>
      <c r="Y175">
        <v>23.241738851719411</v>
      </c>
      <c r="Z175">
        <v>26.074818370482127</v>
      </c>
      <c r="AA175">
        <v>0</v>
      </c>
      <c r="AB175">
        <v>0</v>
      </c>
      <c r="AC175">
        <v>1.8761630324573497</v>
      </c>
    </row>
    <row r="176" spans="1:29" ht="14.4" x14ac:dyDescent="0.3">
      <c r="A176" t="s">
        <v>382</v>
      </c>
      <c r="B176" s="4">
        <f>Tx_croissance!AH176</f>
        <v>2.4245015156223459</v>
      </c>
      <c r="C176" s="4">
        <f t="shared" si="2"/>
        <v>9.493718677989742</v>
      </c>
      <c r="D176" s="4">
        <v>23.027423100514621</v>
      </c>
      <c r="E176" s="4">
        <v>0.21347870348009829</v>
      </c>
      <c r="F176" s="4">
        <v>-2.1065071026484179</v>
      </c>
      <c r="G176" s="4">
        <v>78.310885275519439</v>
      </c>
      <c r="H176" s="4">
        <v>0.98533149808645282</v>
      </c>
      <c r="I176" s="4">
        <v>94.747672137092138</v>
      </c>
      <c r="J176" s="4">
        <v>75.658456563949585</v>
      </c>
      <c r="K176" s="4">
        <v>58.080292628361626</v>
      </c>
      <c r="L176" s="4">
        <v>0.88003657509883204</v>
      </c>
      <c r="M176" s="4">
        <v>0.78589191287756011</v>
      </c>
      <c r="N176" s="4">
        <v>0.9927286083499588</v>
      </c>
      <c r="O176" s="4">
        <v>1.0449198683102923</v>
      </c>
      <c r="P176">
        <v>13276.073086570934</v>
      </c>
      <c r="Q176">
        <v>19.233225799950187</v>
      </c>
      <c r="R176">
        <v>25.221187318827134</v>
      </c>
      <c r="S176">
        <v>13.739999999999993</v>
      </c>
      <c r="T176">
        <v>12.268567471368259</v>
      </c>
      <c r="U176" t="s">
        <v>37</v>
      </c>
      <c r="V176">
        <f>'VATtax et trade tax et ipc '!AI176</f>
        <v>12.995470283370105</v>
      </c>
      <c r="W176" s="9">
        <v>0.56699353468134572</v>
      </c>
      <c r="X176">
        <f>'VATtax et trade tax et ipc '!AM176</f>
        <v>4.6600455376687133</v>
      </c>
      <c r="Y176">
        <v>19.425470205410381</v>
      </c>
      <c r="Z176">
        <v>23.125962875953643</v>
      </c>
      <c r="AA176">
        <v>0</v>
      </c>
      <c r="AB176">
        <v>0</v>
      </c>
      <c r="AC176">
        <v>6.1704721724840059</v>
      </c>
    </row>
    <row r="177" spans="1:29" ht="14.4" x14ac:dyDescent="0.3">
      <c r="A177" t="s">
        <v>384</v>
      </c>
      <c r="B177" s="4">
        <f>Tx_croissance!AH177</f>
        <v>-0.81079973610675982</v>
      </c>
      <c r="C177" s="4">
        <f t="shared" si="2"/>
        <v>7.7657814879506546</v>
      </c>
      <c r="D177" s="4">
        <v>12.406318166424215</v>
      </c>
      <c r="E177" s="4">
        <v>2.4522433012837568</v>
      </c>
      <c r="F177" s="4">
        <v>0.30284910602495058</v>
      </c>
      <c r="G177" s="4">
        <v>68.435296296296315</v>
      </c>
      <c r="H177" s="4">
        <v>0.30504501502340026</v>
      </c>
      <c r="I177" s="4">
        <v>15.919819831848134</v>
      </c>
      <c r="J177" s="4">
        <v>5.7686972618103045</v>
      </c>
      <c r="K177" s="4" t="s">
        <v>37</v>
      </c>
      <c r="L177" s="4">
        <v>-0.10805377271026377</v>
      </c>
      <c r="M177" s="4">
        <v>-0.99928217812588305</v>
      </c>
      <c r="N177" s="4">
        <v>-0.27244938723742956</v>
      </c>
      <c r="O177" s="4">
        <v>0.24472964736438974</v>
      </c>
      <c r="P177">
        <v>2358.500908556493</v>
      </c>
      <c r="Q177">
        <v>24.305809665986008</v>
      </c>
      <c r="R177">
        <v>34.22586735215215</v>
      </c>
      <c r="S177">
        <v>18.686666666666671</v>
      </c>
      <c r="T177">
        <v>22.417730252940014</v>
      </c>
      <c r="U177">
        <v>9.2638271222916231</v>
      </c>
      <c r="V177">
        <f>'VATtax et trade tax et ipc '!AI177</f>
        <v>9.3932906752861047</v>
      </c>
      <c r="W177" s="9">
        <v>15.662135012269962</v>
      </c>
      <c r="X177">
        <f>'VATtax et trade tax et ipc '!AM177</f>
        <v>13.24703188183719</v>
      </c>
      <c r="Z177">
        <v>6.3169352781821937</v>
      </c>
      <c r="AA177">
        <v>0</v>
      </c>
      <c r="AB177">
        <v>1</v>
      </c>
      <c r="AC177">
        <v>20.081902971230686</v>
      </c>
    </row>
    <row r="178" spans="1:29" ht="14.4" x14ac:dyDescent="0.3">
      <c r="A178" t="s">
        <v>386</v>
      </c>
      <c r="B178" s="4" t="str">
        <f>Tx_croissance!AH178</f>
        <v>NA</v>
      </c>
      <c r="C178" s="4" t="str">
        <f t="shared" si="2"/>
        <v>NA</v>
      </c>
      <c r="D178" s="4">
        <v>15.07136984750079</v>
      </c>
      <c r="E178" s="4">
        <v>3.3128668221123463</v>
      </c>
      <c r="F178" s="4">
        <v>-2.1421282490094513</v>
      </c>
      <c r="G178" s="4">
        <v>52.365148148148151</v>
      </c>
      <c r="H178" s="4">
        <v>-2.6434101064999886</v>
      </c>
      <c r="I178" s="4">
        <v>99.388308317764924</v>
      </c>
      <c r="J178" s="4">
        <v>91.105416339376703</v>
      </c>
      <c r="K178" s="4">
        <v>53.494314020330258</v>
      </c>
      <c r="L178" s="4">
        <v>-1.6160893440246575</v>
      </c>
      <c r="M178" s="4">
        <v>-2.1971065998077388</v>
      </c>
      <c r="N178" s="4">
        <v>-2.2982054104407625</v>
      </c>
      <c r="O178" s="4">
        <v>-1.8755163053671513</v>
      </c>
      <c r="P178" t="s">
        <v>37</v>
      </c>
      <c r="Q178">
        <v>7.4358120524980399E-5</v>
      </c>
      <c r="R178">
        <v>5.6876539492075047</v>
      </c>
      <c r="S178" t="e">
        <v>#DIV/0!</v>
      </c>
      <c r="T178">
        <v>2.5871397375232732</v>
      </c>
      <c r="U178" t="s">
        <v>37</v>
      </c>
      <c r="V178">
        <f>'VATtax et trade tax et ipc '!AI178</f>
        <v>2.484229200198951E-5</v>
      </c>
      <c r="W178" s="9">
        <v>4.9976282553041888E-5</v>
      </c>
      <c r="X178">
        <f>'VATtax et trade tax et ipc '!AM178</f>
        <v>4.5675915613998583E-6</v>
      </c>
      <c r="AA178">
        <v>0</v>
      </c>
      <c r="AB178">
        <v>1</v>
      </c>
      <c r="AC178">
        <v>60.334855397561569</v>
      </c>
    </row>
    <row r="179" spans="1:29" ht="14.4" x14ac:dyDescent="0.3">
      <c r="A179" t="s">
        <v>388</v>
      </c>
      <c r="B179" s="4">
        <f>Tx_croissance!AH179</f>
        <v>1.1760834709418244</v>
      </c>
      <c r="C179" s="4">
        <f t="shared" si="2"/>
        <v>8.3875559304939031</v>
      </c>
      <c r="D179" s="4">
        <v>16.41479687496982</v>
      </c>
      <c r="E179" s="4">
        <v>1.1612910619382679</v>
      </c>
      <c r="F179" s="4">
        <v>1.1751251568396883</v>
      </c>
      <c r="G179" s="4">
        <v>60.041037037037036</v>
      </c>
      <c r="H179" s="4">
        <v>-0.20591272553429005</v>
      </c>
      <c r="I179" s="4">
        <v>78.326379776000948</v>
      </c>
      <c r="J179" s="4">
        <v>10.889630317687999</v>
      </c>
      <c r="K179" s="4">
        <v>0.83000257611274697</v>
      </c>
      <c r="L179" s="4">
        <v>0.13003143906826162</v>
      </c>
      <c r="M179" s="4">
        <v>0.37729457323439419</v>
      </c>
      <c r="N179" s="4">
        <v>2.7635134676529564E-2</v>
      </c>
      <c r="O179" s="4">
        <v>0.66356337567170465</v>
      </c>
      <c r="P179">
        <v>4392.0700411200105</v>
      </c>
      <c r="Q179">
        <v>20.941477495943101</v>
      </c>
      <c r="R179">
        <v>56.36783396556504</v>
      </c>
      <c r="S179">
        <v>23.060000000000002</v>
      </c>
      <c r="T179">
        <v>49.950894993942249</v>
      </c>
      <c r="U179">
        <v>53.683316850877603</v>
      </c>
      <c r="V179">
        <f>'VATtax et trade tax et ipc '!AI179</f>
        <v>8.7606850266413581</v>
      </c>
      <c r="W179" s="9">
        <v>0.89170829866017964</v>
      </c>
      <c r="X179">
        <f>'VATtax et trade tax et ipc '!AM179</f>
        <v>12.76404391620316</v>
      </c>
      <c r="Y179">
        <v>20.295526021468145</v>
      </c>
      <c r="Z179">
        <v>15.702423984794633</v>
      </c>
      <c r="AA179">
        <v>0</v>
      </c>
      <c r="AB179">
        <v>0</v>
      </c>
      <c r="AC179">
        <v>3.7178244591355156</v>
      </c>
    </row>
    <row r="180" spans="1:29" ht="14.4" x14ac:dyDescent="0.3">
      <c r="A180" t="s">
        <v>390</v>
      </c>
      <c r="B180" s="4" t="str">
        <f>Tx_croissance!AH180</f>
        <v>NA</v>
      </c>
      <c r="C180" s="4" t="str">
        <f t="shared" si="2"/>
        <v>NA</v>
      </c>
      <c r="D180" s="4">
        <v>9.923480314589991</v>
      </c>
      <c r="E180" s="4">
        <v>2.6869994238475559</v>
      </c>
      <c r="F180" s="4">
        <v>-0.18274584957786519</v>
      </c>
      <c r="G180" s="4">
        <v>49.132925925925925</v>
      </c>
      <c r="H180" s="4">
        <v>-2.1530322233835841</v>
      </c>
      <c r="I180" s="4">
        <v>117.20955276489248</v>
      </c>
      <c r="J180" s="4">
        <v>57.645801544189467</v>
      </c>
      <c r="K180" s="4">
        <v>8.5158013956887419</v>
      </c>
      <c r="L180" s="4">
        <v>-1.5863598401729866</v>
      </c>
      <c r="M180" s="4">
        <v>-1.8246348897616056</v>
      </c>
      <c r="N180" s="4">
        <v>-1.8343079487482699</v>
      </c>
      <c r="O180" s="4">
        <v>-1.6614078879356386</v>
      </c>
      <c r="P180" t="s">
        <v>37</v>
      </c>
      <c r="Q180" t="s">
        <v>37</v>
      </c>
      <c r="R180" t="e">
        <v>#DIV/0!</v>
      </c>
      <c r="S180">
        <v>7.7875000000000014</v>
      </c>
      <c r="T180" t="e">
        <v>#DIV/0!</v>
      </c>
      <c r="U180" t="s">
        <v>37</v>
      </c>
      <c r="V180" t="str">
        <f>'VATtax et trade tax et ipc '!AI180</f>
        <v>NA</v>
      </c>
      <c r="W180" s="9" t="str">
        <v>NA</v>
      </c>
      <c r="X180" t="str">
        <f>'VATtax et trade tax et ipc '!AM180</f>
        <v>NA</v>
      </c>
      <c r="AA180">
        <v>0</v>
      </c>
      <c r="AB180">
        <v>1</v>
      </c>
      <c r="AC180" t="s">
        <v>37</v>
      </c>
    </row>
    <row r="181" spans="1:29" ht="14.4" x14ac:dyDescent="0.3">
      <c r="A181" t="s">
        <v>392</v>
      </c>
      <c r="B181" s="4">
        <f>Tx_croissance!AH181</f>
        <v>1.2136377824768729</v>
      </c>
      <c r="C181" s="4">
        <f t="shared" si="2"/>
        <v>9.9035770885224625</v>
      </c>
      <c r="D181" s="4">
        <v>22.736375173625468</v>
      </c>
      <c r="E181" s="4">
        <v>0.67510449462194821</v>
      </c>
      <c r="F181" s="4">
        <v>0.7630927750938814</v>
      </c>
      <c r="G181" s="4">
        <v>81.075989159891591</v>
      </c>
      <c r="H181" s="4">
        <v>0.10715167647382857</v>
      </c>
      <c r="I181" s="4">
        <v>105.56086578369145</v>
      </c>
      <c r="J181" s="4">
        <v>71.131617069244385</v>
      </c>
      <c r="K181" s="4">
        <v>10.038929939270044</v>
      </c>
      <c r="L181" s="4">
        <v>0.99367788185675898</v>
      </c>
      <c r="M181" s="4">
        <v>1.0660700549681987</v>
      </c>
      <c r="N181" s="4">
        <v>1.0912676031390827</v>
      </c>
      <c r="O181" s="4">
        <v>1.1211390097935994</v>
      </c>
      <c r="P181">
        <v>20001.790799896004</v>
      </c>
      <c r="Q181">
        <v>12.50914414578237</v>
      </c>
      <c r="R181">
        <v>41.610001277726312</v>
      </c>
      <c r="S181">
        <v>15.75333333333333</v>
      </c>
      <c r="T181">
        <v>19.401155272217018</v>
      </c>
      <c r="U181">
        <v>72.105717722500955</v>
      </c>
      <c r="V181">
        <f>'VATtax et trade tax et ipc '!AI181</f>
        <v>9.5718607572456751</v>
      </c>
      <c r="W181" s="9" t="str">
        <v>NA</v>
      </c>
      <c r="X181">
        <f>'VATtax et trade tax et ipc '!AM181</f>
        <v>6.8830612422192301</v>
      </c>
      <c r="Z181">
        <v>21.896792795296445</v>
      </c>
      <c r="AA181">
        <v>0</v>
      </c>
      <c r="AB181">
        <v>0</v>
      </c>
      <c r="AC181" t="s">
        <v>37</v>
      </c>
    </row>
    <row r="182" spans="1:29" ht="14.4" x14ac:dyDescent="0.3">
      <c r="A182" t="s">
        <v>394</v>
      </c>
      <c r="B182" s="4">
        <f>Tx_croissance!AH182</f>
        <v>3.3797502032089977</v>
      </c>
      <c r="C182" s="4">
        <f t="shared" si="2"/>
        <v>7.3936144592014719</v>
      </c>
      <c r="D182" s="4">
        <v>25.454369017683529</v>
      </c>
      <c r="E182" s="4">
        <v>0.74361456063352449</v>
      </c>
      <c r="F182" s="4">
        <v>0.48987219874796084</v>
      </c>
      <c r="G182" s="4">
        <v>72.915962962962965</v>
      </c>
      <c r="H182" s="4">
        <v>-0.8412209382125484</v>
      </c>
      <c r="I182" s="4">
        <v>101.01747272632738</v>
      </c>
      <c r="J182" s="4">
        <v>91.805547926161026</v>
      </c>
      <c r="K182" s="4">
        <v>42.551019103438755</v>
      </c>
      <c r="L182" s="4">
        <v>-0.28524555312469596</v>
      </c>
      <c r="M182" s="4">
        <v>-0.16923802532255652</v>
      </c>
      <c r="N182" s="4">
        <v>3.9143593664145306E-2</v>
      </c>
      <c r="O182" s="4">
        <v>-0.27476009637272603</v>
      </c>
      <c r="P182">
        <v>1625.5710675316905</v>
      </c>
      <c r="Q182">
        <v>13.492432431213336</v>
      </c>
      <c r="R182">
        <v>18.178148378331347</v>
      </c>
      <c r="S182">
        <v>12.679999999999996</v>
      </c>
      <c r="T182">
        <v>15.646977708413518</v>
      </c>
      <c r="U182">
        <v>86.649844275581927</v>
      </c>
      <c r="V182">
        <f>'VATtax et trade tax et ipc '!AI182</f>
        <v>5.4765906798428086</v>
      </c>
      <c r="W182" s="9">
        <v>2.0617385489366882</v>
      </c>
      <c r="X182">
        <f>'VATtax et trade tax et ipc '!AM182</f>
        <v>1.9102294165951015</v>
      </c>
      <c r="Y182">
        <v>17.752017155556089</v>
      </c>
      <c r="Z182">
        <v>25.588823730255239</v>
      </c>
      <c r="AA182">
        <v>0</v>
      </c>
      <c r="AB182">
        <v>1</v>
      </c>
      <c r="AC182">
        <v>17.163052150940068</v>
      </c>
    </row>
    <row r="183" spans="1:29" ht="14.4" x14ac:dyDescent="0.3">
      <c r="A183" t="s">
        <v>396</v>
      </c>
      <c r="B183" s="4">
        <f>Tx_croissance!AH183</f>
        <v>2.1007507463645769</v>
      </c>
      <c r="C183" s="4">
        <f t="shared" si="2"/>
        <v>9.3633550005916586</v>
      </c>
      <c r="D183" s="4" t="s">
        <v>37</v>
      </c>
      <c r="E183" s="4">
        <v>0.45120034392547026</v>
      </c>
      <c r="F183" s="4">
        <v>0.57090945228150036</v>
      </c>
      <c r="G183" s="4">
        <v>70.577629629629627</v>
      </c>
      <c r="H183" s="4">
        <v>0.91701200604438671</v>
      </c>
      <c r="I183" s="4">
        <v>99.47005406132449</v>
      </c>
      <c r="J183" s="4">
        <v>103.43875856752759</v>
      </c>
      <c r="K183" s="4">
        <v>71.943007998996308</v>
      </c>
      <c r="L183" s="4">
        <v>0.77031511734974989</v>
      </c>
      <c r="M183" s="4">
        <v>0.82167423006735385</v>
      </c>
      <c r="N183" s="4">
        <v>0.69828848789135611</v>
      </c>
      <c r="O183" s="4">
        <v>0.98511880263686313</v>
      </c>
      <c r="P183">
        <v>11653.420261584484</v>
      </c>
      <c r="Q183">
        <v>17.959329547249808</v>
      </c>
      <c r="R183">
        <v>27.283986279667836</v>
      </c>
      <c r="S183">
        <v>31.806666666666668</v>
      </c>
      <c r="T183">
        <v>18.756007218594732</v>
      </c>
      <c r="U183">
        <v>89.163263776783651</v>
      </c>
      <c r="V183">
        <f>'VATtax et trade tax et ipc '!AI183</f>
        <v>6.8580742298264896</v>
      </c>
      <c r="W183" s="9">
        <v>6.877411069468959</v>
      </c>
      <c r="X183">
        <f>'VATtax et trade tax et ipc '!AM183</f>
        <v>5.1829880699468314</v>
      </c>
      <c r="AA183">
        <v>0</v>
      </c>
      <c r="AB183">
        <v>0</v>
      </c>
      <c r="AC183">
        <v>24.186273266566349</v>
      </c>
    </row>
    <row r="184" spans="1:29" ht="14.4" x14ac:dyDescent="0.3">
      <c r="A184" t="s">
        <v>398</v>
      </c>
      <c r="B184" s="4">
        <f>Tx_croissance!AH184</f>
        <v>0.84939125696121831</v>
      </c>
      <c r="C184" s="4">
        <f t="shared" si="2"/>
        <v>9.0591801412738313</v>
      </c>
      <c r="D184" s="4" t="s">
        <v>37</v>
      </c>
      <c r="E184" s="4">
        <v>0.63497776079349866</v>
      </c>
      <c r="F184" s="4">
        <v>-1.3633026480674741</v>
      </c>
      <c r="G184" s="4">
        <v>72.179037037037034</v>
      </c>
      <c r="H184" s="4">
        <v>0.86018029972910848</v>
      </c>
      <c r="I184" s="4">
        <v>108.86607728181062</v>
      </c>
      <c r="J184" s="4">
        <v>127.8851971096462</v>
      </c>
      <c r="K184" s="4">
        <v>69.51586786905925</v>
      </c>
      <c r="L184" s="4">
        <v>0.85812095278187805</v>
      </c>
      <c r="M184" s="4">
        <v>0.45447548753336847</v>
      </c>
      <c r="N184" s="4">
        <v>0.75617387394110358</v>
      </c>
      <c r="O184" s="4">
        <v>1.0457420622309053</v>
      </c>
      <c r="P184">
        <v>8597.0993569575712</v>
      </c>
      <c r="Q184">
        <v>17.820962743127055</v>
      </c>
      <c r="R184">
        <v>27.964901318296764</v>
      </c>
      <c r="S184">
        <v>25.820000000000004</v>
      </c>
      <c r="T184">
        <v>25.001706101435161</v>
      </c>
      <c r="U184">
        <v>44.954648205452905</v>
      </c>
      <c r="V184">
        <f>'VATtax et trade tax et ipc '!AI184</f>
        <v>4.8311746328729583</v>
      </c>
      <c r="W184" s="9">
        <v>7.8976995811909516</v>
      </c>
      <c r="X184">
        <f>'VATtax et trade tax et ipc '!AM184</f>
        <v>4.9694624041146565</v>
      </c>
      <c r="AA184">
        <v>0</v>
      </c>
      <c r="AB184">
        <v>0</v>
      </c>
      <c r="AC184">
        <v>11.884694313979399</v>
      </c>
    </row>
    <row r="185" spans="1:29" ht="14.4" x14ac:dyDescent="0.3">
      <c r="A185" t="s">
        <v>400</v>
      </c>
      <c r="B185" s="4" t="str">
        <f>Tx_croissance!AH185</f>
        <v>NA</v>
      </c>
      <c r="C185" s="4" t="str">
        <f t="shared" si="2"/>
        <v>NA</v>
      </c>
      <c r="D185" s="4" t="s">
        <v>37</v>
      </c>
      <c r="E185" s="4">
        <v>0.28167521469670387</v>
      </c>
      <c r="F185" s="4">
        <v>-0.33183242400021601</v>
      </c>
      <c r="G185" s="4">
        <v>78.111814814814792</v>
      </c>
      <c r="H185" s="4" t="s">
        <v>37</v>
      </c>
      <c r="I185" s="4">
        <v>111.68927319844572</v>
      </c>
      <c r="J185" s="4">
        <v>56.877847480773916</v>
      </c>
      <c r="K185" s="4">
        <v>5.1839300261603434</v>
      </c>
      <c r="L185" s="4" t="s">
        <v>37</v>
      </c>
      <c r="M185" s="4" t="s">
        <v>37</v>
      </c>
      <c r="N185" s="4" t="s">
        <v>37</v>
      </c>
      <c r="O185" s="4" t="s">
        <v>37</v>
      </c>
      <c r="P185" t="s">
        <v>37</v>
      </c>
      <c r="Q185" t="s">
        <v>37</v>
      </c>
      <c r="R185" t="e">
        <v>#DIV/0!</v>
      </c>
      <c r="S185" t="e">
        <v>#DIV/0!</v>
      </c>
      <c r="T185" t="e">
        <v>#DIV/0!</v>
      </c>
      <c r="U185" t="s">
        <v>37</v>
      </c>
      <c r="V185" t="str">
        <f>'VATtax et trade tax et ipc '!AI185</f>
        <v>NA</v>
      </c>
      <c r="W185" s="9" t="str">
        <v>NA</v>
      </c>
      <c r="X185" t="str">
        <f>'VATtax et trade tax et ipc '!AM185</f>
        <v>NA</v>
      </c>
      <c r="AA185">
        <v>0</v>
      </c>
      <c r="AB185">
        <v>0</v>
      </c>
      <c r="AC185" t="s">
        <v>37</v>
      </c>
    </row>
    <row r="186" spans="1:29" ht="14.4" x14ac:dyDescent="0.3">
      <c r="A186" t="s">
        <v>402</v>
      </c>
      <c r="B186" s="4">
        <f>Tx_croissance!AH186</f>
        <v>2.4302167842413791</v>
      </c>
      <c r="C186" s="4">
        <f t="shared" si="2"/>
        <v>8.3948352933329655</v>
      </c>
      <c r="D186" s="4" t="s">
        <v>37</v>
      </c>
      <c r="E186" s="4">
        <v>-0.32791544833069514</v>
      </c>
      <c r="F186" s="4">
        <v>1.83152977625529</v>
      </c>
      <c r="G186" s="4">
        <v>73.087592592592571</v>
      </c>
      <c r="H186" s="4">
        <v>0.91770357266068414</v>
      </c>
      <c r="I186" s="4" t="s">
        <v>37</v>
      </c>
      <c r="J186" s="4" t="s">
        <v>37</v>
      </c>
      <c r="K186" s="4">
        <v>3.9243000348409005</v>
      </c>
      <c r="L186" s="4">
        <v>0.85349032439683636</v>
      </c>
      <c r="M186" s="4">
        <v>0.42360607887569196</v>
      </c>
      <c r="N186" s="4">
        <v>0.74801400428016984</v>
      </c>
      <c r="O186" s="4">
        <v>0.9922397906581556</v>
      </c>
      <c r="P186">
        <v>4424.1581614057641</v>
      </c>
      <c r="Q186">
        <v>20.739035423144028</v>
      </c>
      <c r="R186">
        <v>28.8203158896759</v>
      </c>
      <c r="S186">
        <v>31.886666666666667</v>
      </c>
      <c r="T186">
        <v>24.102847248543799</v>
      </c>
      <c r="U186">
        <v>47.65061596842078</v>
      </c>
      <c r="V186">
        <f>'VATtax et trade tax et ipc '!AI186</f>
        <v>7.6658246357850288</v>
      </c>
      <c r="W186" s="9">
        <v>6.0668914077949667</v>
      </c>
      <c r="X186">
        <f>'VATtax et trade tax et ipc '!AM186</f>
        <v>5.5558391231599789</v>
      </c>
      <c r="Y186">
        <v>19.221302829282013</v>
      </c>
      <c r="AA186">
        <v>0</v>
      </c>
      <c r="AB186">
        <v>0</v>
      </c>
      <c r="AC186">
        <v>28.334024372321611</v>
      </c>
    </row>
    <row r="187" spans="1:29" ht="14.4" x14ac:dyDescent="0.3">
      <c r="A187" t="s">
        <v>404</v>
      </c>
      <c r="B187" s="4">
        <f>Tx_croissance!AH187</f>
        <v>0.41146354946308694</v>
      </c>
      <c r="C187" s="4">
        <f t="shared" si="2"/>
        <v>7.3184342290454962</v>
      </c>
      <c r="D187" s="4">
        <v>15.442457150394054</v>
      </c>
      <c r="E187" s="4">
        <v>2.5890808398933998</v>
      </c>
      <c r="F187" s="4">
        <v>1.9509777029355366</v>
      </c>
      <c r="G187" s="4">
        <v>60.434962962962963</v>
      </c>
      <c r="H187" s="4">
        <v>-2.1494941363732023</v>
      </c>
      <c r="I187" s="4">
        <v>101.35917718069894</v>
      </c>
      <c r="J187" s="4">
        <v>79.549130475079551</v>
      </c>
      <c r="K187" s="4">
        <v>10.958900878826775</v>
      </c>
      <c r="L187" s="4">
        <v>-1.3233251571655285</v>
      </c>
      <c r="M187" s="4">
        <v>-1.4221008072296772</v>
      </c>
      <c r="N187" s="4">
        <v>-1.3520616342624028</v>
      </c>
      <c r="O187" s="4">
        <v>-1.7022469391425465</v>
      </c>
      <c r="P187">
        <v>1507.84118652344</v>
      </c>
      <c r="Q187">
        <v>6.6917399242237234</v>
      </c>
      <c r="R187">
        <v>11.277546195722653</v>
      </c>
      <c r="S187">
        <v>13.633333333333333</v>
      </c>
      <c r="T187">
        <v>7.5062892773048491</v>
      </c>
      <c r="U187">
        <v>8.2641120568478037</v>
      </c>
      <c r="V187">
        <f>'VATtax et trade tax et ipc '!AI187</f>
        <v>0.67376592908654964</v>
      </c>
      <c r="W187" s="9">
        <v>0.23966593829360433</v>
      </c>
      <c r="X187">
        <f>'VATtax et trade tax et ipc '!AM187</f>
        <v>8.5135587762528914E-2</v>
      </c>
      <c r="Z187">
        <v>5.5391670895105003</v>
      </c>
      <c r="AA187">
        <v>0</v>
      </c>
      <c r="AB187">
        <v>1</v>
      </c>
      <c r="AC187">
        <v>32.039481677396786</v>
      </c>
    </row>
    <row r="188" spans="1:29" ht="14.4" x14ac:dyDescent="0.3">
      <c r="A188" t="s">
        <v>406</v>
      </c>
      <c r="B188" s="4">
        <f>Tx_croissance!AH188</f>
        <v>0.57677022698321423</v>
      </c>
      <c r="C188" s="4">
        <f t="shared" si="2"/>
        <v>8.7184418497379728</v>
      </c>
      <c r="D188" s="4">
        <v>42.080875445334989</v>
      </c>
      <c r="E188" s="4">
        <v>1.324386699002124</v>
      </c>
      <c r="F188" s="4">
        <v>-1.188465834905704</v>
      </c>
      <c r="G188" s="4">
        <v>68.475740740740719</v>
      </c>
      <c r="H188" s="4">
        <v>0.22808415353453401</v>
      </c>
      <c r="I188" s="4">
        <v>105.91936215487402</v>
      </c>
      <c r="J188" s="4">
        <v>55.683652531016968</v>
      </c>
      <c r="K188" s="4">
        <v>26.391553699970242</v>
      </c>
      <c r="L188" s="4">
        <v>-0.12113777722697709</v>
      </c>
      <c r="M188" s="4">
        <v>-0.61109991744160641</v>
      </c>
      <c r="N188" s="4">
        <v>-0.12189672008389611</v>
      </c>
      <c r="O188" s="4">
        <v>0.36473332407573866</v>
      </c>
      <c r="P188">
        <v>6114.6441272418278</v>
      </c>
      <c r="Q188" t="s">
        <v>37</v>
      </c>
      <c r="R188" t="e">
        <v>#DIV/0!</v>
      </c>
      <c r="S188">
        <v>27.899999999999991</v>
      </c>
      <c r="T188" t="e">
        <v>#DIV/0!</v>
      </c>
      <c r="U188" t="s">
        <v>37</v>
      </c>
      <c r="V188" t="str">
        <f>'VATtax et trade tax et ipc '!AI188</f>
        <v>NA</v>
      </c>
      <c r="W188" s="9" t="str">
        <v>NA</v>
      </c>
      <c r="X188" t="str">
        <f>'VATtax et trade tax et ipc '!AM188</f>
        <v>NA</v>
      </c>
      <c r="AA188">
        <v>0</v>
      </c>
      <c r="AB188">
        <v>0</v>
      </c>
      <c r="AC188" t="s">
        <v>37</v>
      </c>
    </row>
    <row r="189" spans="1:29" ht="14.4" x14ac:dyDescent="0.3">
      <c r="A189" t="s">
        <v>408</v>
      </c>
      <c r="B189" s="4">
        <f>Tx_croissance!AH189</f>
        <v>1.7931378158802191</v>
      </c>
      <c r="C189" s="4">
        <f t="shared" si="2"/>
        <v>10.45299871499021</v>
      </c>
      <c r="D189" s="4">
        <v>23.000841345116363</v>
      </c>
      <c r="E189" s="4">
        <v>0.63417683157057314</v>
      </c>
      <c r="F189" s="4">
        <v>1.1377822955449426</v>
      </c>
      <c r="G189" s="4">
        <v>81.017506775067758</v>
      </c>
      <c r="H189" s="4">
        <v>1.1642981717983887</v>
      </c>
      <c r="I189" s="4">
        <v>105.41420431698076</v>
      </c>
      <c r="J189" s="4">
        <v>88.655434672037742</v>
      </c>
      <c r="K189" s="4">
        <v>9.9698766825927709</v>
      </c>
      <c r="L189" s="4">
        <v>2.1566365957260123</v>
      </c>
      <c r="M189" s="4">
        <v>1.6601833154757824</v>
      </c>
      <c r="N189" s="4">
        <v>1.8568079372247059</v>
      </c>
      <c r="O189" s="4">
        <v>1.5640342930952718</v>
      </c>
      <c r="P189">
        <v>34648.118915457511</v>
      </c>
      <c r="Q189">
        <v>23.351948833536788</v>
      </c>
      <c r="R189">
        <v>17.798837692497909</v>
      </c>
      <c r="S189">
        <v>15.073333333333331</v>
      </c>
      <c r="T189">
        <v>14.306816691633413</v>
      </c>
      <c r="U189">
        <v>54.6775320600226</v>
      </c>
      <c r="V189">
        <f>'VATtax et trade tax et ipc '!AI189</f>
        <v>12.207826235036789</v>
      </c>
      <c r="W189" s="9" t="str">
        <v>NA</v>
      </c>
      <c r="X189">
        <f>'VATtax et trade tax et ipc '!AM189</f>
        <v>4.8283495945397021</v>
      </c>
      <c r="Y189">
        <v>26.732390274038913</v>
      </c>
      <c r="Z189">
        <v>19.715351538961375</v>
      </c>
      <c r="AA189">
        <v>0</v>
      </c>
      <c r="AB189">
        <v>0</v>
      </c>
      <c r="AC189" t="s">
        <v>37</v>
      </c>
    </row>
    <row r="190" spans="1:29" ht="14.4" x14ac:dyDescent="0.3">
      <c r="A190" t="s">
        <v>410</v>
      </c>
      <c r="B190" s="4">
        <f>Tx_croissance!AH190</f>
        <v>1.0866186084465879</v>
      </c>
      <c r="C190" s="4">
        <f t="shared" si="2"/>
        <v>11.116394002167437</v>
      </c>
      <c r="D190" s="4">
        <v>26.548145058792262</v>
      </c>
      <c r="E190" s="4">
        <v>0.8106073139799469</v>
      </c>
      <c r="F190" s="4">
        <v>-1.0481960376103718</v>
      </c>
      <c r="G190" s="4">
        <v>81.624751580849164</v>
      </c>
      <c r="H190" s="4">
        <v>1.3101133406162266</v>
      </c>
      <c r="I190" s="4">
        <v>77.01449415418837</v>
      </c>
      <c r="J190" s="4">
        <v>17.841264981489918</v>
      </c>
      <c r="K190" s="4">
        <v>1.7996513088544215</v>
      </c>
      <c r="L190" s="4">
        <v>2.0400519669055943</v>
      </c>
      <c r="M190" s="4">
        <v>1.668000712990761</v>
      </c>
      <c r="N190" s="4">
        <v>1.850589071710905</v>
      </c>
      <c r="O190" s="4">
        <v>1.5385544449090949</v>
      </c>
      <c r="P190">
        <v>67264.911294191392</v>
      </c>
      <c r="Q190">
        <v>8.7110353919737751</v>
      </c>
      <c r="R190">
        <v>38.040227869225284</v>
      </c>
      <c r="S190">
        <v>9.2799999999999994</v>
      </c>
      <c r="T190">
        <v>20.136159186495256</v>
      </c>
      <c r="U190">
        <v>23.235011404455165</v>
      </c>
      <c r="V190">
        <f>'VATtax et trade tax et ipc '!AI190</f>
        <v>5.4116535774124008</v>
      </c>
      <c r="W190" s="9">
        <v>0.18741722648703019</v>
      </c>
      <c r="X190">
        <f>'VATtax et trade tax et ipc '!AM190</f>
        <v>3.5789231536049564</v>
      </c>
      <c r="Y190">
        <v>7.9154614857455243</v>
      </c>
      <c r="Z190">
        <v>26.726877836901302</v>
      </c>
      <c r="AA190">
        <v>0</v>
      </c>
      <c r="AB190">
        <v>0</v>
      </c>
      <c r="AC190">
        <v>2.156488436909024</v>
      </c>
    </row>
    <row r="191" spans="1:29" ht="14.4" x14ac:dyDescent="0.3">
      <c r="A191" t="s">
        <v>412</v>
      </c>
      <c r="B191" s="4" t="str">
        <f>Tx_croissance!AH191</f>
        <v>NA</v>
      </c>
      <c r="C191" s="4">
        <f t="shared" si="2"/>
        <v>7.1012393710452253</v>
      </c>
      <c r="D191" s="4">
        <v>16.769092348928769</v>
      </c>
      <c r="E191" s="4">
        <v>1.6543005661730621</v>
      </c>
      <c r="F191" s="4">
        <v>-0.60865358635783195</v>
      </c>
      <c r="G191" s="4">
        <v>70.549555555555571</v>
      </c>
      <c r="H191" s="4">
        <v>-1.4789292486384513</v>
      </c>
      <c r="I191" s="4">
        <v>118.72806331089562</v>
      </c>
      <c r="J191" s="4">
        <v>40.514259465535481</v>
      </c>
      <c r="K191" s="4">
        <v>9.3027681559324265</v>
      </c>
      <c r="L191" s="4">
        <v>-1.2262094529966518</v>
      </c>
      <c r="M191" s="4">
        <v>-1.3806654537717502</v>
      </c>
      <c r="N191" s="4">
        <v>-1.1640930076440175</v>
      </c>
      <c r="O191" s="4">
        <v>-1.7683587570985166</v>
      </c>
      <c r="P191">
        <v>1213.470082592439</v>
      </c>
      <c r="Q191" t="s">
        <v>37</v>
      </c>
      <c r="R191" t="e">
        <v>#DIV/0!</v>
      </c>
      <c r="S191">
        <v>21.959999999999997</v>
      </c>
      <c r="T191" t="e">
        <v>#DIV/0!</v>
      </c>
      <c r="U191" t="s">
        <v>37</v>
      </c>
      <c r="V191" t="str">
        <f>'VATtax et trade tax et ipc '!AI191</f>
        <v>NA</v>
      </c>
      <c r="W191" s="9" t="str">
        <v>NA</v>
      </c>
      <c r="X191" t="str">
        <f>'VATtax et trade tax et ipc '!AM191</f>
        <v>NA</v>
      </c>
      <c r="Z191">
        <v>27.23481763649897</v>
      </c>
      <c r="AA191">
        <v>0</v>
      </c>
      <c r="AB191">
        <v>1</v>
      </c>
      <c r="AC191" t="s">
        <v>37</v>
      </c>
    </row>
    <row r="192" spans="1:29" ht="14.4" x14ac:dyDescent="0.3">
      <c r="A192" t="s">
        <v>414</v>
      </c>
      <c r="B192" s="4">
        <f>Tx_croissance!AH192</f>
        <v>4.1249700137305112</v>
      </c>
      <c r="C192" s="4">
        <f t="shared" si="2"/>
        <v>6.1211445084042619</v>
      </c>
      <c r="D192" s="4">
        <v>21.693774092170912</v>
      </c>
      <c r="E192" s="4">
        <v>1.9260945839134302</v>
      </c>
      <c r="F192" s="4">
        <v>0.21464928224061927</v>
      </c>
      <c r="G192" s="4">
        <v>66.483888888888885</v>
      </c>
      <c r="H192" s="4">
        <v>-1.0427131702502572</v>
      </c>
      <c r="I192" s="4">
        <v>102.49238755967887</v>
      </c>
      <c r="J192" s="4">
        <v>90.818712310791</v>
      </c>
      <c r="K192" s="4">
        <v>44.724277001840107</v>
      </c>
      <c r="L192" s="4">
        <v>-1.2456894318262728</v>
      </c>
      <c r="M192" s="4">
        <v>-1.1329127872983606</v>
      </c>
      <c r="N192" s="4">
        <v>-1.2439893384774519</v>
      </c>
      <c r="O192" s="4">
        <v>-1.4782085220019034</v>
      </c>
      <c r="P192">
        <v>455.38558899238404</v>
      </c>
      <c r="Q192">
        <v>8.8103874979948085</v>
      </c>
      <c r="R192">
        <v>6.4663551356961841</v>
      </c>
      <c r="S192">
        <v>14.159999999999997</v>
      </c>
      <c r="T192">
        <v>4.3832076978970438</v>
      </c>
      <c r="U192">
        <v>96.940098932149738</v>
      </c>
      <c r="V192">
        <f>'VATtax et trade tax et ipc '!AI192</f>
        <v>4.2119828393074163</v>
      </c>
      <c r="W192" s="9">
        <v>0.53130744196382618</v>
      </c>
      <c r="X192">
        <f>'VATtax et trade tax et ipc '!AM192</f>
        <v>0.68410345212873247</v>
      </c>
      <c r="Z192">
        <v>21.299426934097422</v>
      </c>
      <c r="AA192">
        <v>0</v>
      </c>
      <c r="AB192">
        <v>1</v>
      </c>
      <c r="AC192">
        <v>15.971454589417002</v>
      </c>
    </row>
    <row r="193" spans="1:29" ht="14.4" x14ac:dyDescent="0.3">
      <c r="A193" t="s">
        <v>416</v>
      </c>
      <c r="B193" s="4">
        <f>Tx_croissance!AH193</f>
        <v>2.7690249847342141</v>
      </c>
      <c r="C193" s="4">
        <f t="shared" si="2"/>
        <v>6.2263397934363551</v>
      </c>
      <c r="D193" s="4">
        <v>29.6747256880385</v>
      </c>
      <c r="E193" s="4">
        <v>2.8367787716111521</v>
      </c>
      <c r="F193" s="4">
        <v>-1.0162809349241715</v>
      </c>
      <c r="G193" s="4">
        <v>58.688481481481489</v>
      </c>
      <c r="H193" s="4">
        <v>-0.38312481921942276</v>
      </c>
      <c r="I193" s="4">
        <v>93.513737222422719</v>
      </c>
      <c r="J193" s="4">
        <v>80.430692195892334</v>
      </c>
      <c r="K193" s="4">
        <v>21.810807037353506</v>
      </c>
      <c r="L193" s="4">
        <v>-0.57167017956574762</v>
      </c>
      <c r="M193" s="4">
        <v>-0.50667604058980942</v>
      </c>
      <c r="N193" s="4">
        <v>-0.42136695173879457</v>
      </c>
      <c r="O193" s="4">
        <v>-0.35846228152513504</v>
      </c>
      <c r="P193">
        <v>505.900390625</v>
      </c>
      <c r="Q193">
        <v>10.917377990788879</v>
      </c>
      <c r="R193">
        <v>34.164286328422634</v>
      </c>
      <c r="S193">
        <v>20.493333333333336</v>
      </c>
      <c r="T193">
        <v>25.325779379038028</v>
      </c>
      <c r="U193" t="s">
        <v>37</v>
      </c>
      <c r="V193">
        <f>'VATtax et trade tax et ipc '!AI193</f>
        <v>7.8662767510494858</v>
      </c>
      <c r="W193" s="9">
        <v>1.3616528972848805</v>
      </c>
      <c r="X193">
        <f>'VATtax et trade tax et ipc '!AM193</f>
        <v>5.3136208613681966</v>
      </c>
      <c r="Z193">
        <v>19.595927826518789</v>
      </c>
      <c r="AA193">
        <v>0</v>
      </c>
      <c r="AB193">
        <v>1</v>
      </c>
      <c r="AC193">
        <v>8.2656980811798597</v>
      </c>
    </row>
    <row r="194" spans="1:29" ht="14.4" x14ac:dyDescent="0.3">
      <c r="A194" t="s">
        <v>418</v>
      </c>
      <c r="B194" s="4">
        <f>Tx_croissance!AH194</f>
        <v>2.0864515598342681</v>
      </c>
      <c r="C194" s="4">
        <f t="shared" ref="C194:C218" si="3">IFERROR(LN(P194),"NA")</f>
        <v>8.1873172344295302</v>
      </c>
      <c r="D194" s="4">
        <v>25.618381108798953</v>
      </c>
      <c r="E194" s="4">
        <v>0.71979936802079147</v>
      </c>
      <c r="F194" s="4">
        <v>-1.1737078453103702</v>
      </c>
      <c r="G194" s="4">
        <v>75.314333333333352</v>
      </c>
      <c r="H194" s="4">
        <v>-0.67410661031802499</v>
      </c>
      <c r="I194" s="4">
        <v>109.3255672454835</v>
      </c>
      <c r="J194" s="4">
        <v>90.510412216186509</v>
      </c>
      <c r="K194" s="4">
        <v>13.961263942718492</v>
      </c>
      <c r="L194" s="4">
        <v>-0.37778530580302089</v>
      </c>
      <c r="M194" s="4">
        <v>0.14474177178150663</v>
      </c>
      <c r="N194" s="4">
        <v>3.1483575818128932E-2</v>
      </c>
      <c r="O194" s="4">
        <v>-0.42544391161451761</v>
      </c>
      <c r="P194">
        <v>3595.0645821464886</v>
      </c>
      <c r="Q194">
        <v>14.340613224302626</v>
      </c>
      <c r="R194">
        <v>40.061573638843484</v>
      </c>
      <c r="S194">
        <v>25.58</v>
      </c>
      <c r="T194">
        <v>32.457787153611896</v>
      </c>
      <c r="U194">
        <v>27.630172264983248</v>
      </c>
      <c r="V194">
        <f>'VATtax et trade tax et ipc '!AI194</f>
        <v>7.5941205301913088</v>
      </c>
      <c r="W194" s="9">
        <v>0.96793965015971639</v>
      </c>
      <c r="X194">
        <f>'VATtax et trade tax et ipc '!AM194</f>
        <v>6.0341858306002232</v>
      </c>
      <c r="Y194">
        <v>16.440930820127207</v>
      </c>
      <c r="Z194">
        <v>41.321277859946406</v>
      </c>
      <c r="AA194">
        <v>0</v>
      </c>
      <c r="AB194">
        <v>0</v>
      </c>
      <c r="AC194">
        <v>8.1142194750913585</v>
      </c>
    </row>
    <row r="195" spans="1:29" ht="14.4" x14ac:dyDescent="0.3">
      <c r="A195" t="s">
        <v>420</v>
      </c>
      <c r="B195" s="4" t="str">
        <f>Tx_croissance!AH195</f>
        <v>NA</v>
      </c>
      <c r="C195" s="4" t="str">
        <f t="shared" si="3"/>
        <v>NA</v>
      </c>
      <c r="D195" s="4">
        <v>31.0014666846218</v>
      </c>
      <c r="E195" s="4">
        <v>1.8140193875246122</v>
      </c>
      <c r="F195" s="4">
        <v>-0.23500039266716488</v>
      </c>
      <c r="G195" s="4">
        <v>61.674037037037031</v>
      </c>
      <c r="H195" s="4">
        <v>-0.25830232368951495</v>
      </c>
      <c r="I195" s="4">
        <v>122.36159091525626</v>
      </c>
      <c r="J195" s="4">
        <v>66.042871475219727</v>
      </c>
      <c r="K195" s="4">
        <v>14.004893938700372</v>
      </c>
      <c r="L195" s="4">
        <v>-0.5170661104576928</v>
      </c>
      <c r="M195" s="4">
        <v>-1.0422194216932563</v>
      </c>
      <c r="N195" s="4">
        <v>-1.0208057574927802</v>
      </c>
      <c r="O195" s="4">
        <v>1.5241507751246204E-2</v>
      </c>
      <c r="P195" t="s">
        <v>37</v>
      </c>
      <c r="Q195">
        <v>58.062428776627605</v>
      </c>
      <c r="R195">
        <v>83.28074444509771</v>
      </c>
      <c r="S195">
        <v>16.506666666666661</v>
      </c>
      <c r="T195">
        <v>28.828243347607184</v>
      </c>
      <c r="U195" t="s">
        <v>37</v>
      </c>
      <c r="V195">
        <f>'VATtax et trade tax et ipc '!AI195</f>
        <v>5.5946708618237686</v>
      </c>
      <c r="W195" s="9">
        <v>1.1063458395901722</v>
      </c>
      <c r="X195">
        <f>'VATtax et trade tax et ipc '!AM195</f>
        <v>54.585492567841371</v>
      </c>
      <c r="AA195">
        <v>0</v>
      </c>
      <c r="AB195">
        <v>1</v>
      </c>
      <c r="AC195">
        <v>3.4213232724325406</v>
      </c>
    </row>
    <row r="196" spans="1:29" ht="14.4" x14ac:dyDescent="0.3">
      <c r="A196" t="s">
        <v>422</v>
      </c>
      <c r="B196" s="4">
        <f>Tx_croissance!AH196</f>
        <v>1.105861156886756</v>
      </c>
      <c r="C196" s="4">
        <f t="shared" si="3"/>
        <v>6.4922258635566905</v>
      </c>
      <c r="D196" s="4">
        <v>17.709175463970936</v>
      </c>
      <c r="E196" s="4">
        <v>2.7538823055001722</v>
      </c>
      <c r="F196" s="4">
        <v>0.25831535132601863</v>
      </c>
      <c r="G196" s="4">
        <v>57.160148148148146</v>
      </c>
      <c r="H196" s="4">
        <v>-0.45801909407600777</v>
      </c>
      <c r="I196" s="4">
        <v>108.02135614248417</v>
      </c>
      <c r="J196" s="4">
        <v>98.129552568708078</v>
      </c>
      <c r="K196" s="4">
        <v>7.4445398251215664</v>
      </c>
      <c r="L196" s="4">
        <v>-0.86096915105978666</v>
      </c>
      <c r="M196" s="4">
        <v>-0.80108781034747756</v>
      </c>
      <c r="N196" s="4">
        <v>-0.81485468149185181</v>
      </c>
      <c r="O196" s="4">
        <v>-0.94483815630277002</v>
      </c>
      <c r="P196">
        <v>659.99077889832131</v>
      </c>
      <c r="Q196">
        <v>12.320676220528913</v>
      </c>
      <c r="R196">
        <v>18.878375579664265</v>
      </c>
      <c r="S196">
        <v>10.360000000000003</v>
      </c>
      <c r="T196">
        <v>15.29050171436484</v>
      </c>
      <c r="U196" t="s">
        <v>37</v>
      </c>
      <c r="V196">
        <f>'VATtax et trade tax et ipc '!AI196</f>
        <v>7.5503166888174915</v>
      </c>
      <c r="W196" s="9">
        <v>3.253621290944408</v>
      </c>
      <c r="X196">
        <f>'VATtax et trade tax et ipc '!AM196</f>
        <v>2.5946237579536779</v>
      </c>
      <c r="Z196">
        <v>13.588320719284411</v>
      </c>
      <c r="AA196">
        <v>0</v>
      </c>
      <c r="AB196">
        <v>1</v>
      </c>
      <c r="AC196">
        <v>22.533650051640645</v>
      </c>
    </row>
    <row r="197" spans="1:29" ht="14.4" x14ac:dyDescent="0.3">
      <c r="A197" t="s">
        <v>424</v>
      </c>
      <c r="B197" s="4" t="str">
        <f>Tx_croissance!AH197</f>
        <v>NA</v>
      </c>
      <c r="C197" s="4">
        <f t="shared" si="3"/>
        <v>8.0887306887427748</v>
      </c>
      <c r="D197" s="4">
        <v>23.406532705528392</v>
      </c>
      <c r="E197" s="4">
        <v>0.24651531728844309</v>
      </c>
      <c r="F197" s="4">
        <v>0.15300454592215831</v>
      </c>
      <c r="G197" s="4">
        <v>69.876333333333349</v>
      </c>
      <c r="H197" s="4">
        <v>0.76825968846678727</v>
      </c>
      <c r="I197" s="4" t="s">
        <v>37</v>
      </c>
      <c r="J197" s="4" t="s">
        <v>37</v>
      </c>
      <c r="K197" s="4">
        <v>7.5925984382629315</v>
      </c>
      <c r="L197" s="4">
        <v>-0.48400816556654486</v>
      </c>
      <c r="M197" s="4">
        <v>-0.51053034945538156</v>
      </c>
      <c r="N197" s="4">
        <v>0.32072032332265121</v>
      </c>
      <c r="O197" s="4">
        <v>0.32476819500637555</v>
      </c>
      <c r="P197">
        <v>3257.5500999006044</v>
      </c>
      <c r="Q197" t="s">
        <v>37</v>
      </c>
      <c r="R197" t="e">
        <v>#DIV/0!</v>
      </c>
      <c r="S197">
        <v>22.873333333333328</v>
      </c>
      <c r="T197" t="e">
        <v>#DIV/0!</v>
      </c>
      <c r="U197">
        <v>49.276313624221814</v>
      </c>
      <c r="V197" t="str">
        <f>'VATtax et trade tax et ipc '!AI197</f>
        <v>NA</v>
      </c>
      <c r="W197" s="9" t="str">
        <v>NA</v>
      </c>
      <c r="X197" t="str">
        <f>'VATtax et trade tax et ipc '!AM197</f>
        <v>NA</v>
      </c>
      <c r="Z197">
        <v>25.669962893899157</v>
      </c>
      <c r="AA197">
        <v>0</v>
      </c>
      <c r="AB197">
        <v>1</v>
      </c>
      <c r="AC197" t="s">
        <v>37</v>
      </c>
    </row>
    <row r="198" spans="1:29" ht="14.4" x14ac:dyDescent="0.3">
      <c r="A198" t="s">
        <v>426</v>
      </c>
      <c r="B198" s="4">
        <f>Tx_croissance!AH198</f>
        <v>2.6234652987701113</v>
      </c>
      <c r="C198" s="4">
        <f t="shared" si="3"/>
        <v>8.8586320113979582</v>
      </c>
      <c r="D198" s="4" t="s">
        <v>37</v>
      </c>
      <c r="E198" s="4">
        <v>0.58040938002544962</v>
      </c>
      <c r="F198" s="4">
        <v>9.8399460723157917E-2</v>
      </c>
      <c r="G198" s="4">
        <v>71.837222222222209</v>
      </c>
      <c r="H198" s="4">
        <v>8.3380574981371566E-2</v>
      </c>
      <c r="I198" s="4">
        <v>107.38249411949748</v>
      </c>
      <c r="J198" s="4">
        <v>77.486852736700143</v>
      </c>
      <c r="K198" s="4">
        <v>27.567773239953176</v>
      </c>
      <c r="L198" s="4">
        <v>-8.6966977842772963E-2</v>
      </c>
      <c r="M198" s="4">
        <v>0.34351748003003491</v>
      </c>
      <c r="N198" s="4">
        <v>-3.1685032959406619E-2</v>
      </c>
      <c r="O198" s="4">
        <v>0.57892050097386039</v>
      </c>
      <c r="P198">
        <v>7034.8525609560475</v>
      </c>
      <c r="Q198">
        <v>25.644225670492943</v>
      </c>
      <c r="R198">
        <v>55.047695384247774</v>
      </c>
      <c r="S198">
        <v>22.593333333333337</v>
      </c>
      <c r="T198">
        <v>43.992659434527297</v>
      </c>
      <c r="U198">
        <v>16.365605541640981</v>
      </c>
      <c r="V198">
        <f>'VATtax et trade tax et ipc '!AI198</f>
        <v>5.5321319566163041</v>
      </c>
      <c r="W198" s="9">
        <v>1.7163339525063519</v>
      </c>
      <c r="X198">
        <f>'VATtax et trade tax et ipc '!AM198</f>
        <v>15.829954531027067</v>
      </c>
      <c r="AA198">
        <v>0</v>
      </c>
      <c r="AB198">
        <v>0</v>
      </c>
      <c r="AC198">
        <v>6.5074554064685914</v>
      </c>
    </row>
    <row r="199" spans="1:29" ht="14.4" x14ac:dyDescent="0.3">
      <c r="A199" t="s">
        <v>428</v>
      </c>
      <c r="B199" s="4">
        <f>Tx_croissance!AH199</f>
        <v>1.986854719688691</v>
      </c>
      <c r="C199" s="4">
        <f t="shared" si="3"/>
        <v>7.7360439113650203</v>
      </c>
      <c r="D199" s="4">
        <v>22.188290698195466</v>
      </c>
      <c r="E199" s="4">
        <v>1.0755259407069127</v>
      </c>
      <c r="F199" s="4">
        <v>-1.1936781530578922</v>
      </c>
      <c r="G199" s="4">
        <v>74.649555555555565</v>
      </c>
      <c r="H199" s="4">
        <v>-0.32043749761457241</v>
      </c>
      <c r="I199" s="4">
        <v>104.3015374755859</v>
      </c>
      <c r="J199" s="4">
        <v>92.071235198974648</v>
      </c>
      <c r="K199" s="4">
        <v>61.601280746460006</v>
      </c>
      <c r="L199" s="4">
        <v>-0.11884760573351127</v>
      </c>
      <c r="M199" s="4">
        <v>-0.16648540808819234</v>
      </c>
      <c r="N199" s="4">
        <v>-4.5404820702970007E-2</v>
      </c>
      <c r="O199" s="4">
        <v>-0.48818547371774867</v>
      </c>
      <c r="P199">
        <v>2289.3973852334407</v>
      </c>
      <c r="Q199">
        <v>20.236130808442724</v>
      </c>
      <c r="R199">
        <v>33.154161445517474</v>
      </c>
      <c r="S199">
        <v>14.746666666666666</v>
      </c>
      <c r="T199">
        <v>23.000613221406784</v>
      </c>
      <c r="U199">
        <v>50.800210156245498</v>
      </c>
      <c r="V199">
        <f>'VATtax et trade tax et ipc '!AI199</f>
        <v>5.92325891328999</v>
      </c>
      <c r="W199" s="9">
        <v>1.4805070336648296</v>
      </c>
      <c r="X199">
        <f>'VATtax et trade tax et ipc '!AM199</f>
        <v>4.3943156122639255</v>
      </c>
      <c r="Y199">
        <v>20.485813814377369</v>
      </c>
      <c r="Z199">
        <v>24.165777220000233</v>
      </c>
      <c r="AA199">
        <v>0</v>
      </c>
      <c r="AB199">
        <v>1</v>
      </c>
      <c r="AC199">
        <v>14.81548320216789</v>
      </c>
    </row>
    <row r="200" spans="1:29" ht="14.4" x14ac:dyDescent="0.3">
      <c r="A200" t="s">
        <v>430</v>
      </c>
      <c r="B200" s="4">
        <f>Tx_croissance!AH200</f>
        <v>3.3975620005090912</v>
      </c>
      <c r="C200" s="4">
        <f t="shared" si="3"/>
        <v>8.6486386622849292</v>
      </c>
      <c r="D200" s="4">
        <v>25.766886736109765</v>
      </c>
      <c r="E200" s="4">
        <v>1.3451325143211879</v>
      </c>
      <c r="F200" s="4">
        <v>-0.55781411712891182</v>
      </c>
      <c r="G200" s="4">
        <v>74.145037037037028</v>
      </c>
      <c r="H200" s="4">
        <v>-1.095592809220155</v>
      </c>
      <c r="I200" s="4">
        <v>100.15036145378562</v>
      </c>
      <c r="J200" s="4">
        <v>80.513568878173828</v>
      </c>
      <c r="K200" s="4" t="s">
        <v>37</v>
      </c>
      <c r="L200" s="4">
        <v>-0.15513957136621073</v>
      </c>
      <c r="M200" s="4">
        <v>0.18505765544250605</v>
      </c>
      <c r="N200" s="4">
        <v>-0.12696256220806398</v>
      </c>
      <c r="O200" s="4">
        <v>-0.35477988470969041</v>
      </c>
      <c r="P200">
        <v>5702.3785843833066</v>
      </c>
      <c r="Q200">
        <v>15.291738820789138</v>
      </c>
      <c r="R200">
        <v>33.268265587980729</v>
      </c>
      <c r="S200">
        <v>18.253333333333334</v>
      </c>
      <c r="T200">
        <v>21.728089609311066</v>
      </c>
      <c r="U200">
        <v>36.621481735609997</v>
      </c>
      <c r="V200">
        <f>'VATtax et trade tax et ipc '!AI200</f>
        <v>14.65197434461435</v>
      </c>
      <c r="W200" s="9">
        <v>0.62444292998623308</v>
      </c>
      <c r="X200">
        <f>'VATtax et trade tax et ipc '!AM200</f>
        <v>7.6161851354210546</v>
      </c>
      <c r="Y200">
        <v>13.976774696349006</v>
      </c>
      <c r="Z200">
        <v>23.835561530583085</v>
      </c>
      <c r="AA200">
        <v>0</v>
      </c>
      <c r="AB200">
        <v>0</v>
      </c>
      <c r="AC200">
        <v>2.386888196670379</v>
      </c>
    </row>
    <row r="201" spans="1:29" ht="14.4" x14ac:dyDescent="0.3">
      <c r="A201" t="s">
        <v>432</v>
      </c>
      <c r="B201" s="4">
        <f>Tx_croissance!AH201</f>
        <v>4.978647623462451</v>
      </c>
      <c r="C201" s="4">
        <f t="shared" si="3"/>
        <v>7.5834179474562466</v>
      </c>
      <c r="D201" s="4">
        <v>34.34867866335572</v>
      </c>
      <c r="E201" s="4">
        <v>1.5788635515069569</v>
      </c>
      <c r="F201" s="4">
        <v>-0.57634431247909867</v>
      </c>
      <c r="G201" s="4">
        <v>66.923148148148144</v>
      </c>
      <c r="H201" s="4">
        <v>7.8050591866485594E-2</v>
      </c>
      <c r="I201" s="4">
        <v>89.574327741350444</v>
      </c>
      <c r="J201" s="4">
        <v>23.172368248303741</v>
      </c>
      <c r="K201" s="4">
        <v>2.2427409319650558</v>
      </c>
      <c r="L201" s="4">
        <v>-1.3009378413359329</v>
      </c>
      <c r="M201" s="4">
        <v>-1.95056747396787</v>
      </c>
      <c r="N201" s="4">
        <v>-1.4572718838850658</v>
      </c>
      <c r="O201" s="4">
        <v>-2.0397938390572858</v>
      </c>
      <c r="P201">
        <v>1965.3349100328198</v>
      </c>
      <c r="Q201" t="s">
        <v>37</v>
      </c>
      <c r="R201" t="e">
        <v>#DIV/0!</v>
      </c>
      <c r="S201" t="e">
        <v>#DIV/0!</v>
      </c>
      <c r="T201" t="e">
        <v>#DIV/0!</v>
      </c>
      <c r="U201" t="s">
        <v>37</v>
      </c>
      <c r="V201" t="str">
        <f>'VATtax et trade tax et ipc '!AI201</f>
        <v>NA</v>
      </c>
      <c r="W201" s="9" t="str">
        <v>NA</v>
      </c>
      <c r="X201" t="str">
        <f>'VATtax et trade tax et ipc '!AM201</f>
        <v>NA</v>
      </c>
      <c r="AA201">
        <v>0</v>
      </c>
      <c r="AB201">
        <v>1</v>
      </c>
      <c r="AC201" t="s">
        <v>37</v>
      </c>
    </row>
    <row r="202" spans="1:29" ht="14.4" x14ac:dyDescent="0.3">
      <c r="A202" t="s">
        <v>434</v>
      </c>
      <c r="B202" s="4" t="str">
        <f>Tx_croissance!AH202</f>
        <v>NA</v>
      </c>
      <c r="C202" s="4" t="str">
        <f t="shared" si="3"/>
        <v>NA</v>
      </c>
      <c r="D202" s="4" t="s">
        <v>37</v>
      </c>
      <c r="E202" s="4">
        <v>4.1242744836897653</v>
      </c>
      <c r="F202" s="4">
        <v>-0.62243833144505822</v>
      </c>
      <c r="G202" s="4">
        <v>75.352925925925931</v>
      </c>
      <c r="H202" s="4" t="s">
        <v>37</v>
      </c>
      <c r="I202" s="4">
        <v>115.41335396144703</v>
      </c>
      <c r="J202" s="4">
        <v>22.26985636624422</v>
      </c>
      <c r="K202" s="4">
        <v>3.5281586382124157</v>
      </c>
      <c r="L202" s="4" t="s">
        <v>37</v>
      </c>
      <c r="M202" s="4" t="s">
        <v>37</v>
      </c>
      <c r="N202" s="4" t="s">
        <v>37</v>
      </c>
      <c r="O202" s="4" t="s">
        <v>37</v>
      </c>
      <c r="P202" t="s">
        <v>37</v>
      </c>
      <c r="Q202" t="s">
        <v>37</v>
      </c>
      <c r="R202" t="e">
        <v>#DIV/0!</v>
      </c>
      <c r="S202" t="e">
        <v>#DIV/0!</v>
      </c>
      <c r="T202" t="e">
        <v>#DIV/0!</v>
      </c>
      <c r="U202" t="s">
        <v>37</v>
      </c>
      <c r="V202" t="str">
        <f>'VATtax et trade tax et ipc '!AI202</f>
        <v>NA</v>
      </c>
      <c r="W202" s="9" t="str">
        <v>NA</v>
      </c>
      <c r="X202" t="str">
        <f>'VATtax et trade tax et ipc '!AM202</f>
        <v>NA</v>
      </c>
      <c r="AA202">
        <v>0</v>
      </c>
      <c r="AB202">
        <v>0</v>
      </c>
      <c r="AC202" t="s">
        <v>37</v>
      </c>
    </row>
    <row r="203" spans="1:29" ht="14.4" x14ac:dyDescent="0.3">
      <c r="A203" t="s">
        <v>436</v>
      </c>
      <c r="B203" s="4">
        <f>Tx_croissance!AH203</f>
        <v>1.5784869708052485</v>
      </c>
      <c r="C203" s="4">
        <f t="shared" si="3"/>
        <v>7.8682842150422934</v>
      </c>
      <c r="D203" s="4" t="s">
        <v>37</v>
      </c>
      <c r="E203" s="4">
        <v>0.60136067883068278</v>
      </c>
      <c r="F203" s="4">
        <v>1.0701959232489273</v>
      </c>
      <c r="G203" s="4">
        <v>63.841888888888889</v>
      </c>
      <c r="H203" s="4">
        <v>1.3025975823402396</v>
      </c>
      <c r="I203" s="4">
        <v>100.56664510873641</v>
      </c>
      <c r="J203" s="4">
        <v>94.607727714206845</v>
      </c>
      <c r="K203" s="4">
        <v>69.897944556342225</v>
      </c>
      <c r="L203" s="4">
        <v>5.3607831905154793E-2</v>
      </c>
      <c r="M203" s="4">
        <v>-0.71150325395558922</v>
      </c>
      <c r="N203" s="4">
        <v>0.78836465254426014</v>
      </c>
      <c r="O203" s="4">
        <v>0.96772478272517504</v>
      </c>
      <c r="P203">
        <v>2613.0782592720598</v>
      </c>
      <c r="Q203" t="s">
        <v>37</v>
      </c>
      <c r="R203" t="e">
        <v>#DIV/0!</v>
      </c>
      <c r="S203" t="e">
        <v>#DIV/0!</v>
      </c>
      <c r="T203" t="e">
        <v>#DIV/0!</v>
      </c>
      <c r="U203" t="s">
        <v>37</v>
      </c>
      <c r="V203" t="str">
        <f>'VATtax et trade tax et ipc '!AI203</f>
        <v>NA</v>
      </c>
      <c r="W203" s="9" t="str">
        <v>NA</v>
      </c>
      <c r="X203" t="str">
        <f>'VATtax et trade tax et ipc '!AM203</f>
        <v>NA</v>
      </c>
      <c r="AA203">
        <v>0</v>
      </c>
      <c r="AB203">
        <v>1</v>
      </c>
      <c r="AC203" t="s">
        <v>37</v>
      </c>
    </row>
    <row r="204" spans="1:29" ht="14.4" x14ac:dyDescent="0.3">
      <c r="A204" t="s">
        <v>438</v>
      </c>
      <c r="B204" s="4">
        <f>Tx_croissance!AH204</f>
        <v>2.8205910831362146</v>
      </c>
      <c r="C204" s="4">
        <f t="shared" si="3"/>
        <v>6.0888241634175539</v>
      </c>
      <c r="D204" s="4">
        <v>22.294628564622375</v>
      </c>
      <c r="E204" s="4">
        <v>3.0481428716073347</v>
      </c>
      <c r="F204" s="4">
        <v>1.6002472639083865</v>
      </c>
      <c r="G204" s="4">
        <v>55.151703703703703</v>
      </c>
      <c r="H204" s="4">
        <v>-1.0074230656027792</v>
      </c>
      <c r="I204" s="4">
        <v>109.93105146620003</v>
      </c>
      <c r="J204" s="4">
        <v>102.95748226459204</v>
      </c>
      <c r="K204" s="4">
        <v>50.173635787963867</v>
      </c>
      <c r="L204" s="4">
        <v>-0.97269408404827129</v>
      </c>
      <c r="M204" s="4">
        <v>-0.24676833449242008</v>
      </c>
      <c r="N204" s="4">
        <v>-0.44291973362366366</v>
      </c>
      <c r="O204" s="4">
        <v>-0.65796313559015585</v>
      </c>
      <c r="P204">
        <v>440.90267673568485</v>
      </c>
      <c r="Q204">
        <v>11.613619364058744</v>
      </c>
      <c r="R204">
        <v>34.600467268852306</v>
      </c>
      <c r="S204">
        <v>22.2</v>
      </c>
      <c r="T204">
        <v>29.813154326162429</v>
      </c>
      <c r="U204">
        <v>42.159773241405816</v>
      </c>
      <c r="V204">
        <f>'VATtax et trade tax et ipc '!AI204</f>
        <v>13.359842636220495</v>
      </c>
      <c r="W204" s="9">
        <v>2.8162720802807835</v>
      </c>
      <c r="X204">
        <f>'VATtax et trade tax et ipc '!AM204</f>
        <v>8.7015786752003006</v>
      </c>
      <c r="Z204">
        <v>16.367344231606186</v>
      </c>
      <c r="AA204">
        <v>0</v>
      </c>
      <c r="AB204">
        <v>1</v>
      </c>
      <c r="AC204">
        <v>11.183249825009634</v>
      </c>
    </row>
    <row r="205" spans="1:29" ht="14.4" x14ac:dyDescent="0.3">
      <c r="A205" t="s">
        <v>440</v>
      </c>
      <c r="B205" s="4">
        <f>Tx_croissance!AH205</f>
        <v>1.1376624046611328</v>
      </c>
      <c r="C205" s="4">
        <f t="shared" si="3"/>
        <v>7.3117593593713996</v>
      </c>
      <c r="D205" s="4">
        <v>18.838075357092372</v>
      </c>
      <c r="E205" s="4">
        <v>-1.1148031316670506</v>
      </c>
      <c r="F205" s="4">
        <v>1.5205664883057279</v>
      </c>
      <c r="G205" s="4">
        <v>69.356802168021687</v>
      </c>
      <c r="H205" s="4">
        <v>-0.76822067114214099</v>
      </c>
      <c r="I205" s="4">
        <v>101.30491256713867</v>
      </c>
      <c r="J205" s="4">
        <v>97.262175968715127</v>
      </c>
      <c r="K205" s="4">
        <v>83.744613102504175</v>
      </c>
      <c r="L205" s="4">
        <v>-0.95547784119844448</v>
      </c>
      <c r="M205" s="4">
        <v>-0.45663861930370325</v>
      </c>
      <c r="N205" s="4">
        <v>-0.81876017401615764</v>
      </c>
      <c r="O205" s="4">
        <v>-0.16138670583798853</v>
      </c>
      <c r="P205">
        <v>1497.81005859375</v>
      </c>
      <c r="Q205">
        <v>16.600591637699242</v>
      </c>
      <c r="R205">
        <v>26.304931496261077</v>
      </c>
      <c r="S205">
        <v>11.173333333333334</v>
      </c>
      <c r="T205">
        <v>13.256911325156295</v>
      </c>
      <c r="U205">
        <v>46.784583159032501</v>
      </c>
      <c r="V205">
        <f>'VATtax et trade tax et ipc '!AI205</f>
        <v>14.596255340679914</v>
      </c>
      <c r="W205" s="9">
        <v>1.0194256941271791</v>
      </c>
      <c r="X205">
        <f>'VATtax et trade tax et ipc '!AM205</f>
        <v>5.5630547123647744</v>
      </c>
      <c r="Z205">
        <v>23.280215391986488</v>
      </c>
      <c r="AA205">
        <v>0</v>
      </c>
      <c r="AB205">
        <v>1</v>
      </c>
      <c r="AC205">
        <v>5.9717275083462846</v>
      </c>
    </row>
    <row r="206" spans="1:29" ht="14.4" x14ac:dyDescent="0.3">
      <c r="A206" t="s">
        <v>442</v>
      </c>
      <c r="B206" s="4">
        <f>Tx_croissance!AH206</f>
        <v>-1.1750292055523914</v>
      </c>
      <c r="C206" s="4">
        <f t="shared" si="3"/>
        <v>11.048946595620798</v>
      </c>
      <c r="D206" s="4">
        <v>20.742910987674154</v>
      </c>
      <c r="E206" s="4">
        <v>4.998665267010189</v>
      </c>
      <c r="F206" s="4">
        <v>0.5291007161140443</v>
      </c>
      <c r="G206" s="4">
        <v>76.906444444444432</v>
      </c>
      <c r="H206" s="4">
        <v>0.80369093020757043</v>
      </c>
      <c r="I206" s="4">
        <v>98.181187765938901</v>
      </c>
      <c r="J206" s="4">
        <v>91.555700550908625</v>
      </c>
      <c r="K206" s="4">
        <v>12.082455277442934</v>
      </c>
      <c r="L206" s="4">
        <v>0.93317035783547908</v>
      </c>
      <c r="M206" s="4">
        <v>0.77626204118132636</v>
      </c>
      <c r="N206" s="4">
        <v>0.60185801610350598</v>
      </c>
      <c r="O206" s="4">
        <v>-0.91431955496470085</v>
      </c>
      <c r="P206">
        <v>62877.684079043262</v>
      </c>
      <c r="Q206">
        <v>0.49831741755661546</v>
      </c>
      <c r="R206" t="e">
        <v>#DIV/0!</v>
      </c>
      <c r="S206">
        <v>0</v>
      </c>
      <c r="T206" t="e">
        <v>#DIV/0!</v>
      </c>
      <c r="U206">
        <v>1.8456851368782539</v>
      </c>
      <c r="V206">
        <f>'VATtax et trade tax et ipc '!AI206</f>
        <v>0.47255896476329545</v>
      </c>
      <c r="W206" s="9">
        <v>6.7305028377242868E-3</v>
      </c>
      <c r="X206" t="str">
        <f>'VATtax et trade tax et ipc '!AM206</f>
        <v>NA</v>
      </c>
      <c r="AA206">
        <v>0</v>
      </c>
      <c r="AB206">
        <v>0</v>
      </c>
      <c r="AC206">
        <v>0.23874661567234062</v>
      </c>
    </row>
    <row r="207" spans="1:29" ht="14.4" x14ac:dyDescent="0.3">
      <c r="A207" t="s">
        <v>444</v>
      </c>
      <c r="B207" s="4">
        <f>Tx_croissance!AH207</f>
        <v>1.3903776478579877</v>
      </c>
      <c r="C207" s="4">
        <f t="shared" si="3"/>
        <v>10.404544744678809</v>
      </c>
      <c r="D207" s="4">
        <v>17.421529668901169</v>
      </c>
      <c r="E207" s="4">
        <v>0.52192857826984895</v>
      </c>
      <c r="F207" s="4">
        <v>-0.85515768826007921</v>
      </c>
      <c r="G207" s="4">
        <v>79.475293586269217</v>
      </c>
      <c r="H207" s="4">
        <v>0.47458318651964276</v>
      </c>
      <c r="I207" s="4">
        <v>111.39019941247015</v>
      </c>
      <c r="J207" s="4">
        <v>100.74340711321145</v>
      </c>
      <c r="K207" s="4">
        <v>23.699975013732903</v>
      </c>
      <c r="L207" s="4">
        <v>1.7927465587854379</v>
      </c>
      <c r="M207" s="4">
        <v>1.7222464531660087</v>
      </c>
      <c r="N207" s="4">
        <v>1.6527150720357906</v>
      </c>
      <c r="O207" s="4">
        <v>1.3186499178409572</v>
      </c>
      <c r="P207">
        <v>33009.30415097448</v>
      </c>
      <c r="Q207">
        <v>24.490083223921104</v>
      </c>
      <c r="R207">
        <v>48.148652541175117</v>
      </c>
      <c r="S207">
        <v>20.706666666666667</v>
      </c>
      <c r="T207">
        <v>36.646687864706827</v>
      </c>
      <c r="U207">
        <v>120.87859034930922</v>
      </c>
      <c r="V207">
        <f>'VATtax et trade tax et ipc '!AI207</f>
        <v>11.008148016391505</v>
      </c>
      <c r="W207" s="9">
        <v>0.11201893582101399</v>
      </c>
      <c r="X207">
        <f>'VATtax et trade tax et ipc '!AM207</f>
        <v>11.833612766936106</v>
      </c>
      <c r="Y207">
        <v>23.231573819180721</v>
      </c>
      <c r="Z207">
        <v>18.087915054968921</v>
      </c>
      <c r="AA207">
        <v>0</v>
      </c>
      <c r="AB207">
        <v>0</v>
      </c>
      <c r="AC207">
        <v>0.75688004461468072</v>
      </c>
    </row>
    <row r="208" spans="1:29" ht="14.4" x14ac:dyDescent="0.3">
      <c r="A208" t="s">
        <v>446</v>
      </c>
      <c r="B208" s="4">
        <f>Tx_croissance!AH208</f>
        <v>1.5165362245447289</v>
      </c>
      <c r="C208" s="4">
        <f t="shared" si="3"/>
        <v>10.641146237499411</v>
      </c>
      <c r="D208" s="4">
        <v>21.132680211266869</v>
      </c>
      <c r="E208" s="4">
        <v>0.84418802492518952</v>
      </c>
      <c r="F208" s="4">
        <v>-0.44724101298733759</v>
      </c>
      <c r="G208" s="4">
        <v>77.621499548328828</v>
      </c>
      <c r="H208" s="4">
        <v>0.395394534803927</v>
      </c>
      <c r="I208" s="4">
        <v>101.15223112560447</v>
      </c>
      <c r="J208" s="4">
        <v>77.28393072831004</v>
      </c>
      <c r="K208" s="4">
        <v>50.734186490376779</v>
      </c>
      <c r="L208" s="4">
        <v>1.3903871973355597</v>
      </c>
      <c r="M208" s="4">
        <v>1.4741641680399578</v>
      </c>
      <c r="N208" s="4">
        <v>1.534177566568057</v>
      </c>
      <c r="O208" s="4">
        <v>1.1273661156495409</v>
      </c>
      <c r="P208">
        <v>41820.680187623475</v>
      </c>
      <c r="Q208">
        <v>10.880987996235211</v>
      </c>
      <c r="R208">
        <v>90.889112238370871</v>
      </c>
      <c r="S208">
        <v>27.014285714285712</v>
      </c>
      <c r="T208">
        <v>53.186383842144089</v>
      </c>
      <c r="U208">
        <v>74.678092638104417</v>
      </c>
      <c r="V208">
        <f>'VATtax et trade tax et ipc '!AI208</f>
        <v>0.51730956533307004</v>
      </c>
      <c r="W208" s="9">
        <v>0.24110074902297579</v>
      </c>
      <c r="X208">
        <f>'VATtax et trade tax et ipc '!AM208</f>
        <v>9.7393454216908939</v>
      </c>
      <c r="Y208">
        <v>10.980989035110971</v>
      </c>
      <c r="Z208">
        <v>20.864599085650589</v>
      </c>
      <c r="AA208">
        <v>0</v>
      </c>
      <c r="AB208">
        <v>0</v>
      </c>
      <c r="AC208">
        <v>2.1220370654912406</v>
      </c>
    </row>
    <row r="209" spans="1:31" ht="14.4" x14ac:dyDescent="0.3">
      <c r="A209" t="s">
        <v>448</v>
      </c>
      <c r="B209" s="4">
        <f>Tx_croissance!AH209</f>
        <v>2.3358055670246181</v>
      </c>
      <c r="C209" s="4">
        <f t="shared" si="3"/>
        <v>9.1865754989832826</v>
      </c>
      <c r="D209" s="4">
        <v>16.902081330767651</v>
      </c>
      <c r="E209" s="4">
        <v>0.25161964764506056</v>
      </c>
      <c r="F209" s="4">
        <v>-1.1918542161583907</v>
      </c>
      <c r="G209" s="4">
        <v>76.253962962962959</v>
      </c>
      <c r="H209" s="4">
        <v>0.88435485462347685</v>
      </c>
      <c r="I209" s="4">
        <v>110.1084156036376</v>
      </c>
      <c r="J209" s="4">
        <v>98.07501029968266</v>
      </c>
      <c r="K209" s="4">
        <v>44.26933161417643</v>
      </c>
      <c r="L209" s="4">
        <v>1.237697233756383</v>
      </c>
      <c r="M209" s="4">
        <v>0.59500909845034278</v>
      </c>
      <c r="N209" s="4">
        <v>0.63242913037538528</v>
      </c>
      <c r="O209" s="4">
        <v>1.0875176837046934</v>
      </c>
      <c r="P209">
        <v>9765.152878838695</v>
      </c>
      <c r="Q209">
        <v>16.517743619130297</v>
      </c>
      <c r="R209">
        <v>24.971398207367805</v>
      </c>
      <c r="S209">
        <v>22.84</v>
      </c>
      <c r="T209">
        <v>15.716736039699473</v>
      </c>
      <c r="U209">
        <v>56.875919738505935</v>
      </c>
      <c r="V209">
        <f>'VATtax et trade tax et ipc '!AI209</f>
        <v>8.6131540614963544</v>
      </c>
      <c r="W209" s="9">
        <v>0.89071668458134889</v>
      </c>
      <c r="X209">
        <f>'VATtax et trade tax et ipc '!AM209</f>
        <v>4.9499598542262131</v>
      </c>
      <c r="Y209">
        <v>16.878758028336772</v>
      </c>
      <c r="Z209">
        <v>13.526948467543848</v>
      </c>
      <c r="AA209">
        <v>0</v>
      </c>
      <c r="AB209">
        <v>0</v>
      </c>
      <c r="AC209">
        <v>5.7098228739442041</v>
      </c>
    </row>
    <row r="210" spans="1:31" ht="14.4" x14ac:dyDescent="0.3">
      <c r="A210" t="s">
        <v>450</v>
      </c>
      <c r="B210" s="4">
        <f>Tx_croissance!AH210</f>
        <v>4.2025446861504001</v>
      </c>
      <c r="C210" s="4">
        <f t="shared" si="3"/>
        <v>7.0413863436018111</v>
      </c>
      <c r="D210" s="4">
        <v>25.369274100771523</v>
      </c>
      <c r="E210" s="4">
        <v>1.6630792995221853</v>
      </c>
      <c r="F210" s="4">
        <v>-0.17568633697616562</v>
      </c>
      <c r="G210" s="4">
        <v>68.281962962962965</v>
      </c>
      <c r="H210" s="4">
        <v>-0.77658161272605242</v>
      </c>
      <c r="I210" s="4" t="s">
        <v>37</v>
      </c>
      <c r="J210" s="4" t="s">
        <v>37</v>
      </c>
      <c r="K210" s="4" t="s">
        <v>37</v>
      </c>
      <c r="L210" s="4">
        <v>-1.1185982748866079</v>
      </c>
      <c r="M210" s="4">
        <v>-1.4585877433419221</v>
      </c>
      <c r="N210" s="4">
        <v>-1.2243566090861953</v>
      </c>
      <c r="O210" s="4">
        <v>-1.8405121763547259</v>
      </c>
      <c r="P210">
        <v>1142.9710593857944</v>
      </c>
      <c r="Q210">
        <v>13.294028902403763</v>
      </c>
      <c r="R210">
        <v>31.314101904083504</v>
      </c>
      <c r="S210">
        <v>5.52</v>
      </c>
      <c r="T210">
        <v>19.822504493785882</v>
      </c>
      <c r="U210" t="s">
        <v>37</v>
      </c>
      <c r="V210">
        <f>'VATtax et trade tax et ipc '!AI210</f>
        <v>13.558105518039422</v>
      </c>
      <c r="W210" s="9">
        <v>2.2564103557399453</v>
      </c>
      <c r="X210">
        <f>'VATtax et trade tax et ipc '!AM210</f>
        <v>7.0172024808820845</v>
      </c>
      <c r="Z210">
        <v>24.199826082533846</v>
      </c>
      <c r="AA210">
        <v>0</v>
      </c>
      <c r="AB210">
        <v>1</v>
      </c>
      <c r="AC210">
        <v>4.8668596614633435</v>
      </c>
    </row>
    <row r="211" spans="1:31" ht="14.4" x14ac:dyDescent="0.3">
      <c r="A211" t="s">
        <v>452</v>
      </c>
      <c r="B211" s="4">
        <f>Tx_croissance!AH211</f>
        <v>-0.12448700294197534</v>
      </c>
      <c r="C211" s="4">
        <f t="shared" si="3"/>
        <v>7.8875986546783379</v>
      </c>
      <c r="D211" s="4">
        <v>27.570045238608021</v>
      </c>
      <c r="E211" s="4">
        <v>2.4064612240417982</v>
      </c>
      <c r="F211" s="4">
        <v>1.0525227000838837</v>
      </c>
      <c r="G211" s="4">
        <v>69.356259259259261</v>
      </c>
      <c r="H211" s="4">
        <v>0.9938668919106326</v>
      </c>
      <c r="I211" s="4">
        <v>108.86285400390624</v>
      </c>
      <c r="J211" s="4">
        <v>88.073493533664291</v>
      </c>
      <c r="K211" s="4">
        <v>19.769844561815258</v>
      </c>
      <c r="L211" s="4">
        <v>0.13763906502087292</v>
      </c>
      <c r="M211" s="4">
        <v>-0.36661267106568346</v>
      </c>
      <c r="N211" s="4">
        <v>0.44376079210390657</v>
      </c>
      <c r="O211" s="4">
        <v>0.5534880720078944</v>
      </c>
      <c r="P211">
        <v>2664.0389560049325</v>
      </c>
      <c r="Q211">
        <v>17.388947054862552</v>
      </c>
      <c r="R211" t="e">
        <v>#DIV/0!</v>
      </c>
      <c r="S211">
        <v>0</v>
      </c>
      <c r="T211" t="e">
        <v>#DIV/0!</v>
      </c>
      <c r="U211">
        <v>25.116401917514263</v>
      </c>
      <c r="V211">
        <f>'VATtax et trade tax et ipc '!AI211</f>
        <v>12.870266033498963</v>
      </c>
      <c r="W211" s="9">
        <v>4.8522861932849688</v>
      </c>
      <c r="X211" t="str">
        <f>'VATtax et trade tax et ipc '!AM211</f>
        <v>NA</v>
      </c>
      <c r="Y211">
        <v>17.901477480055807</v>
      </c>
      <c r="Z211">
        <v>21.740063678317174</v>
      </c>
      <c r="AA211">
        <v>0</v>
      </c>
      <c r="AB211">
        <v>1</v>
      </c>
      <c r="AC211">
        <v>31.149077184886867</v>
      </c>
    </row>
    <row r="212" spans="1:31" ht="14.4" x14ac:dyDescent="0.3">
      <c r="A212" t="s">
        <v>454</v>
      </c>
      <c r="B212" s="4" t="str">
        <f>Tx_croissance!AH212</f>
        <v>NA</v>
      </c>
      <c r="C212" s="4" t="str">
        <f t="shared" si="3"/>
        <v>NA</v>
      </c>
      <c r="D212" s="4">
        <v>21.178874265154974</v>
      </c>
      <c r="E212" s="4">
        <v>0.95835637647928618</v>
      </c>
      <c r="F212" s="4">
        <v>-0.83351415147384034</v>
      </c>
      <c r="G212" s="4">
        <v>72.36870370370373</v>
      </c>
      <c r="H212" s="4">
        <v>-1.1624949822823207</v>
      </c>
      <c r="I212" s="4">
        <v>111.29775772094736</v>
      </c>
      <c r="J212" s="4">
        <v>46.315955942327321</v>
      </c>
      <c r="K212" s="4">
        <v>4.3926399946212769</v>
      </c>
      <c r="L212" s="4">
        <v>-1.224823007980983</v>
      </c>
      <c r="M212" s="4">
        <v>-1.4663398638367651</v>
      </c>
      <c r="N212" s="4">
        <v>-1.6780482729276029</v>
      </c>
      <c r="O212" s="4">
        <v>-0.87021417108674826</v>
      </c>
      <c r="P212" t="s">
        <v>37</v>
      </c>
      <c r="Q212" t="s">
        <v>37</v>
      </c>
      <c r="R212" t="e">
        <v>#DIV/0!</v>
      </c>
      <c r="S212">
        <v>10.139999999999999</v>
      </c>
      <c r="T212" t="e">
        <v>#DIV/0!</v>
      </c>
      <c r="U212" t="s">
        <v>37</v>
      </c>
      <c r="V212" t="str">
        <f>'VATtax et trade tax et ipc '!AI212</f>
        <v>NA</v>
      </c>
      <c r="W212" s="9" t="str">
        <v>NA</v>
      </c>
      <c r="X212" t="str">
        <f>'VATtax et trade tax et ipc '!AM212</f>
        <v>NA</v>
      </c>
      <c r="Z212">
        <v>15.948856345235452</v>
      </c>
      <c r="AA212">
        <v>0</v>
      </c>
      <c r="AB212">
        <v>1</v>
      </c>
      <c r="AC212" t="s">
        <v>37</v>
      </c>
    </row>
    <row r="213" spans="1:31" ht="14.4" x14ac:dyDescent="0.3">
      <c r="A213" t="s">
        <v>456</v>
      </c>
      <c r="B213" s="4">
        <f>Tx_croissance!AH213</f>
        <v>5.3016675436850402</v>
      </c>
      <c r="C213" s="4">
        <f t="shared" si="3"/>
        <v>6.8091830849186685</v>
      </c>
      <c r="D213" s="4">
        <v>30.184489012899068</v>
      </c>
      <c r="E213" s="4">
        <v>1.0831100080819802</v>
      </c>
      <c r="F213" s="4">
        <v>-1.3705965528885526</v>
      </c>
      <c r="G213" s="4">
        <v>73.239296296296288</v>
      </c>
      <c r="H213" s="4">
        <v>0.19505456602200863</v>
      </c>
      <c r="I213" s="4">
        <v>100.37949488713187</v>
      </c>
      <c r="J213" s="4">
        <v>79.391341018676755</v>
      </c>
      <c r="K213" s="4">
        <v>12.360908687114708</v>
      </c>
      <c r="L213" s="4">
        <v>-0.54292681813240051</v>
      </c>
      <c r="M213" s="4">
        <v>-0.55476633335153258</v>
      </c>
      <c r="N213" s="4">
        <v>-0.37010269053280354</v>
      </c>
      <c r="O213" s="4">
        <v>-1.3958408286174133</v>
      </c>
      <c r="P213">
        <v>906.13027302640478</v>
      </c>
      <c r="Q213" t="s">
        <v>37</v>
      </c>
      <c r="R213" t="e">
        <v>#DIV/0!</v>
      </c>
      <c r="S213">
        <v>16.48</v>
      </c>
      <c r="T213" t="e">
        <v>#DIV/0!</v>
      </c>
      <c r="U213" t="s">
        <v>37</v>
      </c>
      <c r="V213" t="str">
        <f>'VATtax et trade tax et ipc '!AI213</f>
        <v>NA</v>
      </c>
      <c r="W213" s="9" t="str">
        <v>NA</v>
      </c>
      <c r="X213" t="str">
        <f>'VATtax et trade tax et ipc '!AM213</f>
        <v>NA</v>
      </c>
      <c r="Z213">
        <v>25.42115932404802</v>
      </c>
      <c r="AA213">
        <v>0</v>
      </c>
      <c r="AB213">
        <v>1</v>
      </c>
      <c r="AC213" t="s">
        <v>37</v>
      </c>
    </row>
    <row r="214" spans="1:31" ht="14.4" x14ac:dyDescent="0.3">
      <c r="A214" t="s">
        <v>458</v>
      </c>
      <c r="B214" s="4" t="str">
        <f>Tx_croissance!AH214</f>
        <v>NA</v>
      </c>
      <c r="C214" s="4" t="str">
        <f t="shared" si="3"/>
        <v>NA</v>
      </c>
      <c r="D214" s="4" t="s">
        <v>37</v>
      </c>
      <c r="E214" s="4">
        <v>-6.396579060140109E-2</v>
      </c>
      <c r="F214" s="4">
        <v>-0.79957710454861308</v>
      </c>
      <c r="G214" s="4">
        <v>77.199416440831087</v>
      </c>
      <c r="H214" s="4">
        <v>0.72367225352086484</v>
      </c>
      <c r="I214" s="4" t="s">
        <v>37</v>
      </c>
      <c r="J214" s="4" t="s">
        <v>37</v>
      </c>
      <c r="K214" s="4" t="s">
        <v>37</v>
      </c>
      <c r="L214" s="4">
        <v>0.59483551368803567</v>
      </c>
      <c r="M214" s="4">
        <v>0.85589532475722518</v>
      </c>
      <c r="N214" s="4">
        <v>0.84513628551442432</v>
      </c>
      <c r="O214" s="4">
        <v>0.80674775838851931</v>
      </c>
      <c r="P214" t="s">
        <v>37</v>
      </c>
      <c r="Q214" t="s">
        <v>37</v>
      </c>
      <c r="R214" t="e">
        <v>#DIV/0!</v>
      </c>
      <c r="S214" t="e">
        <v>#DIV/0!</v>
      </c>
      <c r="T214" t="e">
        <v>#DIV/0!</v>
      </c>
      <c r="U214" t="s">
        <v>37</v>
      </c>
      <c r="V214" t="str">
        <f>'VATtax et trade tax et ipc '!AI214</f>
        <v>NA</v>
      </c>
      <c r="W214" s="9" t="str">
        <v>NA</v>
      </c>
      <c r="X214" t="str">
        <f>'VATtax et trade tax et ipc '!AM214</f>
        <v>NA</v>
      </c>
      <c r="AA214">
        <v>0</v>
      </c>
      <c r="AB214">
        <v>0</v>
      </c>
      <c r="AC214" t="s">
        <v>37</v>
      </c>
    </row>
    <row r="215" spans="1:31" ht="14.4" x14ac:dyDescent="0.3">
      <c r="A215" t="s">
        <v>460</v>
      </c>
      <c r="B215" s="4">
        <f>Tx_croissance!AH215</f>
        <v>1.2911617902775507</v>
      </c>
      <c r="C215" s="4">
        <f t="shared" si="3"/>
        <v>7.6913223755616151</v>
      </c>
      <c r="D215" s="4">
        <v>25.484687345721987</v>
      </c>
      <c r="E215" s="4">
        <v>2.7028420838209888</v>
      </c>
      <c r="F215" s="4">
        <v>-1.1892741670211155</v>
      </c>
      <c r="G215" s="4">
        <v>72.381555555555551</v>
      </c>
      <c r="H215" s="4">
        <v>-1.7707397043704978</v>
      </c>
      <c r="I215" s="4">
        <v>80.738377888997391</v>
      </c>
      <c r="J215" s="4">
        <v>42.454604408957742</v>
      </c>
      <c r="K215" s="4">
        <v>8.946853240331011</v>
      </c>
      <c r="L215" s="4">
        <v>-0.28897982626222074</v>
      </c>
      <c r="M215" s="4">
        <v>-0.37616681905880539</v>
      </c>
      <c r="N215" s="4">
        <v>-0.37896779552102089</v>
      </c>
      <c r="O215" s="4">
        <v>-0.87792679667472839</v>
      </c>
      <c r="P215">
        <v>2189.2676829923716</v>
      </c>
      <c r="Q215">
        <v>8.3602700470083686</v>
      </c>
      <c r="R215">
        <v>5.9609546957483994</v>
      </c>
      <c r="S215">
        <v>16.22</v>
      </c>
      <c r="T215">
        <v>3.7676093361387273</v>
      </c>
      <c r="U215" t="s">
        <v>37</v>
      </c>
      <c r="V215">
        <f>'VATtax et trade tax et ipc '!AI215</f>
        <v>7.0437210183225352</v>
      </c>
      <c r="W215" s="9">
        <v>4.5580982326505142</v>
      </c>
      <c r="X215">
        <f>'VATtax et trade tax et ipc '!AM215</f>
        <v>0.72466591401381575</v>
      </c>
      <c r="Z215">
        <v>36.02107956622396</v>
      </c>
      <c r="AA215">
        <v>0</v>
      </c>
      <c r="AB215">
        <v>1</v>
      </c>
      <c r="AC215">
        <v>30.070092086415404</v>
      </c>
    </row>
    <row r="216" spans="1:31" ht="14.4" x14ac:dyDescent="0.3">
      <c r="A216" t="s">
        <v>462</v>
      </c>
      <c r="B216" s="4">
        <f>Tx_croissance!AH216</f>
        <v>-2.4770891343877222</v>
      </c>
      <c r="C216" s="4">
        <f t="shared" si="3"/>
        <v>7.602707540341493</v>
      </c>
      <c r="D216" s="4">
        <v>14.266805774245681</v>
      </c>
      <c r="E216" s="4">
        <v>2.7611886316698175</v>
      </c>
      <c r="F216" s="4">
        <v>-1.4936952640612924</v>
      </c>
      <c r="G216" s="4">
        <v>64.812703703703733</v>
      </c>
      <c r="H216" s="4">
        <v>-2.120327010750771</v>
      </c>
      <c r="I216" s="4">
        <v>101.43924302321214</v>
      </c>
      <c r="J216" s="4">
        <v>92.050065040588336</v>
      </c>
      <c r="K216" s="4">
        <v>20.39239009221394</v>
      </c>
      <c r="L216" s="4">
        <v>-1.2456549058357878</v>
      </c>
      <c r="M216" s="4">
        <v>-1.0438314874966934</v>
      </c>
      <c r="N216" s="4">
        <v>-1.389489824573199</v>
      </c>
      <c r="O216" s="4">
        <v>-1.3060015812516208</v>
      </c>
      <c r="P216">
        <v>2003.6134218769068</v>
      </c>
      <c r="Q216" t="s">
        <v>37</v>
      </c>
      <c r="R216" t="e">
        <v>#DIV/0!</v>
      </c>
      <c r="S216">
        <v>23.060000000000006</v>
      </c>
      <c r="T216" t="e">
        <v>#DIV/0!</v>
      </c>
      <c r="U216" t="s">
        <v>37</v>
      </c>
      <c r="V216" t="str">
        <f>'VATtax et trade tax et ipc '!AI216</f>
        <v>NA</v>
      </c>
      <c r="W216" s="9" t="str">
        <v>NA</v>
      </c>
      <c r="X216" t="str">
        <f>'VATtax et trade tax et ipc '!AM216</f>
        <v>NA</v>
      </c>
      <c r="Z216">
        <v>21.356675902842632</v>
      </c>
      <c r="AA216">
        <v>0</v>
      </c>
      <c r="AB216">
        <v>1</v>
      </c>
      <c r="AC216" t="s">
        <v>37</v>
      </c>
    </row>
    <row r="217" spans="1:31" ht="14.4" x14ac:dyDescent="0.3">
      <c r="A217" t="s">
        <v>464</v>
      </c>
      <c r="B217" s="4">
        <f>Tx_croissance!AH217</f>
        <v>1.9478464188299016</v>
      </c>
      <c r="C217" s="4">
        <f t="shared" si="3"/>
        <v>6.6554703401968425</v>
      </c>
      <c r="D217" s="4">
        <v>31.064951633042213</v>
      </c>
      <c r="E217" s="4">
        <v>3.0699553273716771</v>
      </c>
      <c r="F217" s="4">
        <v>2.0878915054102758E-2</v>
      </c>
      <c r="G217" s="4">
        <v>53.829740740740739</v>
      </c>
      <c r="H217" s="4">
        <v>0.19977240419636175</v>
      </c>
      <c r="I217" s="4">
        <v>99.931925455729129</v>
      </c>
      <c r="J217" s="4" t="s">
        <v>37</v>
      </c>
      <c r="K217" s="4">
        <v>3.2127774953842199</v>
      </c>
      <c r="L217" s="4">
        <v>-0.56418023382623994</v>
      </c>
      <c r="M217" s="4">
        <v>-0.55065084745486581</v>
      </c>
      <c r="N217" s="4">
        <v>-0.43862819050749141</v>
      </c>
      <c r="O217" s="4">
        <v>-0.27761442990352703</v>
      </c>
      <c r="P217">
        <v>777.02330244670122</v>
      </c>
      <c r="Q217">
        <v>15.503740491574252</v>
      </c>
      <c r="R217">
        <v>44.324501360258985</v>
      </c>
      <c r="S217">
        <v>2.0733333333333333</v>
      </c>
      <c r="T217">
        <v>34.267466363561006</v>
      </c>
      <c r="U217">
        <v>75.929472743412418</v>
      </c>
      <c r="V217">
        <f>'VATtax et trade tax et ipc '!AI217</f>
        <v>6.320875142415086</v>
      </c>
      <c r="W217" s="9">
        <v>1.144529309057424</v>
      </c>
      <c r="X217">
        <f>'VATtax et trade tax et ipc '!AM217</f>
        <v>6.8906519901654617</v>
      </c>
      <c r="Y217">
        <v>15.689500158176156</v>
      </c>
      <c r="AA217">
        <v>0</v>
      </c>
      <c r="AB217">
        <v>1</v>
      </c>
      <c r="AC217">
        <v>11.64823597605117</v>
      </c>
    </row>
    <row r="218" spans="1:31" ht="14.4" x14ac:dyDescent="0.3">
      <c r="A218" t="s">
        <v>466</v>
      </c>
      <c r="B218" s="4">
        <f>Tx_croissance!AH218</f>
        <v>-0.6616281493907028</v>
      </c>
      <c r="C218" s="4">
        <f t="shared" si="3"/>
        <v>7.3839541219279194</v>
      </c>
      <c r="D218" s="4">
        <v>10.961840336907372</v>
      </c>
      <c r="E218" s="4">
        <v>1.4552407614716198</v>
      </c>
      <c r="F218" s="4">
        <v>-0.96427201355497016</v>
      </c>
      <c r="G218" s="4">
        <v>51.435296296296293</v>
      </c>
      <c r="H218" s="4">
        <v>-0.94737469529112162</v>
      </c>
      <c r="I218" s="4">
        <v>104.26700672350428</v>
      </c>
      <c r="J218" s="4">
        <v>43.698055648803702</v>
      </c>
      <c r="K218" s="4">
        <v>8.535463047027589</v>
      </c>
      <c r="L218" s="4">
        <v>-1.2313465947906173</v>
      </c>
      <c r="M218" s="4">
        <v>-1.6954995666941002</v>
      </c>
      <c r="N218" s="4">
        <v>-1.4905985469619434</v>
      </c>
      <c r="O218" s="4">
        <v>-1.2898004278540605</v>
      </c>
      <c r="P218">
        <v>1609.9431099636913</v>
      </c>
      <c r="Q218">
        <v>14.827050377085671</v>
      </c>
      <c r="R218">
        <v>34.383183439156689</v>
      </c>
      <c r="S218">
        <v>17.09333333333333</v>
      </c>
      <c r="T218">
        <v>30.953125683792017</v>
      </c>
      <c r="U218" t="s">
        <v>37</v>
      </c>
      <c r="V218">
        <f>'VATtax et trade tax et ipc '!AI218</f>
        <v>0.21520168424740072</v>
      </c>
      <c r="W218" s="9">
        <v>7.5909708528970068E-2</v>
      </c>
      <c r="X218">
        <f>'VATtax et trade tax et ipc '!AM218</f>
        <v>0.17028255350421517</v>
      </c>
      <c r="Z218">
        <v>24.577260151269449</v>
      </c>
      <c r="AA218">
        <v>0</v>
      </c>
      <c r="AB218">
        <v>1</v>
      </c>
      <c r="AC218">
        <v>20.265773903886867</v>
      </c>
    </row>
    <row r="219" spans="1:31" ht="14.4" x14ac:dyDescent="0.3"/>
    <row r="220" spans="1:31" ht="14.4" x14ac:dyDescent="0.3"/>
    <row r="221" spans="1:31" ht="14.4" x14ac:dyDescent="0.3">
      <c r="A221" s="12"/>
      <c r="B221" s="12" t="s">
        <v>470</v>
      </c>
      <c r="C221" s="12" t="s">
        <v>471</v>
      </c>
      <c r="D221" s="12" t="s">
        <v>472</v>
      </c>
      <c r="E221" s="12" t="s">
        <v>526</v>
      </c>
      <c r="F221" s="12" t="s">
        <v>473</v>
      </c>
      <c r="G221" s="12" t="s">
        <v>527</v>
      </c>
      <c r="H221" s="12" t="s">
        <v>528</v>
      </c>
      <c r="I221" s="12" t="s">
        <v>529</v>
      </c>
      <c r="J221" s="12" t="s">
        <v>530</v>
      </c>
      <c r="K221" s="12" t="s">
        <v>531</v>
      </c>
      <c r="L221" s="12" t="s">
        <v>532</v>
      </c>
      <c r="M221" s="12" t="s">
        <v>474</v>
      </c>
      <c r="N221" s="12" t="s">
        <v>533</v>
      </c>
      <c r="O221" s="12" t="s">
        <v>534</v>
      </c>
      <c r="P221" s="12" t="s">
        <v>475</v>
      </c>
      <c r="Q221" s="12" t="s">
        <v>476</v>
      </c>
      <c r="R221" s="12" t="s">
        <v>477</v>
      </c>
      <c r="S221" s="12" t="s">
        <v>535</v>
      </c>
      <c r="T221" s="12" t="s">
        <v>536</v>
      </c>
      <c r="U221" s="12" t="s">
        <v>524</v>
      </c>
      <c r="V221" s="12" t="s">
        <v>537</v>
      </c>
      <c r="W221" s="12" t="s">
        <v>538</v>
      </c>
      <c r="X221" s="12" t="s">
        <v>539</v>
      </c>
      <c r="Y221" s="14" t="s">
        <v>508</v>
      </c>
      <c r="Z221" s="14" t="s">
        <v>512</v>
      </c>
      <c r="AA221" s="14" t="s">
        <v>516</v>
      </c>
      <c r="AB221" s="12" t="s">
        <v>540</v>
      </c>
      <c r="AC221" s="12" t="s">
        <v>541</v>
      </c>
      <c r="AD221" s="12" t="s">
        <v>542</v>
      </c>
      <c r="AE221" s="10" t="s">
        <v>523</v>
      </c>
    </row>
    <row r="222" spans="1:31" ht="14.4" x14ac:dyDescent="0.3">
      <c r="A222" s="12" t="s">
        <v>31</v>
      </c>
      <c r="B222" s="12">
        <v>87.204486017641813</v>
      </c>
      <c r="C222" s="12">
        <v>39.96787394417656</v>
      </c>
      <c r="D222" s="12">
        <v>5.6691786221095475</v>
      </c>
      <c r="E222" s="12">
        <v>59.095888888888886</v>
      </c>
      <c r="F222" s="12">
        <v>-1.42009029785792</v>
      </c>
      <c r="G222" s="12">
        <v>12.221165999888937</v>
      </c>
      <c r="H222" s="12">
        <v>-2.4809624950091038</v>
      </c>
      <c r="I222" s="12">
        <v>-1.5282862360278771</v>
      </c>
      <c r="J222" s="12">
        <v>-1.4936952640612924</v>
      </c>
      <c r="K222" s="12">
        <v>-1.7212338199218111</v>
      </c>
      <c r="L222" s="12">
        <v>-1.3154747312267616</v>
      </c>
      <c r="M222" s="12" t="s">
        <v>37</v>
      </c>
      <c r="N222" s="12">
        <v>3.5310904893179842</v>
      </c>
      <c r="O222" s="12">
        <v>7.8005405193609105</v>
      </c>
      <c r="P222" s="12">
        <v>28.969577222643576</v>
      </c>
      <c r="Q222" s="12">
        <v>0</v>
      </c>
      <c r="R222" s="12">
        <v>3.8070327982473624</v>
      </c>
      <c r="S222" s="12" t="s">
        <v>37</v>
      </c>
      <c r="T222" s="15" t="s">
        <v>37</v>
      </c>
      <c r="U222" s="12">
        <v>38.778870323020719</v>
      </c>
      <c r="V222" s="12">
        <v>25614666620.875</v>
      </c>
      <c r="W222" s="12">
        <v>3.9076889952023826</v>
      </c>
      <c r="X222" s="12">
        <v>0.53950615599999996</v>
      </c>
      <c r="Y222" s="15">
        <v>2.4019430100000001</v>
      </c>
      <c r="Z222" s="15">
        <v>3.0990700000000002</v>
      </c>
      <c r="AA222" s="15">
        <v>2.4633253110000002</v>
      </c>
      <c r="AB222" s="12" t="s">
        <v>37</v>
      </c>
      <c r="AC222" s="12" t="s">
        <v>37</v>
      </c>
      <c r="AD222" s="12" t="s">
        <v>37</v>
      </c>
      <c r="AE222">
        <v>1</v>
      </c>
    </row>
    <row r="223" spans="1:31" ht="14.4" x14ac:dyDescent="0.3">
      <c r="A223" s="12" t="s">
        <v>35</v>
      </c>
      <c r="B223" s="12">
        <v>107.93092019217362</v>
      </c>
      <c r="C223" s="12">
        <v>86.952466964721722</v>
      </c>
      <c r="D223" s="12">
        <v>38.05699144090925</v>
      </c>
      <c r="E223" s="12">
        <v>76.962703703703696</v>
      </c>
      <c r="F223" s="12">
        <v>-0.67244340355197585</v>
      </c>
      <c r="G223" s="12">
        <v>28.234992482159708</v>
      </c>
      <c r="H223" s="12">
        <v>-7.7433829583848535E-2</v>
      </c>
      <c r="I223" s="12">
        <v>-0.30570640997029802</v>
      </c>
      <c r="J223" s="12">
        <v>2.0878915054102758E-2</v>
      </c>
      <c r="K223" s="12">
        <v>-0.53877781021098314</v>
      </c>
      <c r="L223" s="12">
        <v>3.46980739268474E-2</v>
      </c>
      <c r="M223" s="12">
        <v>1488.0208811962684</v>
      </c>
      <c r="N223" s="12">
        <v>-0.48787352191345401</v>
      </c>
      <c r="O223" s="12">
        <v>16.430994424233223</v>
      </c>
      <c r="P223" s="12">
        <v>19.03424859947156</v>
      </c>
      <c r="Q223" s="12">
        <v>13.1</v>
      </c>
      <c r="R223" s="12">
        <v>13.141789246019307</v>
      </c>
      <c r="S223" s="12">
        <v>5155.2908596415109</v>
      </c>
      <c r="T223" s="15">
        <v>4.7096770860000001</v>
      </c>
      <c r="U223" s="12">
        <v>9.4345674770560262</v>
      </c>
      <c r="V223" s="12">
        <v>9237376722.2222214</v>
      </c>
      <c r="W223" s="12">
        <v>3.3950082063674931</v>
      </c>
      <c r="X223" s="12">
        <v>2.6226128740000001</v>
      </c>
      <c r="Y223" s="15">
        <v>13.41659741</v>
      </c>
      <c r="Z223" s="15">
        <v>0.91035999999999995</v>
      </c>
      <c r="AA223" s="15">
        <v>3.7756395459999998</v>
      </c>
      <c r="AB223" s="12">
        <v>13.600788301996561</v>
      </c>
      <c r="AC223" s="12">
        <v>21.278513459582118</v>
      </c>
      <c r="AD223" s="12">
        <v>23.886990378981068</v>
      </c>
      <c r="AE223">
        <v>1</v>
      </c>
    </row>
    <row r="224" spans="1:31" ht="15" customHeight="1" x14ac:dyDescent="0.3">
      <c r="A224" s="12" t="s">
        <v>38</v>
      </c>
      <c r="B224" s="12">
        <v>109.11002595084052</v>
      </c>
      <c r="C224" s="12">
        <v>78.364137088551246</v>
      </c>
      <c r="D224" s="12">
        <v>32.154688676198326</v>
      </c>
      <c r="E224" s="12">
        <v>72.826666666666654</v>
      </c>
      <c r="F224" s="12">
        <v>-0.64930454517404235</v>
      </c>
      <c r="G224" s="12">
        <v>30.7227781263542</v>
      </c>
      <c r="H224" s="12">
        <v>-1.2189323181907341</v>
      </c>
      <c r="I224" s="12">
        <v>-0.57214573646585143</v>
      </c>
      <c r="J224" s="12">
        <v>-0.96427201355497016</v>
      </c>
      <c r="K224" s="12">
        <v>-0.84774297724167502</v>
      </c>
      <c r="L224" s="12">
        <v>-0.97832619150479705</v>
      </c>
      <c r="M224" s="12">
        <v>2862.1078682782077</v>
      </c>
      <c r="N224" s="12">
        <v>1.6973112445067602</v>
      </c>
      <c r="O224" s="12" t="s">
        <v>37</v>
      </c>
      <c r="P224" s="12" t="s">
        <v>37</v>
      </c>
      <c r="Q224" s="12">
        <v>7.626666666666666</v>
      </c>
      <c r="R224" s="12" t="s">
        <v>37</v>
      </c>
      <c r="S224" s="12">
        <v>3999.7576966775414</v>
      </c>
      <c r="T224" s="15">
        <v>1.247252687</v>
      </c>
      <c r="U224" s="12" t="s">
        <v>37</v>
      </c>
      <c r="V224" s="12" t="s">
        <v>37</v>
      </c>
      <c r="W224" s="12">
        <v>6.7270866740833615</v>
      </c>
      <c r="X224" s="12">
        <v>3.515739714</v>
      </c>
      <c r="Y224" s="15" t="s">
        <v>37</v>
      </c>
      <c r="Z224" s="15" t="s">
        <v>37</v>
      </c>
      <c r="AA224" s="15" t="s">
        <v>37</v>
      </c>
      <c r="AB224" s="12" t="s">
        <v>37</v>
      </c>
      <c r="AC224" s="12">
        <v>29.136944292613631</v>
      </c>
      <c r="AD224" s="12">
        <v>29.801941579266707</v>
      </c>
      <c r="AE224">
        <v>1</v>
      </c>
    </row>
    <row r="225" spans="1:31" ht="15" customHeight="1" x14ac:dyDescent="0.3">
      <c r="A225" s="12" t="s">
        <v>40</v>
      </c>
      <c r="B225" s="12" t="s">
        <v>37</v>
      </c>
      <c r="C225" s="12" t="s">
        <v>37</v>
      </c>
      <c r="D225" s="12" t="s">
        <v>37</v>
      </c>
      <c r="E225" s="12" t="s">
        <v>37</v>
      </c>
      <c r="F225" s="12">
        <v>0.88248916833024316</v>
      </c>
      <c r="G225" s="12" t="s">
        <v>37</v>
      </c>
      <c r="H225" s="12">
        <v>0.9998160694774838</v>
      </c>
      <c r="I225" s="12">
        <v>0.45066374932464792</v>
      </c>
      <c r="J225" s="12">
        <v>0.26575817873603413</v>
      </c>
      <c r="K225" s="12">
        <v>1.1612325185223629</v>
      </c>
      <c r="L225" s="12">
        <v>0.91652831860951045</v>
      </c>
      <c r="M225" s="12" t="s">
        <v>37</v>
      </c>
      <c r="N225" s="12">
        <v>-0.55306271852530187</v>
      </c>
      <c r="O225" s="12" t="s">
        <v>37</v>
      </c>
      <c r="P225" s="12" t="s">
        <v>37</v>
      </c>
      <c r="Q225" s="12" t="s">
        <v>37</v>
      </c>
      <c r="R225" s="12" t="s">
        <v>37</v>
      </c>
      <c r="S225" s="12">
        <v>14969.059942621792</v>
      </c>
      <c r="T225" s="15" t="s">
        <v>37</v>
      </c>
      <c r="U225" s="12" t="s">
        <v>37</v>
      </c>
      <c r="V225" s="12" t="s">
        <v>37</v>
      </c>
      <c r="W225" s="12">
        <v>14.7170495986938</v>
      </c>
      <c r="X225" s="12" t="s">
        <v>37</v>
      </c>
      <c r="Y225" s="15" t="s">
        <v>37</v>
      </c>
      <c r="Z225" s="15" t="s">
        <v>37</v>
      </c>
      <c r="AA225" s="15" t="s">
        <v>37</v>
      </c>
      <c r="AB225" s="12" t="s">
        <v>37</v>
      </c>
      <c r="AC225" s="12" t="s">
        <v>37</v>
      </c>
      <c r="AD225" s="12" t="s">
        <v>37</v>
      </c>
      <c r="AE225">
        <v>0</v>
      </c>
    </row>
    <row r="226" spans="1:31" ht="15" customHeight="1" x14ac:dyDescent="0.3">
      <c r="A226" s="12" t="s">
        <v>42</v>
      </c>
      <c r="B226" s="12">
        <v>89.527079264322921</v>
      </c>
      <c r="C226" s="12">
        <v>89.524159386044474</v>
      </c>
      <c r="D226" s="12">
        <v>13.653440643759339</v>
      </c>
      <c r="E226" s="12" t="s">
        <v>37</v>
      </c>
      <c r="F226" s="12">
        <v>1.2529249787330621</v>
      </c>
      <c r="G226" s="12" t="s">
        <v>37</v>
      </c>
      <c r="H226" s="12">
        <v>1.3621017585198079</v>
      </c>
      <c r="I226" s="12">
        <v>1.5724520335594809</v>
      </c>
      <c r="J226" s="12">
        <v>1.3059024289250372</v>
      </c>
      <c r="K226" s="12">
        <v>1.328359524408977</v>
      </c>
      <c r="L226" s="12">
        <v>1.3110088358322776</v>
      </c>
      <c r="M226" s="12">
        <v>28051.403200512588</v>
      </c>
      <c r="N226" s="12">
        <v>0.95702926651211295</v>
      </c>
      <c r="O226" s="12" t="s">
        <v>37</v>
      </c>
      <c r="P226" s="12" t="s">
        <v>37</v>
      </c>
      <c r="Q226" s="12" t="s">
        <v>37</v>
      </c>
      <c r="R226" s="12" t="s">
        <v>37</v>
      </c>
      <c r="S226" s="12">
        <v>39447.538246832468</v>
      </c>
      <c r="T226" s="15">
        <v>1.2707206740000001</v>
      </c>
      <c r="U226" s="12" t="s">
        <v>37</v>
      </c>
      <c r="V226" s="12" t="s">
        <v>37</v>
      </c>
      <c r="W226" s="12">
        <v>2.72745542866843</v>
      </c>
      <c r="X226" s="12">
        <v>4.4918829259999997</v>
      </c>
      <c r="Y226" s="15" t="s">
        <v>37</v>
      </c>
      <c r="Z226" s="15" t="s">
        <v>37</v>
      </c>
      <c r="AA226" s="15" t="s">
        <v>37</v>
      </c>
      <c r="AB226" s="12" t="s">
        <v>37</v>
      </c>
      <c r="AC226" s="12" t="s">
        <v>37</v>
      </c>
      <c r="AD226" s="12" t="s">
        <v>37</v>
      </c>
      <c r="AE226">
        <v>0</v>
      </c>
    </row>
    <row r="227" spans="1:31" ht="15" customHeight="1" x14ac:dyDescent="0.3">
      <c r="A227" s="12" t="s">
        <v>44</v>
      </c>
      <c r="B227" s="12">
        <v>107.48071975707998</v>
      </c>
      <c r="C227" s="12">
        <v>22.097866344451887</v>
      </c>
      <c r="D227" s="12">
        <v>5.4010473276887643</v>
      </c>
      <c r="E227" s="12">
        <v>54.111888888888906</v>
      </c>
      <c r="F227" s="12">
        <v>-1.2330975284179053</v>
      </c>
      <c r="G227" s="12">
        <v>26.839838412968692</v>
      </c>
      <c r="H227" s="12">
        <v>-0.76937486231327057</v>
      </c>
      <c r="I227" s="12">
        <v>-1.0962019488215446</v>
      </c>
      <c r="J227" s="12">
        <v>-1.0589671259125073</v>
      </c>
      <c r="K227" s="12">
        <v>-1.268366634845733</v>
      </c>
      <c r="L227" s="12">
        <v>-1.1383518204092977</v>
      </c>
      <c r="M227" s="12">
        <v>1675.7080928898997</v>
      </c>
      <c r="N227" s="12">
        <v>3.4859092777585512</v>
      </c>
      <c r="O227" s="12">
        <v>16.951172104289917</v>
      </c>
      <c r="P227" s="12">
        <v>75.134266217575714</v>
      </c>
      <c r="Q227" s="12">
        <v>23.919999999999998</v>
      </c>
      <c r="R227" s="12">
        <v>40.214544037144009</v>
      </c>
      <c r="S227" s="12">
        <v>2385.1199588141799</v>
      </c>
      <c r="T227" s="15">
        <v>1.3160423880000001</v>
      </c>
      <c r="U227" s="12">
        <v>6.4242977597438991</v>
      </c>
      <c r="V227" s="12">
        <v>79955052260.190475</v>
      </c>
      <c r="W227" s="12">
        <v>2.7140702009201041</v>
      </c>
      <c r="X227" s="12">
        <v>1.5197026570000001</v>
      </c>
      <c r="Y227" s="15">
        <v>1.1549995200000001</v>
      </c>
      <c r="Z227" s="15">
        <v>0.70916000000000001</v>
      </c>
      <c r="AA227" s="15">
        <v>7.7522471639999999</v>
      </c>
      <c r="AB227" s="12" t="s">
        <v>37</v>
      </c>
      <c r="AC227" s="12" t="s">
        <v>37</v>
      </c>
      <c r="AD227" s="12">
        <v>25.672319611289112</v>
      </c>
      <c r="AE227">
        <v>1</v>
      </c>
    </row>
    <row r="228" spans="1:31" ht="15" customHeight="1" x14ac:dyDescent="0.3">
      <c r="A228" s="12" t="s">
        <v>46</v>
      </c>
      <c r="B228" s="12">
        <v>115.11915079752613</v>
      </c>
      <c r="C228" s="12">
        <v>113.40095728093917</v>
      </c>
      <c r="D228" s="12">
        <v>17.841112852096575</v>
      </c>
      <c r="E228" s="12">
        <v>76.391518518518509</v>
      </c>
      <c r="F228" s="12">
        <v>0.80119645347197854</v>
      </c>
      <c r="G228" s="12" t="s">
        <v>37</v>
      </c>
      <c r="H228" s="12">
        <v>0.86728527396917376</v>
      </c>
      <c r="I228" s="12">
        <v>0.30916600115597248</v>
      </c>
      <c r="J228" s="12">
        <v>0.54966119490563869</v>
      </c>
      <c r="K228" s="12">
        <v>0.71992284556229913</v>
      </c>
      <c r="L228" s="12">
        <v>0.55544067174196243</v>
      </c>
      <c r="M228" s="12">
        <v>13584.273462779563</v>
      </c>
      <c r="N228" s="12">
        <v>1.2192033122844401</v>
      </c>
      <c r="O228" s="12" t="s">
        <v>37</v>
      </c>
      <c r="P228" s="12" t="s">
        <v>37</v>
      </c>
      <c r="Q228" s="12">
        <v>27.873333333333328</v>
      </c>
      <c r="R228" s="12" t="s">
        <v>37</v>
      </c>
      <c r="S228" s="12">
        <v>17335.047039518002</v>
      </c>
      <c r="T228" s="15">
        <v>0.90711749429999999</v>
      </c>
      <c r="U228" s="12" t="s">
        <v>37</v>
      </c>
      <c r="V228" s="12" t="s">
        <v>37</v>
      </c>
      <c r="W228" s="12">
        <v>2.9844587032611551</v>
      </c>
      <c r="X228" s="12">
        <v>2.8938480329999998</v>
      </c>
      <c r="Y228" s="15" t="s">
        <v>37</v>
      </c>
      <c r="Z228" s="15" t="s">
        <v>37</v>
      </c>
      <c r="AA228" s="15" t="s">
        <v>37</v>
      </c>
      <c r="AB228" s="12" t="s">
        <v>37</v>
      </c>
      <c r="AC228" s="12" t="s">
        <v>37</v>
      </c>
      <c r="AD228" s="12" t="s">
        <v>37</v>
      </c>
      <c r="AE228">
        <v>0</v>
      </c>
    </row>
    <row r="229" spans="1:31" ht="15" customHeight="1" x14ac:dyDescent="0.3">
      <c r="A229" s="12" t="s">
        <v>48</v>
      </c>
      <c r="B229" s="12">
        <v>114.70298092181871</v>
      </c>
      <c r="C229" s="12">
        <v>98.955016502967197</v>
      </c>
      <c r="D229" s="12">
        <v>74.241268952687577</v>
      </c>
      <c r="E229" s="12">
        <v>75.272592592592616</v>
      </c>
      <c r="F229" s="12">
        <v>-0.34692160878330469</v>
      </c>
      <c r="G229" s="12">
        <v>16.526854307492393</v>
      </c>
      <c r="H229" s="12">
        <v>-6.2694980559172109E-2</v>
      </c>
      <c r="I229" s="12">
        <v>-7.5531619562146435E-2</v>
      </c>
      <c r="J229" s="12">
        <v>-0.52550968776146589</v>
      </c>
      <c r="K229" s="12">
        <v>-0.51334566467752063</v>
      </c>
      <c r="L229" s="12">
        <v>0.40665429333845776</v>
      </c>
      <c r="M229" s="12">
        <v>9969.331575797225</v>
      </c>
      <c r="N229" s="12">
        <v>1.0512719897938838</v>
      </c>
      <c r="O229" s="12">
        <v>11.235856267638322</v>
      </c>
      <c r="P229" s="12">
        <v>21.450258158248797</v>
      </c>
      <c r="Q229" s="12">
        <v>2.7199999999999998</v>
      </c>
      <c r="R229" s="12">
        <v>13.771817447865642</v>
      </c>
      <c r="S229" s="12">
        <v>12940.73843521567</v>
      </c>
      <c r="T229" s="15">
        <v>0.97085591360000001</v>
      </c>
      <c r="U229" s="12">
        <v>6.1704261835478356</v>
      </c>
      <c r="V229" s="12">
        <v>40896891608.907776</v>
      </c>
      <c r="W229" s="12">
        <v>4.7354196262359611</v>
      </c>
      <c r="X229" s="12">
        <v>5.2662981240000004</v>
      </c>
      <c r="Y229" s="15">
        <v>3.9050876419999998</v>
      </c>
      <c r="Z229" s="15">
        <v>1.5709500000000001</v>
      </c>
      <c r="AA229" s="15">
        <v>1.352340256</v>
      </c>
      <c r="AB229" s="12">
        <v>8.054357651723091</v>
      </c>
      <c r="AC229" s="12">
        <v>17.937746110701493</v>
      </c>
      <c r="AD229" s="12">
        <v>17.884309158735554</v>
      </c>
      <c r="AE229">
        <v>0</v>
      </c>
    </row>
    <row r="230" spans="1:31" ht="15" customHeight="1" x14ac:dyDescent="0.3">
      <c r="A230" s="12" t="s">
        <v>50</v>
      </c>
      <c r="B230" s="12">
        <v>99.739046641758506</v>
      </c>
      <c r="C230" s="12">
        <v>89.307829770174877</v>
      </c>
      <c r="D230" s="12">
        <v>41.944903646196636</v>
      </c>
      <c r="E230" s="12">
        <v>72.329666666666682</v>
      </c>
      <c r="F230" s="12">
        <v>-0.55545039374070859</v>
      </c>
      <c r="G230" s="12">
        <v>24.927533566819015</v>
      </c>
      <c r="H230" s="12">
        <v>-0.27584208697468665</v>
      </c>
      <c r="I230" s="12">
        <v>-0.22971241517613325</v>
      </c>
      <c r="J230" s="12">
        <v>0.15242438095932209</v>
      </c>
      <c r="K230" s="12">
        <v>-0.35538289075096446</v>
      </c>
      <c r="L230" s="12">
        <v>-0.47553954801211756</v>
      </c>
      <c r="M230" s="12">
        <v>928.09249657732209</v>
      </c>
      <c r="N230" s="12">
        <v>-0.70230844226589317</v>
      </c>
      <c r="O230" s="12">
        <v>18.749481035258842</v>
      </c>
      <c r="P230" s="12">
        <v>32.915449139780144</v>
      </c>
      <c r="Q230" s="12">
        <v>16.62</v>
      </c>
      <c r="R230" s="12">
        <v>27.46684677353386</v>
      </c>
      <c r="S230" s="12">
        <v>5116.2057562728023</v>
      </c>
      <c r="T230" s="15">
        <v>6.5264997149999999</v>
      </c>
      <c r="U230" s="12">
        <v>5.3095739134657549</v>
      </c>
      <c r="V230" s="12">
        <v>47316561105.07917</v>
      </c>
      <c r="W230" s="12">
        <v>2.6674072313308712</v>
      </c>
      <c r="X230" s="12">
        <v>1.4945865840000001</v>
      </c>
      <c r="Y230" s="15">
        <v>12.52826391</v>
      </c>
      <c r="Z230" s="15">
        <v>1.3716200000000001</v>
      </c>
      <c r="AA230" s="15">
        <v>9.0651098099999992</v>
      </c>
      <c r="AB230" s="12" t="s">
        <v>37</v>
      </c>
      <c r="AC230" s="12">
        <v>16.153955432999123</v>
      </c>
      <c r="AD230" s="12">
        <v>20.265859806852617</v>
      </c>
      <c r="AE230">
        <v>1</v>
      </c>
    </row>
    <row r="231" spans="1:31" ht="15" customHeight="1" x14ac:dyDescent="0.3">
      <c r="A231" s="12" t="s">
        <v>52</v>
      </c>
      <c r="B231" s="12">
        <v>115.71319876776801</v>
      </c>
      <c r="C231" s="12">
        <v>100.72019250052313</v>
      </c>
      <c r="D231" s="12">
        <v>29.139934221903484</v>
      </c>
      <c r="E231" s="12">
        <v>74.586444444444453</v>
      </c>
      <c r="F231" s="12">
        <v>1.1393865472392033</v>
      </c>
      <c r="G231" s="12" t="s">
        <v>37</v>
      </c>
      <c r="H231" s="12">
        <v>1.276862608759026</v>
      </c>
      <c r="I231" s="12">
        <v>1.1339918939690841</v>
      </c>
      <c r="J231" s="12">
        <v>1.0875310897827142</v>
      </c>
      <c r="K231" s="12">
        <v>1.1622112016928821</v>
      </c>
      <c r="L231" s="12">
        <v>1.1683587055457263</v>
      </c>
      <c r="M231" s="12">
        <v>29497.96330754802</v>
      </c>
      <c r="N231" s="12">
        <v>1.3143644098760812</v>
      </c>
      <c r="O231" s="12" t="s">
        <v>37</v>
      </c>
      <c r="P231" s="12" t="s">
        <v>37</v>
      </c>
      <c r="Q231" s="12" t="s">
        <v>37</v>
      </c>
      <c r="R231" s="12" t="s">
        <v>37</v>
      </c>
      <c r="S231" s="12">
        <v>32492.17862612156</v>
      </c>
      <c r="T231" s="15">
        <v>0.35870916829999999</v>
      </c>
      <c r="U231" s="12" t="s">
        <v>37</v>
      </c>
      <c r="V231" s="12" t="s">
        <v>37</v>
      </c>
      <c r="W231" s="12">
        <v>5.3257635340971108</v>
      </c>
      <c r="X231" s="12" t="s">
        <v>37</v>
      </c>
      <c r="Y231" s="15" t="s">
        <v>37</v>
      </c>
      <c r="Z231" s="15" t="s">
        <v>37</v>
      </c>
      <c r="AA231" s="15" t="s">
        <v>37</v>
      </c>
      <c r="AB231" s="12" t="s">
        <v>37</v>
      </c>
      <c r="AC231" s="12" t="s">
        <v>37</v>
      </c>
      <c r="AD231" s="12" t="s">
        <v>37</v>
      </c>
      <c r="AE231">
        <v>0</v>
      </c>
    </row>
    <row r="232" spans="1:31" ht="15" customHeight="1" x14ac:dyDescent="0.3">
      <c r="A232" s="12" t="s">
        <v>54</v>
      </c>
      <c r="B232" s="12">
        <v>102.78112482141559</v>
      </c>
      <c r="C232" s="12">
        <v>146.69508056640632</v>
      </c>
      <c r="D232" s="12">
        <v>101.18495330810543</v>
      </c>
      <c r="E232" s="12">
        <v>81.006775067750709</v>
      </c>
      <c r="F232" s="12">
        <v>1.8690128525098169</v>
      </c>
      <c r="G232" s="12">
        <v>25.51446364691779</v>
      </c>
      <c r="H232" s="12">
        <v>0.98132157574097334</v>
      </c>
      <c r="I232" s="12">
        <v>1.6610912581284845</v>
      </c>
      <c r="J232" s="12">
        <v>1.7265004118283593</v>
      </c>
      <c r="K232" s="12">
        <v>1.7302952110767356</v>
      </c>
      <c r="L232" s="12">
        <v>1.3990896940231321</v>
      </c>
      <c r="M232" s="12">
        <v>39309.994664562306</v>
      </c>
      <c r="N232" s="12">
        <v>1.3571022338717229</v>
      </c>
      <c r="O232" s="12">
        <v>22.759213127442813</v>
      </c>
      <c r="P232" s="12">
        <v>72.064757098004989</v>
      </c>
      <c r="Q232" s="12">
        <v>26.266666666666666</v>
      </c>
      <c r="R232" s="12">
        <v>64.892736463016064</v>
      </c>
      <c r="S232" s="12">
        <v>60993.641250362984</v>
      </c>
      <c r="T232" s="15">
        <v>1.6403107809999999</v>
      </c>
      <c r="U232" s="12">
        <v>2.8204188901731198</v>
      </c>
      <c r="V232" s="12">
        <v>8283678571.4285717</v>
      </c>
      <c r="W232" s="12">
        <v>5.1353667974472046</v>
      </c>
      <c r="X232" s="12">
        <v>6.3472090220000004</v>
      </c>
      <c r="Y232" s="15">
        <v>5.4911305190000004</v>
      </c>
      <c r="Z232" s="15">
        <v>0.67025000000000001</v>
      </c>
      <c r="AA232" s="15">
        <v>16.434395089999999</v>
      </c>
      <c r="AB232" s="12">
        <v>21.159593906172482</v>
      </c>
      <c r="AC232" s="12">
        <v>25.0952916833049</v>
      </c>
      <c r="AD232" s="12">
        <v>23.020151112989296</v>
      </c>
      <c r="AE232">
        <v>0</v>
      </c>
    </row>
    <row r="233" spans="1:31" ht="15" customHeight="1" x14ac:dyDescent="0.3">
      <c r="A233" s="12" t="s">
        <v>56</v>
      </c>
      <c r="B233" s="12">
        <v>101.69800426341857</v>
      </c>
      <c r="C233" s="12">
        <v>100.66311786792896</v>
      </c>
      <c r="D233" s="12">
        <v>73.446606686240742</v>
      </c>
      <c r="E233" s="12">
        <v>79.828726287262896</v>
      </c>
      <c r="F233" s="12">
        <v>1.6486806174119308</v>
      </c>
      <c r="G233" s="12">
        <v>23.921076906988251</v>
      </c>
      <c r="H233" s="12">
        <v>1.0967105949918428</v>
      </c>
      <c r="I233" s="12">
        <v>1.6619660506645839</v>
      </c>
      <c r="J233" s="12">
        <v>1.4838394125302627</v>
      </c>
      <c r="K233" s="12">
        <v>1.828032463788986</v>
      </c>
      <c r="L233" s="12">
        <v>1.3867747584978731</v>
      </c>
      <c r="M233" s="12">
        <v>33790.484985750394</v>
      </c>
      <c r="N233" s="12">
        <v>0.44769182698913235</v>
      </c>
      <c r="O233" s="12">
        <v>25.949296526580095</v>
      </c>
      <c r="P233" s="12">
        <v>46.996991171468864</v>
      </c>
      <c r="Q233" s="12">
        <v>16.86</v>
      </c>
      <c r="R233" s="12">
        <v>27.534630109908196</v>
      </c>
      <c r="S233" s="12">
        <v>46697.856519391273</v>
      </c>
      <c r="T233" s="15">
        <v>1.205425956</v>
      </c>
      <c r="U233" s="12">
        <v>9.8863037269157558E-3</v>
      </c>
      <c r="V233" s="12">
        <v>3617777.777777778</v>
      </c>
      <c r="W233" s="12">
        <v>5.4595092626718378</v>
      </c>
      <c r="X233" s="12">
        <v>7.3370118599999996</v>
      </c>
      <c r="Y233" s="15">
        <v>11.74517797</v>
      </c>
      <c r="Z233" s="15">
        <v>-2.7499999999999998E-3</v>
      </c>
      <c r="AA233" s="15">
        <v>11.93603972</v>
      </c>
      <c r="AB233" s="12">
        <v>24.600106166880181</v>
      </c>
      <c r="AC233" s="12">
        <v>25.299057945883202</v>
      </c>
      <c r="AD233" s="12">
        <v>25.297088012896808</v>
      </c>
      <c r="AE233">
        <v>0</v>
      </c>
    </row>
    <row r="234" spans="1:31" ht="15" customHeight="1" x14ac:dyDescent="0.3">
      <c r="A234" s="12" t="s">
        <v>58</v>
      </c>
      <c r="B234" s="12">
        <v>98.485198974609375</v>
      </c>
      <c r="C234" s="12">
        <v>84.919172433706436</v>
      </c>
      <c r="D234" s="12">
        <v>25.630760417265062</v>
      </c>
      <c r="E234" s="12">
        <v>68.094740740740733</v>
      </c>
      <c r="F234" s="12">
        <v>-1.0847096368670461</v>
      </c>
      <c r="G234" s="12">
        <v>26.805767377282432</v>
      </c>
      <c r="H234" s="12">
        <v>-0.74111290959020437</v>
      </c>
      <c r="I234" s="12">
        <v>-0.55437020864337683</v>
      </c>
      <c r="J234" s="12">
        <v>-0.47731127124279737</v>
      </c>
      <c r="K234" s="12">
        <v>-0.8202803060412408</v>
      </c>
      <c r="L234" s="12">
        <v>-1.3069318284591045</v>
      </c>
      <c r="M234" s="12">
        <v>1102.4978900740705</v>
      </c>
      <c r="N234" s="12">
        <v>1.0687847525605338</v>
      </c>
      <c r="O234" s="12">
        <v>13.59583191516937</v>
      </c>
      <c r="P234" s="12">
        <v>36.10159545526831</v>
      </c>
      <c r="Q234" s="12">
        <v>13.4</v>
      </c>
      <c r="R234" s="12">
        <v>15.683281198748949</v>
      </c>
      <c r="S234" s="12">
        <v>5590.0043955173096</v>
      </c>
      <c r="T234" s="15">
        <v>6.1970332959999999</v>
      </c>
      <c r="U234" s="12">
        <v>7.593968520071118</v>
      </c>
      <c r="V234" s="12">
        <v>414859294.7368421</v>
      </c>
      <c r="W234" s="12">
        <v>3.0626196066538491</v>
      </c>
      <c r="X234" s="12">
        <v>1.0117925160000001</v>
      </c>
      <c r="Y234" s="15">
        <v>8.2392437810000008</v>
      </c>
      <c r="Z234" s="15">
        <v>1.47435</v>
      </c>
      <c r="AA234" s="15">
        <v>6.0267987679999999</v>
      </c>
      <c r="AB234" s="12">
        <v>17.954072546630425</v>
      </c>
      <c r="AC234" s="12">
        <v>15.643452994657418</v>
      </c>
      <c r="AD234" s="12">
        <v>12.878308965834693</v>
      </c>
      <c r="AE234">
        <v>1</v>
      </c>
    </row>
    <row r="235" spans="1:31" ht="15" customHeight="1" x14ac:dyDescent="0.3">
      <c r="A235" s="12" t="s">
        <v>60</v>
      </c>
      <c r="B235" s="12">
        <v>89.680843607584634</v>
      </c>
      <c r="C235" s="12">
        <v>83.060658968411957</v>
      </c>
      <c r="D235" s="12">
        <v>14.3343200683594</v>
      </c>
      <c r="E235" s="12">
        <v>72.391037037037052</v>
      </c>
      <c r="F235" s="12">
        <v>1.2644202907880147</v>
      </c>
      <c r="G235" s="12">
        <v>26.505854738571223</v>
      </c>
      <c r="H235" s="12">
        <v>0.94337776799996664</v>
      </c>
      <c r="I235" s="12">
        <v>0.9119812759260334</v>
      </c>
      <c r="J235" s="12">
        <v>0.58671983581249731</v>
      </c>
      <c r="K235" s="12">
        <v>0.75484676876415813</v>
      </c>
      <c r="L235" s="12">
        <v>0.98894457022349069</v>
      </c>
      <c r="M235" s="12">
        <v>28410.555903393575</v>
      </c>
      <c r="N235" s="12">
        <v>1.2128414536961527</v>
      </c>
      <c r="O235" s="12">
        <v>12.562804244968117</v>
      </c>
      <c r="P235" s="12" t="s">
        <v>37</v>
      </c>
      <c r="Q235" s="12">
        <v>0</v>
      </c>
      <c r="R235" s="12" t="s">
        <v>37</v>
      </c>
      <c r="S235" s="12">
        <v>30283.896986503489</v>
      </c>
      <c r="T235" s="15">
        <v>0.23678120280000001</v>
      </c>
      <c r="U235" s="12">
        <v>35.734648357171551</v>
      </c>
      <c r="V235" s="12">
        <v>369528877.17785704</v>
      </c>
      <c r="W235" s="12">
        <v>2.6477900101588312</v>
      </c>
      <c r="X235" s="12">
        <v>2.3240911959999999</v>
      </c>
      <c r="Y235" s="15">
        <v>5.737624576</v>
      </c>
      <c r="Z235" s="15">
        <v>5.1727699999999999</v>
      </c>
      <c r="AA235" s="15" t="s">
        <v>37</v>
      </c>
      <c r="AB235" s="12">
        <v>17.346165062700496</v>
      </c>
      <c r="AC235" s="12">
        <v>25.438611840186642</v>
      </c>
      <c r="AD235" s="12">
        <v>20.383178004869198</v>
      </c>
      <c r="AE235">
        <v>0</v>
      </c>
    </row>
    <row r="236" spans="1:31" ht="15" customHeight="1" x14ac:dyDescent="0.3">
      <c r="A236" s="12" t="s">
        <v>62</v>
      </c>
      <c r="B236" s="12">
        <v>96.892599626020967</v>
      </c>
      <c r="C236" s="12">
        <v>90.570099792480505</v>
      </c>
      <c r="D236" s="12">
        <v>40.954325834910073</v>
      </c>
      <c r="E236" s="12">
        <v>77.50811111111112</v>
      </c>
      <c r="F236" s="12">
        <v>0.20715693105012178</v>
      </c>
      <c r="G236" s="12">
        <v>23.467915963733702</v>
      </c>
      <c r="H236" s="12">
        <v>-0.45629006046025694</v>
      </c>
      <c r="I236" s="12">
        <v>0.45139073704679805</v>
      </c>
      <c r="J236" s="12">
        <v>0.68849758058786392</v>
      </c>
      <c r="K236" s="12">
        <v>0.42452548622774583</v>
      </c>
      <c r="L236" s="12">
        <v>-1.089448335270087</v>
      </c>
      <c r="M236" s="12">
        <v>20403.37053278352</v>
      </c>
      <c r="N236" s="12">
        <v>3.3437143757736427</v>
      </c>
      <c r="O236" s="12">
        <v>4.455389961493192</v>
      </c>
      <c r="P236" s="12">
        <v>27.343120147935743</v>
      </c>
      <c r="Q236" s="12">
        <v>0</v>
      </c>
      <c r="R236" s="12">
        <v>4.3790231282251657</v>
      </c>
      <c r="S236" s="12">
        <v>24395.472470889126</v>
      </c>
      <c r="T236" s="15">
        <v>0.66403742860000003</v>
      </c>
      <c r="U236" s="12">
        <v>41.223080769984897</v>
      </c>
      <c r="V236" s="12">
        <v>53980000</v>
      </c>
      <c r="W236" s="12">
        <v>2.5531324914523532</v>
      </c>
      <c r="X236" s="12">
        <v>2.5688675729999999</v>
      </c>
      <c r="Y236" s="15">
        <v>0.31447792959999998</v>
      </c>
      <c r="Z236" s="15">
        <v>0.63554999999999995</v>
      </c>
      <c r="AA236" s="15">
        <v>0.43292225649999999</v>
      </c>
      <c r="AB236" s="12">
        <v>4.7967629715723819</v>
      </c>
      <c r="AC236" s="12">
        <v>17.327453729537769</v>
      </c>
      <c r="AD236" s="12" t="s">
        <v>37</v>
      </c>
      <c r="AE236">
        <v>0</v>
      </c>
    </row>
    <row r="237" spans="1:31" ht="15" customHeight="1" x14ac:dyDescent="0.3">
      <c r="A237" s="12" t="s">
        <v>64</v>
      </c>
      <c r="B237" s="12">
        <v>105.78866230357777</v>
      </c>
      <c r="C237" s="12">
        <v>55.475698471069336</v>
      </c>
      <c r="D237" s="12">
        <v>12.775785052258041</v>
      </c>
      <c r="E237" s="12">
        <v>67.719222222222228</v>
      </c>
      <c r="F237" s="12">
        <v>-1.0820966064929955</v>
      </c>
      <c r="G237" s="12">
        <v>26.658803776755082</v>
      </c>
      <c r="H237" s="12">
        <v>-1.1891144501666229</v>
      </c>
      <c r="I237" s="12">
        <v>-0.75506116574009263</v>
      </c>
      <c r="J237" s="12">
        <v>-0.93982781221469247</v>
      </c>
      <c r="K237" s="12">
        <v>-0.82140677918990479</v>
      </c>
      <c r="L237" s="12">
        <v>-0.48791287854934734</v>
      </c>
      <c r="M237" s="12">
        <v>559.68923064433318</v>
      </c>
      <c r="N237" s="12">
        <v>1.4138508425281502</v>
      </c>
      <c r="O237" s="12">
        <v>7.5968698513679795</v>
      </c>
      <c r="P237" s="12">
        <v>25.449191727696032</v>
      </c>
      <c r="Q237" s="12">
        <v>31.071428571428573</v>
      </c>
      <c r="R237" s="12">
        <v>20.23259379819903</v>
      </c>
      <c r="S237" s="12">
        <v>1784.7388796216665</v>
      </c>
      <c r="T237" s="15">
        <v>4.3885533519999997</v>
      </c>
      <c r="U237" s="12">
        <v>28.821819300350946</v>
      </c>
      <c r="V237" s="12">
        <v>211573969656.20145</v>
      </c>
      <c r="W237" s="12">
        <v>1.9926568632540489</v>
      </c>
      <c r="X237" s="12">
        <v>0.54413141200000004</v>
      </c>
      <c r="Y237" s="15">
        <v>4.0092421199999997</v>
      </c>
      <c r="Z237" s="15">
        <v>1.8016000000000001</v>
      </c>
      <c r="AA237" s="15">
        <v>2.5116353469999999</v>
      </c>
      <c r="AB237" s="12" t="s">
        <v>37</v>
      </c>
      <c r="AC237" s="12">
        <v>19.119795822139899</v>
      </c>
      <c r="AD237" s="12">
        <v>32.047275580905023</v>
      </c>
      <c r="AE237">
        <v>1</v>
      </c>
    </row>
    <row r="238" spans="1:31" ht="15" customHeight="1" x14ac:dyDescent="0.3">
      <c r="A238" s="12" t="s">
        <v>66</v>
      </c>
      <c r="B238" s="12">
        <v>99.755564256147949</v>
      </c>
      <c r="C238" s="12">
        <v>107.51421598954634</v>
      </c>
      <c r="D238" s="12">
        <v>55.078339168003637</v>
      </c>
      <c r="E238" s="12">
        <v>75.431555555555548</v>
      </c>
      <c r="F238" s="12">
        <v>1.4049003720283502</v>
      </c>
      <c r="G238" s="12">
        <v>16.778978136657106</v>
      </c>
      <c r="H238" s="12">
        <v>1.0822522441546123</v>
      </c>
      <c r="I238" s="12">
        <v>1.1357789325217409</v>
      </c>
      <c r="J238" s="12">
        <v>0.75509912768999732</v>
      </c>
      <c r="K238" s="12">
        <v>0.9886083429058391</v>
      </c>
      <c r="L238" s="12">
        <v>1.125243768095969</v>
      </c>
      <c r="M238" s="12">
        <v>14219.104384243399</v>
      </c>
      <c r="N238" s="12">
        <v>0.26600554600125992</v>
      </c>
      <c r="O238" s="12">
        <v>25.246765229102841</v>
      </c>
      <c r="P238" s="12">
        <v>34.357318956265907</v>
      </c>
      <c r="Q238" s="12">
        <v>19.622222222222224</v>
      </c>
      <c r="R238" s="12">
        <v>31.820107898765343</v>
      </c>
      <c r="S238" s="12">
        <v>16588.148807992624</v>
      </c>
      <c r="T238" s="15">
        <v>0.57238029270000002</v>
      </c>
      <c r="U238" s="12">
        <v>9.1156997595478675</v>
      </c>
      <c r="V238" s="12">
        <v>200728497.19</v>
      </c>
      <c r="W238" s="12">
        <v>5.2031143578616046</v>
      </c>
      <c r="X238" s="12">
        <v>3.4518952939999998</v>
      </c>
      <c r="Y238" s="15">
        <v>13.164133290000001</v>
      </c>
      <c r="Z238" s="15">
        <v>2.51355</v>
      </c>
      <c r="AA238" s="15">
        <v>9.2873307829999998</v>
      </c>
      <c r="AB238" s="12" t="s">
        <v>37</v>
      </c>
      <c r="AC238" s="12">
        <v>11.661807580174926</v>
      </c>
      <c r="AD238" s="12">
        <v>16.903657049623241</v>
      </c>
      <c r="AE238">
        <v>0</v>
      </c>
    </row>
    <row r="239" spans="1:31" ht="15" customHeight="1" x14ac:dyDescent="0.3">
      <c r="A239" s="12" t="s">
        <v>68</v>
      </c>
      <c r="B239" s="12">
        <v>100.13653264726909</v>
      </c>
      <c r="C239" s="12">
        <v>98.674236899928118</v>
      </c>
      <c r="D239" s="12">
        <v>71.284453392028794</v>
      </c>
      <c r="E239" s="12">
        <v>70.638431797651322</v>
      </c>
      <c r="F239" s="12">
        <v>-0.43211971931547538</v>
      </c>
      <c r="G239" s="12">
        <v>27.849920837981227</v>
      </c>
      <c r="H239" s="12">
        <v>7.8517445595935001E-2</v>
      </c>
      <c r="I239" s="12">
        <v>-0.83133648025492801</v>
      </c>
      <c r="J239" s="12">
        <v>-1.1852768560250593</v>
      </c>
      <c r="K239" s="12">
        <v>-1.0220174665252373</v>
      </c>
      <c r="L239" s="12">
        <v>-1.4641736969351766</v>
      </c>
      <c r="M239" s="12">
        <v>1886.487655007038</v>
      </c>
      <c r="N239" s="12">
        <v>-0.35086875248625266</v>
      </c>
      <c r="O239" s="12">
        <v>16.71398305865085</v>
      </c>
      <c r="P239" s="12">
        <v>11.051499307910536</v>
      </c>
      <c r="Q239" s="12">
        <v>15.879999999999999</v>
      </c>
      <c r="R239" s="12">
        <v>6.1935302321377366</v>
      </c>
      <c r="S239" s="12">
        <v>6204.0966622438327</v>
      </c>
      <c r="T239" s="15">
        <v>4.5078850279999996</v>
      </c>
      <c r="U239" s="12">
        <v>9.6035609643448758</v>
      </c>
      <c r="V239" s="12">
        <v>694981798.97136366</v>
      </c>
      <c r="W239" s="12">
        <v>5.2596303167797274</v>
      </c>
      <c r="X239" s="12">
        <v>3.9281704660000001</v>
      </c>
      <c r="Y239" s="15">
        <v>8.0357777670000008</v>
      </c>
      <c r="Z239" s="15">
        <v>3.1923400000000002</v>
      </c>
      <c r="AA239" s="15">
        <v>0.85928337440000002</v>
      </c>
      <c r="AB239" s="12">
        <v>19.887646928000134</v>
      </c>
      <c r="AC239" s="12">
        <v>24.697906970997423</v>
      </c>
      <c r="AD239" s="12">
        <v>19.421133487307575</v>
      </c>
      <c r="AE239">
        <v>0</v>
      </c>
    </row>
    <row r="240" spans="1:31" ht="15" customHeight="1" x14ac:dyDescent="0.3">
      <c r="A240" s="12" t="s">
        <v>70</v>
      </c>
      <c r="B240" s="12">
        <v>102.61713592529296</v>
      </c>
      <c r="C240" s="12">
        <v>155.73887207031257</v>
      </c>
      <c r="D240" s="12">
        <v>67.336748657226551</v>
      </c>
      <c r="E240" s="12">
        <v>79.565085817524846</v>
      </c>
      <c r="F240" s="12">
        <v>1.4378620435794194</v>
      </c>
      <c r="G240" s="12">
        <v>22.601563239267069</v>
      </c>
      <c r="H240" s="12">
        <v>0.77021380141377438</v>
      </c>
      <c r="I240" s="12">
        <v>1.5396026074886324</v>
      </c>
      <c r="J240" s="12">
        <v>1.2696098834276202</v>
      </c>
      <c r="K240" s="12">
        <v>1.3549161205689126</v>
      </c>
      <c r="L240" s="12">
        <v>1.3580423792203267</v>
      </c>
      <c r="M240" s="12">
        <v>31329.892072750969</v>
      </c>
      <c r="N240" s="12">
        <v>0.50272303671718799</v>
      </c>
      <c r="O240" s="12">
        <v>25.085864083239173</v>
      </c>
      <c r="P240" s="12">
        <v>57.613329009471109</v>
      </c>
      <c r="Q240" s="12">
        <v>8.4999999999999982</v>
      </c>
      <c r="R240" s="12">
        <v>35.425657282590564</v>
      </c>
      <c r="S240" s="12">
        <v>44184.685286806387</v>
      </c>
      <c r="T240" s="15">
        <v>1.281495681</v>
      </c>
      <c r="U240" s="12" t="s">
        <v>37</v>
      </c>
      <c r="V240" s="12" t="s">
        <v>37</v>
      </c>
      <c r="W240" s="12">
        <v>5.9058566590150186</v>
      </c>
      <c r="X240" s="12">
        <v>7.5014522189999999</v>
      </c>
      <c r="Y240" s="15">
        <v>10.11828538</v>
      </c>
      <c r="Z240" s="15" t="s">
        <v>37</v>
      </c>
      <c r="AA240" s="15">
        <v>13.95359696</v>
      </c>
      <c r="AB240" s="12">
        <v>25.622419403190001</v>
      </c>
      <c r="AC240" s="12">
        <v>21.231740740969485</v>
      </c>
      <c r="AD240" s="12">
        <v>23.899821729056683</v>
      </c>
      <c r="AE240">
        <v>0</v>
      </c>
    </row>
    <row r="241" spans="1:31" ht="15" customHeight="1" x14ac:dyDescent="0.3">
      <c r="A241" s="12" t="s">
        <v>72</v>
      </c>
      <c r="B241" s="12">
        <v>115.0373487119322</v>
      </c>
      <c r="C241" s="12">
        <v>78.156678835550949</v>
      </c>
      <c r="D241" s="12">
        <v>21.133021137931127</v>
      </c>
      <c r="E241" s="12">
        <v>71.090037037037007</v>
      </c>
      <c r="F241" s="12">
        <v>-0.1597543898193787</v>
      </c>
      <c r="G241" s="12">
        <v>17.747519291201105</v>
      </c>
      <c r="H241" s="12">
        <v>0.21959279026486919</v>
      </c>
      <c r="I241" s="12">
        <v>-0.2037761025130749</v>
      </c>
      <c r="J241" s="12">
        <v>-0.28267077387620998</v>
      </c>
      <c r="K241" s="12">
        <v>-0.39967278600670397</v>
      </c>
      <c r="L241" s="12">
        <v>0.65727730716268218</v>
      </c>
      <c r="M241" s="12">
        <v>4968.7931887733002</v>
      </c>
      <c r="N241" s="12">
        <v>2.596948916091093</v>
      </c>
      <c r="O241" s="12">
        <v>16.686235377887488</v>
      </c>
      <c r="P241" s="12">
        <v>27.729822837293973</v>
      </c>
      <c r="Q241" s="12">
        <v>24.699999999999992</v>
      </c>
      <c r="R241" s="12">
        <v>23.391048858059929</v>
      </c>
      <c r="S241" s="12">
        <v>6191.6628374679558</v>
      </c>
      <c r="T241" s="15">
        <v>0.81824313360000001</v>
      </c>
      <c r="U241" s="12">
        <v>43.637765876444639</v>
      </c>
      <c r="V241" s="12">
        <v>104352000</v>
      </c>
      <c r="W241" s="12">
        <v>5.0148295402526859</v>
      </c>
      <c r="X241" s="12">
        <v>3.365080367</v>
      </c>
      <c r="Y241" s="15">
        <v>6.303517491</v>
      </c>
      <c r="Z241" s="15">
        <v>4.6893799999999999</v>
      </c>
      <c r="AA241" s="15">
        <v>4.6216683119999997</v>
      </c>
      <c r="AB241" s="12">
        <v>14.243195780430598</v>
      </c>
      <c r="AC241" s="12">
        <v>19.561072392521289</v>
      </c>
      <c r="AD241" s="12">
        <v>20.796292993846286</v>
      </c>
      <c r="AE241">
        <v>0</v>
      </c>
    </row>
    <row r="242" spans="1:31" ht="15" customHeight="1" x14ac:dyDescent="0.3">
      <c r="A242" s="12" t="s">
        <v>74</v>
      </c>
      <c r="B242" s="12">
        <v>103.30039073802801</v>
      </c>
      <c r="C242" s="12">
        <v>39.306518145969946</v>
      </c>
      <c r="D242" s="12">
        <v>8.4604723453521782</v>
      </c>
      <c r="E242" s="12">
        <v>57.924814814814802</v>
      </c>
      <c r="F242" s="12">
        <v>-0.54896374264111125</v>
      </c>
      <c r="G242" s="12">
        <v>19.800556619233607</v>
      </c>
      <c r="H242" s="12">
        <v>0.25150337590215094</v>
      </c>
      <c r="I242" s="12">
        <v>-0.50903460569679737</v>
      </c>
      <c r="J242" s="12">
        <v>-0.45623376220464706</v>
      </c>
      <c r="K242" s="12">
        <v>-0.50650970591232181</v>
      </c>
      <c r="L242" s="12">
        <v>0.18884808779694129</v>
      </c>
      <c r="M242" s="12">
        <v>804.3503329733785</v>
      </c>
      <c r="N242" s="12">
        <v>2.910373656861251</v>
      </c>
      <c r="O242" s="12" t="s">
        <v>37</v>
      </c>
      <c r="P242" s="12" t="s">
        <v>37</v>
      </c>
      <c r="Q242" s="12">
        <v>15.426666666666669</v>
      </c>
      <c r="R242" s="12" t="s">
        <v>37</v>
      </c>
      <c r="S242" s="12">
        <v>1255.6072925908081</v>
      </c>
      <c r="T242" s="15">
        <v>1.6630841789999999</v>
      </c>
      <c r="U242" s="12" t="s">
        <v>37</v>
      </c>
      <c r="V242" s="12" t="s">
        <v>37</v>
      </c>
      <c r="W242" s="12">
        <v>2.9049809694290167</v>
      </c>
      <c r="X242" s="12">
        <v>0.69747873599999999</v>
      </c>
      <c r="Y242" s="15" t="s">
        <v>37</v>
      </c>
      <c r="Z242" s="15" t="s">
        <v>37</v>
      </c>
      <c r="AA242" s="15" t="s">
        <v>37</v>
      </c>
      <c r="AB242" s="12" t="s">
        <v>37</v>
      </c>
      <c r="AC242" s="12">
        <v>17.564867383775333</v>
      </c>
      <c r="AD242" s="12">
        <v>36.13296842059232</v>
      </c>
      <c r="AE242">
        <v>1</v>
      </c>
    </row>
    <row r="243" spans="1:31" ht="15" customHeight="1" x14ac:dyDescent="0.3">
      <c r="A243" s="12" t="s">
        <v>76</v>
      </c>
      <c r="B243" s="12">
        <v>104.79966697692862</v>
      </c>
      <c r="C243" s="12">
        <v>88.698726654052734</v>
      </c>
      <c r="D243" s="12">
        <v>33.223890304565423</v>
      </c>
      <c r="E243" s="12">
        <v>79.759666666666689</v>
      </c>
      <c r="F243" s="12">
        <v>1.2607274850209549</v>
      </c>
      <c r="G243" s="12">
        <v>12.636802822959162</v>
      </c>
      <c r="H243" s="12">
        <v>0.89314560343821814</v>
      </c>
      <c r="I243" s="12">
        <v>1.1320169369379671</v>
      </c>
      <c r="J243" s="12">
        <v>1.2075272972385092</v>
      </c>
      <c r="K243" s="12">
        <v>0.90820859426942946</v>
      </c>
      <c r="L243" s="12">
        <v>1.0565775593121844</v>
      </c>
      <c r="M243" s="12">
        <v>89518.277635025792</v>
      </c>
      <c r="N243" s="12">
        <v>0.26756389074692305</v>
      </c>
      <c r="O243" s="12" t="s">
        <v>37</v>
      </c>
      <c r="P243" s="12" t="s">
        <v>37</v>
      </c>
      <c r="Q243" s="12" t="s">
        <v>37</v>
      </c>
      <c r="R243" s="12" t="s">
        <v>37</v>
      </c>
      <c r="S243" s="12">
        <v>106359.97045402438</v>
      </c>
      <c r="T243" s="15">
        <v>0.64051094210000004</v>
      </c>
      <c r="U243" s="12" t="s">
        <v>37</v>
      </c>
      <c r="V243" s="12" t="s">
        <v>37</v>
      </c>
      <c r="W243" s="12">
        <v>1.8678649981816602</v>
      </c>
      <c r="X243" s="12" t="s">
        <v>37</v>
      </c>
      <c r="Y243" s="15" t="s">
        <v>37</v>
      </c>
      <c r="Z243" s="15" t="s">
        <v>37</v>
      </c>
      <c r="AA243" s="15" t="s">
        <v>37</v>
      </c>
      <c r="AB243" s="12" t="s">
        <v>37</v>
      </c>
      <c r="AC243" s="12" t="s">
        <v>37</v>
      </c>
      <c r="AD243" s="12">
        <v>12.525841505433341</v>
      </c>
      <c r="AE243">
        <v>0</v>
      </c>
    </row>
    <row r="244" spans="1:31" ht="15" customHeight="1" x14ac:dyDescent="0.3">
      <c r="A244" s="12" t="s">
        <v>78</v>
      </c>
      <c r="B244" s="12">
        <v>94.839586257934585</v>
      </c>
      <c r="C244" s="12">
        <v>62.908112049102797</v>
      </c>
      <c r="D244" s="12">
        <v>10.06249213218689</v>
      </c>
      <c r="E244" s="12">
        <v>66.759296296296313</v>
      </c>
      <c r="F244" s="12">
        <v>1.0714155261715257</v>
      </c>
      <c r="G244" s="12">
        <v>50.534339212943351</v>
      </c>
      <c r="H244" s="12">
        <v>0.89031047622362802</v>
      </c>
      <c r="I244" s="12">
        <v>0.46562960247198742</v>
      </c>
      <c r="J244" s="12">
        <v>-0.63584255644430698</v>
      </c>
      <c r="K244" s="12">
        <v>0.3395169259359439</v>
      </c>
      <c r="L244" s="12">
        <v>-0.47107942382960299</v>
      </c>
      <c r="M244" s="12">
        <v>944.40755556375018</v>
      </c>
      <c r="N244" s="12">
        <v>1.4808025180708757</v>
      </c>
      <c r="O244" s="12">
        <v>10.714104889644915</v>
      </c>
      <c r="P244" s="12">
        <v>53.832345142268636</v>
      </c>
      <c r="Q244" s="12">
        <v>33.419999999999987</v>
      </c>
      <c r="R244" s="12">
        <v>18.025830508347923</v>
      </c>
      <c r="S244" s="12" t="s">
        <v>37</v>
      </c>
      <c r="T244" s="15" t="s">
        <v>37</v>
      </c>
      <c r="U244" s="12">
        <v>3.2686867762393552</v>
      </c>
      <c r="V244" s="12">
        <v>245677705.5765385</v>
      </c>
      <c r="W244" s="12">
        <v>5.9509142769707593</v>
      </c>
      <c r="X244" s="12">
        <v>2.7687807769999999</v>
      </c>
      <c r="Y244" s="15">
        <v>4.9238723049999997</v>
      </c>
      <c r="Z244" s="15">
        <v>0.79130999999999996</v>
      </c>
      <c r="AA244" s="15">
        <v>6.2481379239999999</v>
      </c>
      <c r="AB244" s="12">
        <v>6.8982550376609373</v>
      </c>
      <c r="AC244" s="12">
        <v>42.317707532988983</v>
      </c>
      <c r="AD244" s="12" t="s">
        <v>37</v>
      </c>
      <c r="AE244">
        <v>1</v>
      </c>
    </row>
    <row r="245" spans="1:31" ht="15" customHeight="1" x14ac:dyDescent="0.3">
      <c r="A245" s="12" t="s">
        <v>80</v>
      </c>
      <c r="B245" s="12">
        <v>109.222291056315</v>
      </c>
      <c r="C245" s="12">
        <v>76.921760559082017</v>
      </c>
      <c r="D245" s="12" t="s">
        <v>37</v>
      </c>
      <c r="E245" s="12">
        <v>64.634925925925927</v>
      </c>
      <c r="F245" s="12">
        <v>-0.68099136029680574</v>
      </c>
      <c r="G245" s="12">
        <v>17.404930675773208</v>
      </c>
      <c r="H245" s="12">
        <v>-0.45960037037730217</v>
      </c>
      <c r="I245" s="12">
        <v>-0.51303611695766438</v>
      </c>
      <c r="J245" s="12">
        <v>-0.71039482906538376</v>
      </c>
      <c r="K245" s="12">
        <v>-0.90665773302316699</v>
      </c>
      <c r="L245" s="12">
        <v>-1.4136565761873532E-2</v>
      </c>
      <c r="M245" s="12">
        <v>1866.6529325816714</v>
      </c>
      <c r="N245" s="12">
        <v>1.6707511530213766</v>
      </c>
      <c r="O245" s="12">
        <v>13.500449492802771</v>
      </c>
      <c r="P245" s="12">
        <v>11.104857692653866</v>
      </c>
      <c r="Q245" s="12">
        <v>0</v>
      </c>
      <c r="R245" s="12">
        <v>6.6839740244379877</v>
      </c>
      <c r="S245" s="12">
        <v>3134.766320932803</v>
      </c>
      <c r="T245" s="15">
        <v>1.938579533</v>
      </c>
      <c r="U245" s="12">
        <v>7.1759693649465479</v>
      </c>
      <c r="V245" s="12">
        <v>537535352.7287693</v>
      </c>
      <c r="W245" s="12">
        <v>7.2688157934891553</v>
      </c>
      <c r="X245" s="12">
        <v>3.4045229749999999</v>
      </c>
      <c r="Y245" s="15">
        <v>4.4863966130000001</v>
      </c>
      <c r="Z245" s="15">
        <v>0.37028</v>
      </c>
      <c r="AA245" s="15">
        <v>0.70856583689999997</v>
      </c>
      <c r="AB245" s="12">
        <v>9.7223294940958542</v>
      </c>
      <c r="AC245" s="12">
        <v>15.533527147692599</v>
      </c>
      <c r="AD245" s="12">
        <v>16.842054094749301</v>
      </c>
      <c r="AE245">
        <v>1</v>
      </c>
    </row>
    <row r="246" spans="1:31" ht="15" customHeight="1" x14ac:dyDescent="0.3">
      <c r="A246" s="12" t="s">
        <v>82</v>
      </c>
      <c r="B246" s="12">
        <v>93.126174926757798</v>
      </c>
      <c r="C246" s="12">
        <v>84.573197841644287</v>
      </c>
      <c r="D246" s="12">
        <v>35.5843851669975</v>
      </c>
      <c r="E246" s="12">
        <v>75.672074074074075</v>
      </c>
      <c r="F246" s="12">
        <v>-0.42206777880589169</v>
      </c>
      <c r="G246" s="12">
        <v>24.760236629866544</v>
      </c>
      <c r="H246" s="12">
        <v>-0.45036886058126885</v>
      </c>
      <c r="I246" s="12">
        <v>-0.78058553114533469</v>
      </c>
      <c r="J246" s="12">
        <v>-0.29567339938754822</v>
      </c>
      <c r="K246" s="12">
        <v>-0.36336777545511723</v>
      </c>
      <c r="L246" s="12">
        <v>-7.5485842127818573E-2</v>
      </c>
      <c r="M246" s="12">
        <v>784.61870070541556</v>
      </c>
      <c r="N246" s="12">
        <v>-0.51837082884891494</v>
      </c>
      <c r="O246" s="12">
        <v>19.921778238340799</v>
      </c>
      <c r="P246" s="12">
        <v>12.128133796668855</v>
      </c>
      <c r="Q246" s="12">
        <v>11.166666666666666</v>
      </c>
      <c r="R246" s="12">
        <v>6.2870853915366167</v>
      </c>
      <c r="S246" s="12">
        <v>6263.7020733680247</v>
      </c>
      <c r="T246" s="15">
        <v>7.9975228119999997</v>
      </c>
      <c r="U246" s="12">
        <v>3.41753388620354</v>
      </c>
      <c r="V246" s="12">
        <v>120313237.64214286</v>
      </c>
      <c r="W246" s="12" t="s">
        <v>37</v>
      </c>
      <c r="X246" s="12">
        <v>5.7595493449999999</v>
      </c>
      <c r="Y246" s="15">
        <v>21.71200743</v>
      </c>
      <c r="Z246" s="15">
        <v>0.54791000000000001</v>
      </c>
      <c r="AA246" s="15">
        <v>3.342005425</v>
      </c>
      <c r="AB246" s="12" t="s">
        <v>37</v>
      </c>
      <c r="AC246" s="12">
        <v>12.26847306137001</v>
      </c>
      <c r="AD246" s="12" t="s">
        <v>37</v>
      </c>
      <c r="AE246">
        <v>1</v>
      </c>
    </row>
    <row r="247" spans="1:31" ht="15" customHeight="1" x14ac:dyDescent="0.3">
      <c r="A247" s="12" t="s">
        <v>84</v>
      </c>
      <c r="B247" s="12">
        <v>102.91693840026861</v>
      </c>
      <c r="C247" s="12">
        <v>73.603632119985747</v>
      </c>
      <c r="D247" s="12">
        <v>15.048077640533448</v>
      </c>
      <c r="E247" s="12">
        <v>57.751111111111101</v>
      </c>
      <c r="F247" s="12">
        <v>0.85730212926864591</v>
      </c>
      <c r="G247" s="12">
        <v>26.430882278831803</v>
      </c>
      <c r="H247" s="12">
        <v>1.0226195032397905</v>
      </c>
      <c r="I247" s="12">
        <v>0.43479059884945542</v>
      </c>
      <c r="J247" s="12">
        <v>0.66657609492540359</v>
      </c>
      <c r="K247" s="12">
        <v>0.52307551354169846</v>
      </c>
      <c r="L247" s="12">
        <v>0.53779006625215209</v>
      </c>
      <c r="M247" s="12">
        <v>4271.4708859156899</v>
      </c>
      <c r="N247" s="12">
        <v>2.0119400810859926</v>
      </c>
      <c r="O247" s="12">
        <v>23.915962549160735</v>
      </c>
      <c r="P247" s="12">
        <v>41.685926806084211</v>
      </c>
      <c r="Q247" s="12">
        <v>19.213333333333331</v>
      </c>
      <c r="R247" s="12">
        <v>26.27628020756374</v>
      </c>
      <c r="S247" s="12">
        <v>6657.5850892165081</v>
      </c>
      <c r="T247" s="15">
        <v>1.657281494</v>
      </c>
      <c r="U247" s="12">
        <v>39.280682345129875</v>
      </c>
      <c r="V247" s="12">
        <v>10424671154.375</v>
      </c>
      <c r="W247" s="12">
        <v>8.6959443489710484</v>
      </c>
      <c r="X247" s="12">
        <v>3.7619653770000001</v>
      </c>
      <c r="Y247" s="15">
        <v>5.947077975</v>
      </c>
      <c r="Z247" s="15">
        <v>11.65696</v>
      </c>
      <c r="AA247" s="15">
        <v>12.01141514</v>
      </c>
      <c r="AB247" s="12">
        <v>16.765795854874867</v>
      </c>
      <c r="AC247" s="12">
        <v>26.977627304753625</v>
      </c>
      <c r="AD247" s="12">
        <v>24.284417486734668</v>
      </c>
      <c r="AE247">
        <v>0</v>
      </c>
    </row>
    <row r="248" spans="1:31" ht="15" customHeight="1" x14ac:dyDescent="0.3">
      <c r="A248" s="12" t="s">
        <v>86</v>
      </c>
      <c r="B248" s="12">
        <v>114.16318130493168</v>
      </c>
      <c r="C248" s="12">
        <v>102.71184234619132</v>
      </c>
      <c r="D248" s="12">
        <v>41.292827752920317</v>
      </c>
      <c r="E248" s="12">
        <v>72.110111111111109</v>
      </c>
      <c r="F248" s="12">
        <v>-0.18316957672747469</v>
      </c>
      <c r="G248" s="12">
        <v>18.155146960100719</v>
      </c>
      <c r="H248" s="12">
        <v>-0.22298418984670806</v>
      </c>
      <c r="I248" s="12">
        <v>-0.22076099878177047</v>
      </c>
      <c r="J248" s="12">
        <v>3.7600805439675831E-2</v>
      </c>
      <c r="K248" s="12">
        <v>-0.22986734705045811</v>
      </c>
      <c r="L248" s="12">
        <v>0.41737558444341022</v>
      </c>
      <c r="M248" s="12">
        <v>6524.5188533732226</v>
      </c>
      <c r="N248" s="12">
        <v>1.0600599819747496</v>
      </c>
      <c r="O248" s="12">
        <v>13.975226342190554</v>
      </c>
      <c r="P248" s="12">
        <v>51.190242239652932</v>
      </c>
      <c r="Q248" s="12">
        <v>22.342857142857145</v>
      </c>
      <c r="R248" s="12">
        <v>25.028306063894782</v>
      </c>
      <c r="S248" s="12">
        <v>8831.1277286862096</v>
      </c>
      <c r="T248" s="15">
        <v>1.1274772070000001</v>
      </c>
      <c r="U248" s="12">
        <v>4.3004342003287102</v>
      </c>
      <c r="V248" s="12">
        <v>38810596393.57</v>
      </c>
      <c r="W248" s="12">
        <v>5.1925187214561133</v>
      </c>
      <c r="X248" s="12">
        <v>3.6691975819999998</v>
      </c>
      <c r="Y248" s="15">
        <v>9.4143722959999998</v>
      </c>
      <c r="Z248" s="15">
        <v>0.99148000000000003</v>
      </c>
      <c r="AA248" s="15">
        <v>11.98330597</v>
      </c>
      <c r="AB248" s="12" t="s">
        <v>37</v>
      </c>
      <c r="AC248" s="12">
        <v>20.286297620941408</v>
      </c>
      <c r="AD248" s="12">
        <v>18.822555415021021</v>
      </c>
      <c r="AE248">
        <v>0</v>
      </c>
    </row>
    <row r="249" spans="1:31" ht="15" customHeight="1" x14ac:dyDescent="0.3">
      <c r="A249" s="12" t="s">
        <v>88</v>
      </c>
      <c r="B249" s="12">
        <v>110.1084156036376</v>
      </c>
      <c r="C249" s="12">
        <v>98.07501029968266</v>
      </c>
      <c r="D249" s="12">
        <v>44.26933161417643</v>
      </c>
      <c r="E249" s="12">
        <v>74.936481481481465</v>
      </c>
      <c r="F249" s="12" t="s">
        <v>37</v>
      </c>
      <c r="G249" s="12" t="s">
        <v>37</v>
      </c>
      <c r="H249" s="12" t="s">
        <v>37</v>
      </c>
      <c r="I249" s="12" t="s">
        <v>37</v>
      </c>
      <c r="J249" s="12" t="s">
        <v>37</v>
      </c>
      <c r="K249" s="12" t="s">
        <v>37</v>
      </c>
      <c r="L249" s="12" t="s">
        <v>37</v>
      </c>
      <c r="M249" s="12" t="s">
        <v>37</v>
      </c>
      <c r="N249" s="12">
        <v>2.184492622397598</v>
      </c>
      <c r="O249" s="12" t="s">
        <v>37</v>
      </c>
      <c r="P249" s="12" t="s">
        <v>37</v>
      </c>
      <c r="Q249" s="12" t="s">
        <v>37</v>
      </c>
      <c r="R249" s="12" t="s">
        <v>37</v>
      </c>
      <c r="S249" s="12" t="s">
        <v>37</v>
      </c>
      <c r="T249" s="15" t="s">
        <v>37</v>
      </c>
      <c r="U249" s="12" t="s">
        <v>37</v>
      </c>
      <c r="V249" s="12" t="s">
        <v>37</v>
      </c>
      <c r="W249" s="12">
        <v>3.266613721847536</v>
      </c>
      <c r="X249" s="12" t="s">
        <v>37</v>
      </c>
      <c r="Y249" s="15" t="s">
        <v>37</v>
      </c>
      <c r="Z249" s="15" t="s">
        <v>37</v>
      </c>
      <c r="AA249" s="15" t="s">
        <v>37</v>
      </c>
      <c r="AB249" s="12" t="s">
        <v>37</v>
      </c>
      <c r="AC249" s="12" t="s">
        <v>37</v>
      </c>
      <c r="AD249" s="12" t="s">
        <v>37</v>
      </c>
      <c r="AE249">
        <v>0</v>
      </c>
    </row>
    <row r="250" spans="1:31" ht="15" customHeight="1" x14ac:dyDescent="0.3">
      <c r="A250" s="12" t="s">
        <v>90</v>
      </c>
      <c r="B250" s="12">
        <v>102.4183000417857</v>
      </c>
      <c r="C250" s="12">
        <v>87.681695689325736</v>
      </c>
      <c r="D250" s="12">
        <v>20.312394432399579</v>
      </c>
      <c r="E250" s="12">
        <v>74.443962962962956</v>
      </c>
      <c r="F250" s="12">
        <v>0.608666678269704</v>
      </c>
      <c r="G250" s="12">
        <v>26.477194116886245</v>
      </c>
      <c r="H250" s="12">
        <v>1.1823547755678496</v>
      </c>
      <c r="I250" s="12">
        <v>0.96167487775286109</v>
      </c>
      <c r="J250" s="12">
        <v>0.95820407072703029</v>
      </c>
      <c r="K250" s="12">
        <v>0.58958852011710394</v>
      </c>
      <c r="L250" s="12">
        <v>-0.79594648381074273</v>
      </c>
      <c r="M250" s="12">
        <v>35515.843252588296</v>
      </c>
      <c r="N250" s="12">
        <v>1.5643739206267318</v>
      </c>
      <c r="O250" s="12" t="s">
        <v>37</v>
      </c>
      <c r="P250" s="12" t="s">
        <v>37</v>
      </c>
      <c r="Q250" s="12">
        <v>11.507142857142856</v>
      </c>
      <c r="R250" s="12" t="s">
        <v>37</v>
      </c>
      <c r="S250" s="12">
        <v>28954.064089609736</v>
      </c>
      <c r="T250" s="15">
        <v>-0.75369465999999996</v>
      </c>
      <c r="U250" s="12" t="s">
        <v>37</v>
      </c>
      <c r="V250" s="12" t="s">
        <v>37</v>
      </c>
      <c r="W250" s="12">
        <v>3.7411012649536137</v>
      </c>
      <c r="X250" s="12">
        <v>2.0083940939999998</v>
      </c>
      <c r="Y250" s="15" t="s">
        <v>37</v>
      </c>
      <c r="Z250" s="15" t="s">
        <v>37</v>
      </c>
      <c r="AA250" s="15" t="s">
        <v>37</v>
      </c>
      <c r="AB250" s="12" t="s">
        <v>37</v>
      </c>
      <c r="AC250" s="12">
        <v>36.661698956780924</v>
      </c>
      <c r="AD250" s="12">
        <v>25.678033348773504</v>
      </c>
      <c r="AE250">
        <v>0</v>
      </c>
    </row>
    <row r="251" spans="1:31" ht="15" customHeight="1" x14ac:dyDescent="0.3">
      <c r="A251" s="12" t="s">
        <v>92</v>
      </c>
      <c r="B251" s="12">
        <v>101.35387703224461</v>
      </c>
      <c r="C251" s="12">
        <v>92.131931446216726</v>
      </c>
      <c r="D251" s="12">
        <v>55.878956547489871</v>
      </c>
      <c r="E251" s="12">
        <v>72.952646793134605</v>
      </c>
      <c r="F251" s="12">
        <v>-0.21097232548830416</v>
      </c>
      <c r="G251" s="12">
        <v>19.762658405448558</v>
      </c>
      <c r="H251" s="12">
        <v>0.28493552765576169</v>
      </c>
      <c r="I251" s="12">
        <v>-2.1032883708054829E-2</v>
      </c>
      <c r="J251" s="12">
        <v>0.52859139132002986</v>
      </c>
      <c r="K251" s="12">
        <v>-0.12190506809080633</v>
      </c>
      <c r="L251" s="12">
        <v>0.45300525923569995</v>
      </c>
      <c r="M251" s="12">
        <v>4025.6458265701817</v>
      </c>
      <c r="N251" s="12">
        <v>-0.75969313427559804</v>
      </c>
      <c r="O251" s="12">
        <v>19.308571640376144</v>
      </c>
      <c r="P251" s="12">
        <v>28.876291193857679</v>
      </c>
      <c r="Q251" s="12">
        <v>5.1933333333333334</v>
      </c>
      <c r="R251" s="12">
        <v>15.908964098414522</v>
      </c>
      <c r="S251" s="12">
        <v>9550.942549657073</v>
      </c>
      <c r="T251" s="15">
        <v>3.25157651</v>
      </c>
      <c r="U251" s="12">
        <v>2.9037661015694529</v>
      </c>
      <c r="V251" s="12">
        <v>122309666.66666667</v>
      </c>
      <c r="W251" s="12">
        <v>3.6985894680023192</v>
      </c>
      <c r="X251" s="12">
        <v>4.0082893139999998</v>
      </c>
      <c r="Y251" s="15">
        <v>13.42418275</v>
      </c>
      <c r="Z251" s="15">
        <v>0.18065999999999999</v>
      </c>
      <c r="AA251" s="15">
        <v>5.2190909569999997</v>
      </c>
      <c r="AB251" s="12">
        <v>11.15666426532735</v>
      </c>
      <c r="AC251" s="12">
        <v>16.668561085603958</v>
      </c>
      <c r="AD251" s="12">
        <v>17.059485542656549</v>
      </c>
      <c r="AE251">
        <v>0</v>
      </c>
    </row>
    <row r="252" spans="1:31" ht="15" customHeight="1" x14ac:dyDescent="0.3">
      <c r="A252" s="12" t="s">
        <v>94</v>
      </c>
      <c r="B252" s="12">
        <v>67.930977574101206</v>
      </c>
      <c r="C252" s="12">
        <v>24.278902012368913</v>
      </c>
      <c r="D252" s="12">
        <v>3.9475651979446407</v>
      </c>
      <c r="E252" s="12">
        <v>54.921555555555557</v>
      </c>
      <c r="F252" s="12">
        <v>-0.1942563413952787</v>
      </c>
      <c r="G252" s="12">
        <v>18.681560892210189</v>
      </c>
      <c r="H252" s="12">
        <v>-0.52705766540020649</v>
      </c>
      <c r="I252" s="12">
        <v>-0.71028563628594077</v>
      </c>
      <c r="J252" s="12">
        <v>-0.3229311760514974</v>
      </c>
      <c r="K252" s="12">
        <v>-0.51396337586144603</v>
      </c>
      <c r="L252" s="12">
        <v>-0.27706748154014343</v>
      </c>
      <c r="M252" s="12">
        <v>355.9879411088869</v>
      </c>
      <c r="N252" s="12">
        <v>2.9034785434152406</v>
      </c>
      <c r="O252" s="12">
        <v>12.702878477261086</v>
      </c>
      <c r="P252" s="12">
        <v>26.265196250332401</v>
      </c>
      <c r="Q252" s="12">
        <v>16.619999999999994</v>
      </c>
      <c r="R252" s="12">
        <v>18.570684914864678</v>
      </c>
      <c r="S252" s="12">
        <v>732.57032340389344</v>
      </c>
      <c r="T252" s="15">
        <v>2.7088643370000001</v>
      </c>
      <c r="U252" s="12">
        <v>15.793083498123409</v>
      </c>
      <c r="V252" s="12">
        <v>121903730087.5</v>
      </c>
      <c r="W252" s="12">
        <v>4.2822749242186537</v>
      </c>
      <c r="X252" s="12">
        <v>1.593185005</v>
      </c>
      <c r="Y252" s="15">
        <v>8.5054230559999997</v>
      </c>
      <c r="Z252" s="15">
        <v>2.4602499999999998</v>
      </c>
      <c r="AA252" s="15">
        <v>4.3564670889999997</v>
      </c>
      <c r="AB252" s="12" t="s">
        <v>37</v>
      </c>
      <c r="AC252" s="12">
        <v>22.479806726741398</v>
      </c>
      <c r="AD252" s="12">
        <v>16.291619480734155</v>
      </c>
      <c r="AE252">
        <v>1</v>
      </c>
    </row>
    <row r="253" spans="1:31" ht="15" customHeight="1" x14ac:dyDescent="0.3">
      <c r="A253" s="12" t="s">
        <v>96</v>
      </c>
      <c r="B253" s="12">
        <v>96.945865631103473</v>
      </c>
      <c r="C253" s="12">
        <v>29.503661155700691</v>
      </c>
      <c r="D253" s="12">
        <v>3.1290701429049168</v>
      </c>
      <c r="E253" s="12">
        <v>54.540592592592603</v>
      </c>
      <c r="F253" s="12">
        <v>-1.1802308112382891</v>
      </c>
      <c r="G253" s="12">
        <v>11.193934815537336</v>
      </c>
      <c r="H253" s="12">
        <v>-1.7116443564494441</v>
      </c>
      <c r="I253" s="12">
        <v>-1.3055630922317503</v>
      </c>
      <c r="J253" s="12">
        <v>-1.0978512391448019</v>
      </c>
      <c r="K253" s="12">
        <v>-1.2744364961981776</v>
      </c>
      <c r="L253" s="12">
        <v>-1.1844698737065</v>
      </c>
      <c r="M253" s="12">
        <v>354.11618088360126</v>
      </c>
      <c r="N253" s="12">
        <v>2.9980770729469799</v>
      </c>
      <c r="O253" s="12">
        <v>13.8965330729448</v>
      </c>
      <c r="P253" s="12">
        <v>24.565343803606012</v>
      </c>
      <c r="Q253" s="12">
        <v>25.619999999999997</v>
      </c>
      <c r="R253" s="12">
        <v>17.21988941398876</v>
      </c>
      <c r="S253" s="12">
        <v>262.1848046611421</v>
      </c>
      <c r="T253" s="15">
        <v>-1.107068749</v>
      </c>
      <c r="U253" s="12">
        <v>18.121549291259484</v>
      </c>
      <c r="V253" s="12">
        <v>8537852000</v>
      </c>
      <c r="W253" s="12">
        <v>4.9226232441988858</v>
      </c>
      <c r="X253" s="12">
        <v>2.154227552</v>
      </c>
      <c r="Y253" s="15">
        <v>0.82351818080000005</v>
      </c>
      <c r="Z253" s="15">
        <v>0.44399</v>
      </c>
      <c r="AA253" s="15">
        <v>0.4159326196</v>
      </c>
      <c r="AB253" s="12">
        <v>16.678206578459065</v>
      </c>
      <c r="AC253" s="12">
        <v>6.4429993536653658</v>
      </c>
      <c r="AD253" s="12">
        <v>13.386870815135943</v>
      </c>
      <c r="AE253">
        <v>1</v>
      </c>
    </row>
    <row r="254" spans="1:31" ht="15" customHeight="1" x14ac:dyDescent="0.3">
      <c r="A254" s="12" t="s">
        <v>98</v>
      </c>
      <c r="B254" s="12">
        <v>108.02458537708631</v>
      </c>
      <c r="C254" s="12">
        <v>79.114567184448248</v>
      </c>
      <c r="D254" s="12">
        <v>12.535652440786363</v>
      </c>
      <c r="E254" s="12">
        <v>72.108037037037036</v>
      </c>
      <c r="F254" s="12">
        <v>0.85061408703525843</v>
      </c>
      <c r="G254" s="12" t="s">
        <v>37</v>
      </c>
      <c r="H254" s="12">
        <v>0.86119937027494087</v>
      </c>
      <c r="I254" s="12">
        <v>1.5781369403980321E-2</v>
      </c>
      <c r="J254" s="12">
        <v>-0.14638214080514442</v>
      </c>
      <c r="K254" s="12">
        <v>0.49301043028632785</v>
      </c>
      <c r="L254" s="12">
        <v>0.86588946357369423</v>
      </c>
      <c r="M254" s="12">
        <v>1268.6780107411025</v>
      </c>
      <c r="N254" s="12">
        <v>1.4111328798193934</v>
      </c>
      <c r="O254" s="12">
        <v>17.988902923349805</v>
      </c>
      <c r="P254" s="12">
        <v>30.578555310957412</v>
      </c>
      <c r="Q254" s="12">
        <v>19.373333333333331</v>
      </c>
      <c r="R254" s="12">
        <v>18.595746871531581</v>
      </c>
      <c r="S254" s="12">
        <v>3494.5692436773984</v>
      </c>
      <c r="T254" s="15">
        <v>3.824024825</v>
      </c>
      <c r="U254" s="12">
        <v>19.578391970124727</v>
      </c>
      <c r="V254" s="12">
        <v>5412857696.7692308</v>
      </c>
      <c r="W254" s="12">
        <v>5.4320836569133562</v>
      </c>
      <c r="X254" s="12">
        <v>3.1055636280000001</v>
      </c>
      <c r="Y254" s="15">
        <v>10.2889149</v>
      </c>
      <c r="Z254" s="15">
        <v>4.1933499999999997</v>
      </c>
      <c r="AA254" s="15">
        <v>6.3904352900000001</v>
      </c>
      <c r="AB254" s="12" t="s">
        <v>37</v>
      </c>
      <c r="AC254" s="12" t="s">
        <v>37</v>
      </c>
      <c r="AD254" s="12" t="s">
        <v>37</v>
      </c>
      <c r="AE254">
        <v>1</v>
      </c>
    </row>
    <row r="255" spans="1:31" ht="15" customHeight="1" x14ac:dyDescent="0.3">
      <c r="A255" s="12" t="s">
        <v>100</v>
      </c>
      <c r="B255" s="12">
        <v>117.53447808159723</v>
      </c>
      <c r="C255" s="12">
        <v>37.273588053385417</v>
      </c>
      <c r="D255" s="12">
        <v>8.1999526023864728</v>
      </c>
      <c r="E255" s="12">
        <v>64.998222222222225</v>
      </c>
      <c r="F255" s="12">
        <v>-1.1679486483335504</v>
      </c>
      <c r="G255" s="12">
        <v>18.68954707754127</v>
      </c>
      <c r="H255" s="12">
        <v>-0.3287812447330602</v>
      </c>
      <c r="I255" s="12">
        <v>-0.78932999322811781</v>
      </c>
      <c r="J255" s="12">
        <v>-0.46765459515154367</v>
      </c>
      <c r="K255" s="12">
        <v>-1.0834277917941411</v>
      </c>
      <c r="L255" s="12">
        <v>-1.0185148318608601</v>
      </c>
      <c r="M255" s="12">
        <v>378.92237820650183</v>
      </c>
      <c r="N255" s="12">
        <v>1.6461612947081465</v>
      </c>
      <c r="O255" s="12">
        <v>12.198873944291638</v>
      </c>
      <c r="P255" s="12">
        <v>19.106239572437666</v>
      </c>
      <c r="Q255" s="12">
        <v>19.319999999999997</v>
      </c>
      <c r="R255" s="12">
        <v>13.931059566410756</v>
      </c>
      <c r="S255" s="12">
        <v>1488.814550841051</v>
      </c>
      <c r="T255" s="15">
        <v>5.198792214</v>
      </c>
      <c r="U255" s="12">
        <v>20.012258552446987</v>
      </c>
      <c r="V255" s="12">
        <v>1329432831370</v>
      </c>
      <c r="W255" s="12">
        <v>1.8141550766794305</v>
      </c>
      <c r="X255" s="12">
        <v>1.354344113</v>
      </c>
      <c r="Y255" s="15">
        <v>9.8419962010000006</v>
      </c>
      <c r="Z255" s="15">
        <v>2.99512</v>
      </c>
      <c r="AA255" s="15">
        <v>3.9723906009999999</v>
      </c>
      <c r="AB255" s="12" t="s">
        <v>37</v>
      </c>
      <c r="AC255" s="12">
        <v>13.916832948061622</v>
      </c>
      <c r="AD255" s="12">
        <v>22.011476344930184</v>
      </c>
      <c r="AE255">
        <v>1</v>
      </c>
    </row>
    <row r="256" spans="1:31" ht="15" customHeight="1" x14ac:dyDescent="0.3">
      <c r="A256" s="12" t="s">
        <v>102</v>
      </c>
      <c r="B256" s="12">
        <v>102.10664848045066</v>
      </c>
      <c r="C256" s="12">
        <v>39.452959272596573</v>
      </c>
      <c r="D256" s="12">
        <v>9.6269120931625327</v>
      </c>
      <c r="E256" s="12">
        <v>56.344259259259253</v>
      </c>
      <c r="F256" s="12">
        <v>-1.1602667396267268</v>
      </c>
      <c r="G256" s="12">
        <v>18.571177776825319</v>
      </c>
      <c r="H256" s="12">
        <v>-0.81236008057991693</v>
      </c>
      <c r="I256" s="12">
        <v>-0.88050299386183417</v>
      </c>
      <c r="J256" s="12">
        <v>-0.87568120410044969</v>
      </c>
      <c r="K256" s="12">
        <v>-1.1248984858393667</v>
      </c>
      <c r="L256" s="12">
        <v>-1.0582847371697428</v>
      </c>
      <c r="M256" s="12">
        <v>1049.7066632233832</v>
      </c>
      <c r="N256" s="12">
        <v>2.777449199055678</v>
      </c>
      <c r="O256" s="12">
        <v>11.074465674061518</v>
      </c>
      <c r="P256" s="12">
        <v>29.234388878141356</v>
      </c>
      <c r="Q256" s="12">
        <v>31.766666666666659</v>
      </c>
      <c r="R256" s="12">
        <v>22.387120347739014</v>
      </c>
      <c r="S256" s="12">
        <v>1441.7949049337903</v>
      </c>
      <c r="T256" s="15">
        <v>1.1824100790000001</v>
      </c>
      <c r="U256" s="12">
        <v>17.959751061626779</v>
      </c>
      <c r="V256" s="12">
        <v>298809426930.30768</v>
      </c>
      <c r="W256" s="12">
        <v>2.6977370923215696</v>
      </c>
      <c r="X256" s="12">
        <v>0.55620424800000001</v>
      </c>
      <c r="Y256" s="15">
        <v>6.8490888410000004</v>
      </c>
      <c r="Z256" s="15">
        <v>2.3225500000000001</v>
      </c>
      <c r="AA256" s="15">
        <v>4.1975948230000002</v>
      </c>
      <c r="AB256" s="12">
        <v>7.1836689710836801</v>
      </c>
      <c r="AC256" s="12">
        <v>17.333570646268665</v>
      </c>
      <c r="AD256" s="12">
        <v>18.023362318557361</v>
      </c>
      <c r="AE256">
        <v>1</v>
      </c>
    </row>
    <row r="257" spans="1:31" ht="15" customHeight="1" x14ac:dyDescent="0.3">
      <c r="A257" s="12" t="s">
        <v>104</v>
      </c>
      <c r="B257" s="12">
        <v>99.134542050568911</v>
      </c>
      <c r="C257" s="12">
        <v>106.40358768809917</v>
      </c>
      <c r="D257" s="12">
        <v>68.096207573300319</v>
      </c>
      <c r="E257" s="12">
        <v>80.547308943089433</v>
      </c>
      <c r="F257" s="12">
        <v>1.8909337023893993</v>
      </c>
      <c r="G257" s="12">
        <v>22.067825032743094</v>
      </c>
      <c r="H257" s="12">
        <v>1.0500719820459687</v>
      </c>
      <c r="I257" s="12">
        <v>1.7686002900203064</v>
      </c>
      <c r="J257" s="12">
        <v>1.6459304491678868</v>
      </c>
      <c r="K257" s="12">
        <v>1.725627576311429</v>
      </c>
      <c r="L257" s="12">
        <v>1.4662966827551525</v>
      </c>
      <c r="M257" s="12">
        <v>32612.232026779377</v>
      </c>
      <c r="N257" s="12">
        <v>1.0230009195021357</v>
      </c>
      <c r="O257" s="12">
        <v>13.080317263006085</v>
      </c>
      <c r="P257" s="12">
        <v>76.32988824427629</v>
      </c>
      <c r="Q257" s="12">
        <v>10.90666666666667</v>
      </c>
      <c r="R257" s="12">
        <v>53.395991757190295</v>
      </c>
      <c r="S257" s="12">
        <v>45237.779472772345</v>
      </c>
      <c r="T257" s="15">
        <v>1.193686314</v>
      </c>
      <c r="U257" s="12" t="s">
        <v>37</v>
      </c>
      <c r="V257" s="12" t="s">
        <v>37</v>
      </c>
      <c r="W257" s="12">
        <v>4.9669815146404774</v>
      </c>
      <c r="X257" s="12">
        <v>7.2313975639999999</v>
      </c>
      <c r="Y257" s="15">
        <v>2.7428266809999999</v>
      </c>
      <c r="Z257" s="15">
        <v>0.24117</v>
      </c>
      <c r="AA257" s="15">
        <v>9.9209641780000002</v>
      </c>
      <c r="AB257" s="12">
        <v>13.287062255522647</v>
      </c>
      <c r="AC257" s="12">
        <v>18.34730003210597</v>
      </c>
      <c r="AD257" s="12">
        <v>23.101329849837114</v>
      </c>
      <c r="AE257">
        <v>0</v>
      </c>
    </row>
    <row r="258" spans="1:31" ht="15" customHeight="1" x14ac:dyDescent="0.3">
      <c r="A258" s="12" t="s">
        <v>106</v>
      </c>
      <c r="B258" s="12">
        <v>101.50554729643314</v>
      </c>
      <c r="C258" s="12">
        <v>93.930293655395516</v>
      </c>
      <c r="D258" s="12">
        <v>31.052102327346795</v>
      </c>
      <c r="E258" s="12">
        <v>82.190243902439036</v>
      </c>
      <c r="F258" s="12">
        <v>0.99684620276093427</v>
      </c>
      <c r="G258" s="12" t="s">
        <v>37</v>
      </c>
      <c r="H258" s="12">
        <v>1.1169589857260385</v>
      </c>
      <c r="I258" s="12">
        <v>1.3340246975421908</v>
      </c>
      <c r="J258" s="12">
        <v>1.1143373176455498</v>
      </c>
      <c r="K258" s="12">
        <v>0.97377473364273737</v>
      </c>
      <c r="L258" s="12">
        <v>0.79565808052817977</v>
      </c>
      <c r="M258" s="12" t="s">
        <v>37</v>
      </c>
      <c r="N258" s="12">
        <v>2.867128632448265</v>
      </c>
      <c r="O258" s="12" t="s">
        <v>37</v>
      </c>
      <c r="P258" s="12" t="s">
        <v>37</v>
      </c>
      <c r="Q258" s="12" t="s">
        <v>37</v>
      </c>
      <c r="R258" s="12" t="s">
        <v>37</v>
      </c>
      <c r="S258" s="12">
        <v>80946.966002517729</v>
      </c>
      <c r="T258" s="15" t="s">
        <v>37</v>
      </c>
      <c r="U258" s="12" t="s">
        <v>37</v>
      </c>
      <c r="V258" s="12" t="s">
        <v>37</v>
      </c>
      <c r="W258" s="12">
        <v>2.4660577774047865</v>
      </c>
      <c r="X258" s="12" t="s">
        <v>37</v>
      </c>
      <c r="Y258" s="15" t="s">
        <v>37</v>
      </c>
      <c r="Z258" s="15" t="s">
        <v>37</v>
      </c>
      <c r="AA258" s="15" t="s">
        <v>37</v>
      </c>
      <c r="AB258" s="12" t="s">
        <v>37</v>
      </c>
      <c r="AC258" s="12" t="s">
        <v>37</v>
      </c>
      <c r="AD258" s="12" t="s">
        <v>37</v>
      </c>
      <c r="AE258">
        <v>0</v>
      </c>
    </row>
    <row r="259" spans="1:31" ht="15" customHeight="1" x14ac:dyDescent="0.3">
      <c r="A259" s="12" t="s">
        <v>108</v>
      </c>
      <c r="B259" s="12">
        <v>72.826495306832427</v>
      </c>
      <c r="C259" s="12">
        <v>13.562921387808657</v>
      </c>
      <c r="D259" s="12">
        <v>2.1412544647852583</v>
      </c>
      <c r="E259" s="12">
        <v>49.143666666666668</v>
      </c>
      <c r="F259" s="12">
        <v>-1.1691322426001234</v>
      </c>
      <c r="G259" s="12">
        <v>12.951630086636689</v>
      </c>
      <c r="H259" s="12">
        <v>-1.8363351325194037</v>
      </c>
      <c r="I259" s="12">
        <v>-1.5470560739437724</v>
      </c>
      <c r="J259" s="12">
        <v>-1.2455817709366479</v>
      </c>
      <c r="K259" s="12">
        <v>-1.5203607554237044</v>
      </c>
      <c r="L259" s="12">
        <v>-1.1112255851427721</v>
      </c>
      <c r="M259" s="12">
        <v>478.34389484485098</v>
      </c>
      <c r="N259" s="12">
        <v>1.9910466007773715</v>
      </c>
      <c r="O259" s="12">
        <v>7.4168613205302805</v>
      </c>
      <c r="P259" s="12">
        <v>22.577926342755053</v>
      </c>
      <c r="Q259" s="12">
        <v>0</v>
      </c>
      <c r="R259" s="12">
        <v>11.379808880774627</v>
      </c>
      <c r="S259" s="12">
        <v>364.69075338178459</v>
      </c>
      <c r="T259" s="15">
        <v>-0.9997107274</v>
      </c>
      <c r="U259" s="12">
        <v>25.002107415544671</v>
      </c>
      <c r="V259" s="12">
        <v>23976193062.875</v>
      </c>
      <c r="W259" s="12">
        <v>1.6895677525064214</v>
      </c>
      <c r="X259" s="12">
        <v>0.98163483900000004</v>
      </c>
      <c r="Y259" s="15">
        <v>5.1847997399999999</v>
      </c>
      <c r="Z259" s="15">
        <v>2.7669100000000002</v>
      </c>
      <c r="AA259" s="15">
        <v>2.3348733699999999</v>
      </c>
      <c r="AB259" s="12" t="s">
        <v>37</v>
      </c>
      <c r="AC259" s="12">
        <v>13.053911575317246</v>
      </c>
      <c r="AD259" s="12">
        <v>14.932269999999983</v>
      </c>
      <c r="AE259">
        <v>1</v>
      </c>
    </row>
    <row r="260" spans="1:31" ht="15" customHeight="1" x14ac:dyDescent="0.3">
      <c r="A260" s="12" t="s">
        <v>110</v>
      </c>
      <c r="B260" s="12">
        <v>77.01449415418837</v>
      </c>
      <c r="C260" s="12">
        <v>17.841264981489918</v>
      </c>
      <c r="D260" s="12">
        <v>1.7996513088544215</v>
      </c>
      <c r="E260" s="12">
        <v>49.565370370370374</v>
      </c>
      <c r="F260" s="12">
        <v>-1.4089353779951725</v>
      </c>
      <c r="G260" s="12">
        <v>25.112544812001893</v>
      </c>
      <c r="H260" s="12">
        <v>-1.408701330423354</v>
      </c>
      <c r="I260" s="12">
        <v>-1.3283807436625164</v>
      </c>
      <c r="J260" s="12">
        <v>-1.1191017801562941</v>
      </c>
      <c r="K260" s="12">
        <v>-1.3720945715904227</v>
      </c>
      <c r="L260" s="12">
        <v>-1.3026839171846702</v>
      </c>
      <c r="M260" s="12">
        <v>399.99949199785084</v>
      </c>
      <c r="N260" s="12">
        <v>3.547120762170052</v>
      </c>
      <c r="O260" s="12" t="s">
        <v>37</v>
      </c>
      <c r="P260" s="12" t="s">
        <v>37</v>
      </c>
      <c r="Q260" s="12">
        <v>31.300000000000008</v>
      </c>
      <c r="R260" s="12" t="s">
        <v>37</v>
      </c>
      <c r="S260" s="12">
        <v>590.30517622346542</v>
      </c>
      <c r="T260" s="15">
        <v>1.4518321519999999</v>
      </c>
      <c r="U260" s="12" t="s">
        <v>37</v>
      </c>
      <c r="V260" s="12" t="s">
        <v>37</v>
      </c>
      <c r="W260" s="12">
        <v>2.3535252071562272</v>
      </c>
      <c r="X260" s="12">
        <v>1.1711253509999999</v>
      </c>
      <c r="Y260" s="15" t="s">
        <v>37</v>
      </c>
      <c r="Z260" s="15" t="s">
        <v>37</v>
      </c>
      <c r="AA260" s="15" t="s">
        <v>37</v>
      </c>
      <c r="AB260" s="12" t="s">
        <v>37</v>
      </c>
      <c r="AC260" s="12">
        <v>14.357196642741791</v>
      </c>
      <c r="AD260" s="12">
        <v>14.528861965914775</v>
      </c>
      <c r="AE260">
        <v>1</v>
      </c>
    </row>
    <row r="261" spans="1:31" ht="15" customHeight="1" x14ac:dyDescent="0.3">
      <c r="A261" s="12" t="s">
        <v>112</v>
      </c>
      <c r="B261" s="12" t="s">
        <v>37</v>
      </c>
      <c r="C261" s="12" t="s">
        <v>37</v>
      </c>
      <c r="D261" s="12" t="s">
        <v>37</v>
      </c>
      <c r="E261" s="12">
        <v>80.382518518518523</v>
      </c>
      <c r="F261" s="12" t="s">
        <v>37</v>
      </c>
      <c r="G261" s="12" t="s">
        <v>37</v>
      </c>
      <c r="H261" s="12" t="s">
        <v>37</v>
      </c>
      <c r="I261" s="12" t="s">
        <v>37</v>
      </c>
      <c r="J261" s="12" t="s">
        <v>37</v>
      </c>
      <c r="K261" s="12" t="s">
        <v>37</v>
      </c>
      <c r="L261" s="12" t="s">
        <v>37</v>
      </c>
      <c r="M261" s="12"/>
      <c r="N261" s="12">
        <v>0.71242284801250289</v>
      </c>
      <c r="O261" s="12" t="s">
        <v>37</v>
      </c>
      <c r="P261" s="12" t="s">
        <v>37</v>
      </c>
      <c r="Q261" s="12" t="s">
        <v>37</v>
      </c>
      <c r="R261" s="12" t="s">
        <v>37</v>
      </c>
      <c r="S261" s="12" t="s">
        <v>37</v>
      </c>
      <c r="T261" s="15" t="s">
        <v>37</v>
      </c>
      <c r="U261" s="12" t="s">
        <v>37</v>
      </c>
      <c r="V261" s="12" t="s">
        <v>37</v>
      </c>
      <c r="W261" s="12" t="s">
        <v>37</v>
      </c>
      <c r="X261" s="12" t="s">
        <v>37</v>
      </c>
      <c r="Y261" s="15" t="s">
        <v>37</v>
      </c>
      <c r="Z261" s="15" t="s">
        <v>37</v>
      </c>
      <c r="AA261" s="15" t="s">
        <v>37</v>
      </c>
      <c r="AB261" s="12" t="s">
        <v>37</v>
      </c>
      <c r="AC261" s="12" t="s">
        <v>37</v>
      </c>
      <c r="AD261" s="12" t="s">
        <v>37</v>
      </c>
      <c r="AE261">
        <v>0</v>
      </c>
    </row>
    <row r="262" spans="1:31" ht="15" customHeight="1" x14ac:dyDescent="0.3">
      <c r="A262" s="12" t="s">
        <v>114</v>
      </c>
      <c r="B262" s="12">
        <v>101.98572723388665</v>
      </c>
      <c r="C262" s="12">
        <v>94.32557014797051</v>
      </c>
      <c r="D262" s="12">
        <v>61.490331503061149</v>
      </c>
      <c r="E262" s="12">
        <v>78.096703703703682</v>
      </c>
      <c r="F262" s="12">
        <v>1.276511882742245</v>
      </c>
      <c r="G262" s="12">
        <v>24.151439342434568</v>
      </c>
      <c r="H262" s="12">
        <v>0.45257032305623107</v>
      </c>
      <c r="I262" s="12">
        <v>1.0032517537474632</v>
      </c>
      <c r="J262" s="12">
        <v>1.3410719434420268</v>
      </c>
      <c r="K262" s="12">
        <v>1.1240321521957723</v>
      </c>
      <c r="L262" s="12">
        <v>1.018749766051769</v>
      </c>
      <c r="M262" s="12">
        <v>7277.5618935664934</v>
      </c>
      <c r="N262" s="12">
        <v>1.1706351616104889</v>
      </c>
      <c r="O262" s="12">
        <v>17.177198541741802</v>
      </c>
      <c r="P262" s="12">
        <v>34.623006813948059</v>
      </c>
      <c r="Q262" s="12">
        <v>20.926666666666666</v>
      </c>
      <c r="R262" s="12">
        <v>27.744197924079426</v>
      </c>
      <c r="S262" s="12">
        <v>14355.606236597994</v>
      </c>
      <c r="T262" s="15">
        <v>2.5480120030000002</v>
      </c>
      <c r="U262" s="12">
        <v>2.1741540188965085</v>
      </c>
      <c r="V262" s="12">
        <v>332801597470.35089</v>
      </c>
      <c r="W262" s="12">
        <v>4.1096201324462882</v>
      </c>
      <c r="X262" s="12">
        <v>3.512445504</v>
      </c>
      <c r="Y262" s="15">
        <v>9.4472124609999995</v>
      </c>
      <c r="Z262" s="15">
        <v>0.34229999999999999</v>
      </c>
      <c r="AA262" s="15">
        <v>6.3054997410000002</v>
      </c>
      <c r="AB262" s="12">
        <v>15.100753945570919</v>
      </c>
      <c r="AC262" s="12">
        <v>25.750478506478942</v>
      </c>
      <c r="AD262" s="12">
        <v>24.828027780232507</v>
      </c>
      <c r="AE262">
        <v>0</v>
      </c>
    </row>
    <row r="263" spans="1:31" ht="15" customHeight="1" x14ac:dyDescent="0.3">
      <c r="A263" s="12" t="s">
        <v>116</v>
      </c>
      <c r="B263" s="12">
        <v>103.89109455455424</v>
      </c>
      <c r="C263" s="12">
        <v>70.891984558105463</v>
      </c>
      <c r="D263" s="12">
        <v>29.060356889452247</v>
      </c>
      <c r="E263" s="12">
        <v>74.667629629629644</v>
      </c>
      <c r="F263" s="12">
        <v>-0.36800980614498252</v>
      </c>
      <c r="G263" s="12">
        <v>39.149925993832696</v>
      </c>
      <c r="H263" s="12">
        <v>-0.44223798283686239</v>
      </c>
      <c r="I263" s="12">
        <v>0.1648327239284603</v>
      </c>
      <c r="J263" s="12">
        <v>-0.30139017043014366</v>
      </c>
      <c r="K263" s="12">
        <v>-0.41876497608609492</v>
      </c>
      <c r="L263" s="12">
        <v>-1.5854380428791037</v>
      </c>
      <c r="M263" s="12">
        <v>1520.0294693662854</v>
      </c>
      <c r="N263" s="12">
        <v>0.62877010310721126</v>
      </c>
      <c r="O263" s="12">
        <v>9.3939525401548085</v>
      </c>
      <c r="P263" s="12">
        <v>31.816323035574669</v>
      </c>
      <c r="Q263" s="12">
        <v>10.328571428571427</v>
      </c>
      <c r="R263" s="12">
        <v>22.364506849841082</v>
      </c>
      <c r="S263" s="12">
        <v>11560.242122128768</v>
      </c>
      <c r="T263" s="15">
        <v>7.8037544130000001</v>
      </c>
      <c r="U263" s="12">
        <v>4.544446286260186</v>
      </c>
      <c r="V263" s="12">
        <v>233185982105.88235</v>
      </c>
      <c r="W263" s="12">
        <v>3.2221043298118999</v>
      </c>
      <c r="X263" s="12">
        <v>2.0936553299999998</v>
      </c>
      <c r="Y263" s="15">
        <v>7.819847545</v>
      </c>
      <c r="Z263" s="15">
        <v>0.46576000000000001</v>
      </c>
      <c r="AA263" s="15">
        <v>4.1425574230000004</v>
      </c>
      <c r="AB263" s="12" t="s">
        <v>37</v>
      </c>
      <c r="AC263" s="12">
        <v>32.340968806108464</v>
      </c>
      <c r="AD263" s="12">
        <v>41.972773437703815</v>
      </c>
      <c r="AE263">
        <v>0</v>
      </c>
    </row>
    <row r="264" spans="1:31" ht="15" customHeight="1" x14ac:dyDescent="0.3">
      <c r="A264" s="12" t="s">
        <v>118</v>
      </c>
      <c r="B264" s="12">
        <v>118.87128143310544</v>
      </c>
      <c r="C264" s="12">
        <v>90.810650507609026</v>
      </c>
      <c r="D264" s="12">
        <v>39.585270368135895</v>
      </c>
      <c r="E264" s="12">
        <v>73.69670370370369</v>
      </c>
      <c r="F264" s="12">
        <v>-0.33412936826546996</v>
      </c>
      <c r="G264" s="12">
        <v>20.241807295087064</v>
      </c>
      <c r="H264" s="12">
        <v>-1.4401394501328468</v>
      </c>
      <c r="I264" s="12">
        <v>-0.1473529766565965</v>
      </c>
      <c r="J264" s="12">
        <v>0.16580784289787218</v>
      </c>
      <c r="K264" s="12">
        <v>-0.47267378804584342</v>
      </c>
      <c r="L264" s="12">
        <v>-0.11648014930930617</v>
      </c>
      <c r="M264" s="12">
        <v>4170.4576952960915</v>
      </c>
      <c r="N264" s="12">
        <v>1.4005517633360449</v>
      </c>
      <c r="O264" s="12">
        <v>13.866986745696444</v>
      </c>
      <c r="P264" s="12">
        <v>38.714822455647251</v>
      </c>
      <c r="Q264" s="12">
        <v>19.959999999999997</v>
      </c>
      <c r="R264" s="12">
        <v>21.832052518001241</v>
      </c>
      <c r="S264" s="12">
        <v>6842.5325118340061</v>
      </c>
      <c r="T264" s="15">
        <v>1.8507404670000001</v>
      </c>
      <c r="U264" s="12">
        <v>4.9393550328039826</v>
      </c>
      <c r="V264" s="12">
        <v>3875199518611.6104</v>
      </c>
      <c r="W264" s="12">
        <v>4.3427165176557461</v>
      </c>
      <c r="X264" s="12">
        <v>4.9475381269999996</v>
      </c>
      <c r="Y264" s="15">
        <v>9.2435083949999992</v>
      </c>
      <c r="Z264" s="15">
        <v>0.72767999999999999</v>
      </c>
      <c r="AA264" s="15">
        <v>7.4433927129999997</v>
      </c>
      <c r="AB264" s="12" t="s">
        <v>37</v>
      </c>
      <c r="AC264" s="12">
        <v>22.39616479136463</v>
      </c>
      <c r="AD264" s="12">
        <v>18.913633186822469</v>
      </c>
      <c r="AE264">
        <v>0</v>
      </c>
    </row>
    <row r="265" spans="1:31" ht="15" customHeight="1" x14ac:dyDescent="0.3">
      <c r="A265" s="12" t="s">
        <v>120</v>
      </c>
      <c r="B265" s="12">
        <v>101.31864166259766</v>
      </c>
      <c r="C265" s="12">
        <v>48.692416191101088</v>
      </c>
      <c r="D265" s="12">
        <v>5.6211945306171067</v>
      </c>
      <c r="E265" s="12">
        <v>60.854037037037045</v>
      </c>
      <c r="F265" s="12">
        <v>-0.85735599944988905</v>
      </c>
      <c r="G265" s="12">
        <v>15.83498103590925</v>
      </c>
      <c r="H265" s="12">
        <v>-0.27499165432527634</v>
      </c>
      <c r="I265" s="12">
        <v>-1.5955256273349132</v>
      </c>
      <c r="J265" s="12">
        <v>-1.2677856683731084</v>
      </c>
      <c r="K265" s="12">
        <v>-1.0391197080413506</v>
      </c>
      <c r="L265" s="12">
        <v>-0.48531914750734995</v>
      </c>
      <c r="M265" s="12">
        <v>1135.134901525397</v>
      </c>
      <c r="N265" s="12">
        <v>2.041402361297123</v>
      </c>
      <c r="O265" s="12" t="s">
        <v>37</v>
      </c>
      <c r="P265" s="12" t="s">
        <v>37</v>
      </c>
      <c r="Q265" s="12">
        <v>31.500000000000004</v>
      </c>
      <c r="R265" s="12" t="s">
        <v>37</v>
      </c>
      <c r="S265" s="12">
        <v>1362.778020623841</v>
      </c>
      <c r="T265" s="15">
        <v>0.67923633839999997</v>
      </c>
      <c r="U265" s="12" t="s">
        <v>37</v>
      </c>
      <c r="V265" s="12" t="s">
        <v>37</v>
      </c>
      <c r="W265" s="12">
        <v>2.6561653397300025</v>
      </c>
      <c r="X265" s="12">
        <v>0.67515414699999998</v>
      </c>
      <c r="Y265" s="15" t="s">
        <v>37</v>
      </c>
      <c r="Z265" s="15" t="s">
        <v>37</v>
      </c>
      <c r="AA265" s="15" t="s">
        <v>37</v>
      </c>
      <c r="AB265" s="12" t="s">
        <v>37</v>
      </c>
      <c r="AC265" s="12">
        <v>17.116421460510704</v>
      </c>
      <c r="AD265" s="12">
        <v>12.961718860389409</v>
      </c>
      <c r="AE265">
        <v>1</v>
      </c>
    </row>
    <row r="266" spans="1:31" ht="15" customHeight="1" x14ac:dyDescent="0.3">
      <c r="A266" s="12" t="s">
        <v>122</v>
      </c>
      <c r="B266" s="12">
        <v>93.562249898910451</v>
      </c>
      <c r="C266" s="12">
        <v>39.913814024491757</v>
      </c>
      <c r="D266" s="12">
        <v>5.35610824281519</v>
      </c>
      <c r="E266" s="12">
        <v>55.174518518518532</v>
      </c>
      <c r="F266" s="12">
        <v>-1.4495875934759779</v>
      </c>
      <c r="G266" s="12">
        <v>15.714788309813942</v>
      </c>
      <c r="H266" s="12">
        <v>-2.1516317923863739</v>
      </c>
      <c r="I266" s="12">
        <v>-1.6554850339889533</v>
      </c>
      <c r="J266" s="12">
        <v>-1.5190175473690035</v>
      </c>
      <c r="K266" s="12">
        <v>-1.696350157260895</v>
      </c>
      <c r="L266" s="12">
        <v>-1.434362103541692</v>
      </c>
      <c r="M266" s="12">
        <v>466.24575741029645</v>
      </c>
      <c r="N266" s="12">
        <v>3.1009720909651719</v>
      </c>
      <c r="O266" s="12" t="s">
        <v>37</v>
      </c>
      <c r="P266" s="12" t="s">
        <v>37</v>
      </c>
      <c r="Q266" s="12">
        <v>44.379999999999995</v>
      </c>
      <c r="R266" s="12" t="s">
        <v>37</v>
      </c>
      <c r="S266" s="12">
        <v>528.78883450489752</v>
      </c>
      <c r="T266" s="15">
        <v>0.46729696869999998</v>
      </c>
      <c r="U266" s="12" t="s">
        <v>37</v>
      </c>
      <c r="V266" s="12" t="s">
        <v>37</v>
      </c>
      <c r="W266" s="12">
        <v>2.1742604970932007</v>
      </c>
      <c r="X266" s="12">
        <v>0.36424267500000002</v>
      </c>
      <c r="Y266" s="15" t="s">
        <v>37</v>
      </c>
      <c r="Z266" s="15" t="s">
        <v>37</v>
      </c>
      <c r="AA266" s="15" t="s">
        <v>37</v>
      </c>
      <c r="AB266" s="12" t="s">
        <v>37</v>
      </c>
      <c r="AC266" s="12">
        <v>9.6536063354739827</v>
      </c>
      <c r="AD266" s="12">
        <v>15.320838035638054</v>
      </c>
      <c r="AE266">
        <v>1</v>
      </c>
    </row>
    <row r="267" spans="1:31" ht="15" customHeight="1" x14ac:dyDescent="0.3">
      <c r="A267" s="12" t="s">
        <v>124</v>
      </c>
      <c r="B267" s="12">
        <v>100.21441442316228</v>
      </c>
      <c r="C267" s="12">
        <v>43.993693033854186</v>
      </c>
      <c r="D267" s="12">
        <v>6.9048594994978458</v>
      </c>
      <c r="E267" s="12">
        <v>58.835074074074086</v>
      </c>
      <c r="F267" s="12">
        <v>-1.1947402631243076</v>
      </c>
      <c r="G267" s="12">
        <v>34.971849524130981</v>
      </c>
      <c r="H267" s="12">
        <v>-0.67157251162764975</v>
      </c>
      <c r="I267" s="12">
        <v>-1.2024508118629449</v>
      </c>
      <c r="J267" s="12">
        <v>-1.2518736720085135</v>
      </c>
      <c r="K267" s="12">
        <v>-1.2059673319260285</v>
      </c>
      <c r="L267" s="12">
        <v>-1.1353800843159401</v>
      </c>
      <c r="M267" s="12">
        <v>2098.0068021575994</v>
      </c>
      <c r="N267" s="12">
        <v>2.8971336787424802</v>
      </c>
      <c r="O267" s="12">
        <v>8.1402567409660964</v>
      </c>
      <c r="P267" s="12">
        <v>36.138539854193887</v>
      </c>
      <c r="Q267" s="12">
        <v>1.2333333333333334</v>
      </c>
      <c r="R267" s="12">
        <v>9.5538659404353385</v>
      </c>
      <c r="S267" s="12">
        <v>1704.2723518754365</v>
      </c>
      <c r="T267" s="15">
        <v>-0.7668575124</v>
      </c>
      <c r="U267" s="12">
        <v>17.729974186507356</v>
      </c>
      <c r="V267" s="12">
        <v>79897969515.149994</v>
      </c>
      <c r="W267" s="12">
        <v>3.6318965460124759</v>
      </c>
      <c r="X267" s="12">
        <v>0.82549724400000002</v>
      </c>
      <c r="Y267" s="15">
        <v>4.0723336970000004</v>
      </c>
      <c r="Z267" s="15">
        <v>1.61565</v>
      </c>
      <c r="AA267" s="15">
        <v>3.8587380310000001</v>
      </c>
      <c r="AB267" s="12" t="s">
        <v>37</v>
      </c>
      <c r="AC267" s="12">
        <v>34.300345578488923</v>
      </c>
      <c r="AD267" s="12">
        <v>20.690555787465538</v>
      </c>
      <c r="AE267">
        <v>1</v>
      </c>
    </row>
    <row r="268" spans="1:31" ht="15" customHeight="1" x14ac:dyDescent="0.3">
      <c r="A268" s="12" t="s">
        <v>126</v>
      </c>
      <c r="B268" s="12">
        <v>109.68691312349762</v>
      </c>
      <c r="C268" s="12">
        <v>93.56845885056714</v>
      </c>
      <c r="D268" s="12">
        <v>48.267352485656758</v>
      </c>
      <c r="E268" s="12">
        <v>78.340222222222209</v>
      </c>
      <c r="F268" s="12">
        <v>0.56095784405867266</v>
      </c>
      <c r="G268" s="12">
        <v>19.484288378865138</v>
      </c>
      <c r="H268" s="12">
        <v>0.67705353970328985</v>
      </c>
      <c r="I268" s="12">
        <v>0.27578656158099552</v>
      </c>
      <c r="J268" s="16">
        <v>0.5730249981085459</v>
      </c>
      <c r="K268" s="12">
        <v>0.5004368660350641</v>
      </c>
      <c r="L268" s="12">
        <v>1.053203945358594</v>
      </c>
      <c r="M268" s="12">
        <v>6867.6376721881124</v>
      </c>
      <c r="N268" s="12">
        <v>1.4448371941244447</v>
      </c>
      <c r="O268" s="12">
        <v>13.307071964705294</v>
      </c>
      <c r="P268" s="12">
        <v>26.191495371255719</v>
      </c>
      <c r="Q268" s="12">
        <v>19.219999999999995</v>
      </c>
      <c r="R268" s="12">
        <v>14.900218643196441</v>
      </c>
      <c r="S268" s="12">
        <v>13424.46470137313</v>
      </c>
      <c r="T268" s="15">
        <v>2.5135082670000002</v>
      </c>
      <c r="U268" s="12">
        <v>6.5183947032381742</v>
      </c>
      <c r="V268" s="12">
        <v>114078115255.52629</v>
      </c>
      <c r="W268" s="12">
        <v>5.7337674995263432</v>
      </c>
      <c r="X268" s="12">
        <v>5.0642099160000003</v>
      </c>
      <c r="Y268" s="15">
        <v>7.5611044749999996</v>
      </c>
      <c r="Z268" s="15">
        <v>1.14455</v>
      </c>
      <c r="AA268" s="15">
        <v>3.6775852929999999</v>
      </c>
      <c r="AB268" s="12">
        <v>12.245037959189521</v>
      </c>
      <c r="AC268" s="12">
        <v>19.79151686838054</v>
      </c>
      <c r="AD268" s="12">
        <v>16.950366852393525</v>
      </c>
      <c r="AE268">
        <v>0</v>
      </c>
    </row>
    <row r="269" spans="1:31" ht="15" customHeight="1" x14ac:dyDescent="0.3">
      <c r="A269" s="12" t="s">
        <v>128</v>
      </c>
      <c r="B269" s="12">
        <v>78.425447387695314</v>
      </c>
      <c r="C269" s="12">
        <v>46.217831993103047</v>
      </c>
      <c r="D269" s="12">
        <v>7.6705320040384937</v>
      </c>
      <c r="E269" s="12">
        <v>54.350074074074065</v>
      </c>
      <c r="F269" s="12">
        <v>-0.77235408624013324</v>
      </c>
      <c r="G269" s="12">
        <v>18.682952945432696</v>
      </c>
      <c r="H269" s="12">
        <v>-1.2378576872870324</v>
      </c>
      <c r="I269" s="12">
        <v>-0.88630609773099456</v>
      </c>
      <c r="J269" s="12">
        <v>-0.61731690478821599</v>
      </c>
      <c r="K269" s="12">
        <v>-1.013622645288706</v>
      </c>
      <c r="L269" s="12">
        <v>-0.77897927723824933</v>
      </c>
      <c r="M269" s="12">
        <v>1711.110949179965</v>
      </c>
      <c r="N269" s="12">
        <v>2.5502244003299723</v>
      </c>
      <c r="O269" s="12">
        <v>10.978358660579771</v>
      </c>
      <c r="P269" s="12">
        <v>24.001889698746581</v>
      </c>
      <c r="Q269" s="12">
        <v>9.2266666666666666</v>
      </c>
      <c r="R269" s="12">
        <v>21.0686304217989</v>
      </c>
      <c r="S269" s="12">
        <v>2430.3069210478839</v>
      </c>
      <c r="T269" s="15">
        <v>1.308016654</v>
      </c>
      <c r="U269" s="12">
        <v>25.830102701150306</v>
      </c>
      <c r="V269" s="12">
        <v>499155616335.9682</v>
      </c>
      <c r="W269" s="12">
        <v>3.1443035772868568</v>
      </c>
      <c r="X269" s="12">
        <v>0.712590418</v>
      </c>
      <c r="Y269" s="15">
        <v>3.8336937099999999</v>
      </c>
      <c r="Z269" s="15">
        <v>4.3561800000000002</v>
      </c>
      <c r="AA269" s="15">
        <v>2.8785341120000001</v>
      </c>
      <c r="AB269" s="12">
        <v>18.819074586303376</v>
      </c>
      <c r="AC269" s="12">
        <v>13.686123144887633</v>
      </c>
      <c r="AD269" s="12">
        <v>25.102766404320299</v>
      </c>
      <c r="AE269">
        <v>1</v>
      </c>
    </row>
    <row r="270" spans="1:31" ht="15" customHeight="1" x14ac:dyDescent="0.3">
      <c r="A270" s="12" t="s">
        <v>130</v>
      </c>
      <c r="B270" s="12">
        <v>96.768619384765572</v>
      </c>
      <c r="C270" s="12">
        <v>95.919323120117156</v>
      </c>
      <c r="D270" s="12">
        <v>51.536306821382972</v>
      </c>
      <c r="E270" s="12">
        <v>75.61083107497744</v>
      </c>
      <c r="F270" s="12">
        <v>3.5110513136411683E-2</v>
      </c>
      <c r="G270" s="12">
        <v>21.456077743042499</v>
      </c>
      <c r="H270" s="12">
        <v>0.55476514855399728</v>
      </c>
      <c r="I270" s="12">
        <v>0.46999866686140507</v>
      </c>
      <c r="J270" s="12">
        <v>0.33765799303849531</v>
      </c>
      <c r="K270" s="12">
        <v>8.1630564838026984E-2</v>
      </c>
      <c r="L270" s="12">
        <v>0.46350857739647228</v>
      </c>
      <c r="M270" s="12">
        <v>7305.9397758080377</v>
      </c>
      <c r="N270" s="12">
        <v>-0.6730555750246191</v>
      </c>
      <c r="O270" s="12">
        <v>20.832934122392057</v>
      </c>
      <c r="P270" s="12">
        <v>14.524366231270887</v>
      </c>
      <c r="Q270" s="12">
        <v>0</v>
      </c>
      <c r="R270" s="12">
        <v>7.6764104935646298</v>
      </c>
      <c r="S270" s="12">
        <v>16610.318091975063</v>
      </c>
      <c r="T270" s="15">
        <v>3.0887277879999999</v>
      </c>
      <c r="U270" s="12">
        <v>4.8252168619690314</v>
      </c>
      <c r="V270" s="12">
        <v>265384958.33333334</v>
      </c>
      <c r="W270" s="12">
        <v>4.5871199694546787</v>
      </c>
      <c r="X270" s="12">
        <v>5.8748179550000001</v>
      </c>
      <c r="Y270" s="15">
        <v>16.609941549999999</v>
      </c>
      <c r="Z270" s="15">
        <v>0.67552000000000001</v>
      </c>
      <c r="AA270" s="15">
        <v>2.8075052820000002</v>
      </c>
      <c r="AB270" s="12">
        <v>22.62493482917866</v>
      </c>
      <c r="AC270" s="12">
        <v>14.27080772641304</v>
      </c>
      <c r="AD270" s="12">
        <v>19.633851221469026</v>
      </c>
      <c r="AE270">
        <v>0</v>
      </c>
    </row>
    <row r="271" spans="1:31" ht="15" customHeight="1" x14ac:dyDescent="0.3">
      <c r="A271" s="12" t="s">
        <v>132</v>
      </c>
      <c r="B271" s="12">
        <v>102.23933846609927</v>
      </c>
      <c r="C271" s="12">
        <v>92.254179495352247</v>
      </c>
      <c r="D271" s="12">
        <v>49.526064554850294</v>
      </c>
      <c r="E271" s="12">
        <v>76.810888888888911</v>
      </c>
      <c r="F271" s="12">
        <v>0.18608776961142823</v>
      </c>
      <c r="G271" s="12">
        <v>9.7640577572859453</v>
      </c>
      <c r="H271" s="12">
        <v>0.42467795277480036</v>
      </c>
      <c r="I271" s="12">
        <v>-0.32861936489158933</v>
      </c>
      <c r="J271" s="12">
        <v>-1.4367847144603736</v>
      </c>
      <c r="K271" s="12">
        <v>-0.74579874426126436</v>
      </c>
      <c r="L271" s="12">
        <v>-1.6014569600423163</v>
      </c>
      <c r="M271" s="12">
        <v>3348.4766336695207</v>
      </c>
      <c r="N271" s="12">
        <v>0.12350347439207862</v>
      </c>
      <c r="O271" s="12" t="s">
        <v>37</v>
      </c>
      <c r="P271" s="12" t="s">
        <v>37</v>
      </c>
      <c r="Q271" s="12" t="s">
        <v>37</v>
      </c>
      <c r="R271" s="12" t="s">
        <v>37</v>
      </c>
      <c r="S271" s="12">
        <v>7449.6828799407704</v>
      </c>
      <c r="T271" s="15">
        <v>3.0060210920000001</v>
      </c>
      <c r="U271" s="12" t="s">
        <v>37</v>
      </c>
      <c r="V271" s="12" t="s">
        <v>37</v>
      </c>
      <c r="W271" s="12">
        <v>10.034530067443848</v>
      </c>
      <c r="X271" s="12">
        <v>8.8424324090000006</v>
      </c>
      <c r="Y271" s="15" t="s">
        <v>37</v>
      </c>
      <c r="Z271" s="15" t="s">
        <v>37</v>
      </c>
      <c r="AA271" s="15" t="s">
        <v>37</v>
      </c>
      <c r="AB271" s="12" t="s">
        <v>37</v>
      </c>
      <c r="AC271" s="12">
        <v>7.7540244188360221</v>
      </c>
      <c r="AD271" s="12">
        <v>11.47902500354018</v>
      </c>
      <c r="AE271">
        <v>0</v>
      </c>
    </row>
    <row r="272" spans="1:31" ht="15" customHeight="1" x14ac:dyDescent="0.3">
      <c r="A272" s="12" t="s">
        <v>134</v>
      </c>
      <c r="B272" s="12">
        <v>148.09909820556646</v>
      </c>
      <c r="C272" s="12">
        <v>107.88845062255849</v>
      </c>
      <c r="D272" s="12">
        <v>19.283001679640559</v>
      </c>
      <c r="E272" s="12">
        <v>74.986319290465644</v>
      </c>
      <c r="F272" s="12" t="s">
        <v>37</v>
      </c>
      <c r="G272" s="12">
        <v>27.893034012204975</v>
      </c>
      <c r="H272" s="12" t="s">
        <v>37</v>
      </c>
      <c r="I272" s="12" t="s">
        <v>37</v>
      </c>
      <c r="J272" s="12" t="s">
        <v>37</v>
      </c>
      <c r="K272" s="12" t="s">
        <v>37</v>
      </c>
      <c r="L272" s="12" t="s">
        <v>37</v>
      </c>
      <c r="M272" s="12" t="s">
        <v>37</v>
      </c>
      <c r="N272" s="12">
        <v>0.19306093852730608</v>
      </c>
      <c r="O272" s="12" t="s">
        <v>37</v>
      </c>
      <c r="P272" s="12" t="s">
        <v>37</v>
      </c>
      <c r="Q272" s="12" t="s">
        <v>37</v>
      </c>
      <c r="R272" s="12" t="s">
        <v>37</v>
      </c>
      <c r="S272" s="12">
        <v>17387.285399540953</v>
      </c>
      <c r="T272" s="15" t="s">
        <v>37</v>
      </c>
      <c r="U272" s="12" t="s">
        <v>37</v>
      </c>
      <c r="V272" s="12" t="s">
        <v>37</v>
      </c>
      <c r="W272" s="12">
        <v>6.7718023657798785</v>
      </c>
      <c r="X272" s="12" t="s">
        <v>37</v>
      </c>
      <c r="Y272" s="15" t="s">
        <v>37</v>
      </c>
      <c r="Z272" s="15" t="s">
        <v>37</v>
      </c>
      <c r="AA272" s="15" t="s">
        <v>37</v>
      </c>
      <c r="AB272" s="12" t="s">
        <v>37</v>
      </c>
      <c r="AC272" s="12" t="s">
        <v>37</v>
      </c>
      <c r="AD272" s="12" t="s">
        <v>37</v>
      </c>
      <c r="AE272">
        <v>0</v>
      </c>
    </row>
    <row r="273" spans="1:31" ht="15" customHeight="1" x14ac:dyDescent="0.3">
      <c r="A273" s="12" t="s">
        <v>136</v>
      </c>
      <c r="B273" s="12">
        <v>99.534515380859418</v>
      </c>
      <c r="C273" s="12">
        <v>96.522403717040973</v>
      </c>
      <c r="D273" s="12">
        <v>51.422262538563125</v>
      </c>
      <c r="E273" s="12">
        <v>78.85488888888888</v>
      </c>
      <c r="F273" s="12">
        <v>0.91918926810224788</v>
      </c>
      <c r="G273" s="12">
        <v>20.487526691089617</v>
      </c>
      <c r="H273" s="12">
        <v>0.47913135215640068</v>
      </c>
      <c r="I273" s="12">
        <v>1.151938930153847</v>
      </c>
      <c r="J273" s="12">
        <v>1.125774219632149</v>
      </c>
      <c r="K273" s="12">
        <v>0.93126446505387583</v>
      </c>
      <c r="L273" s="12">
        <v>1.0111689344048498</v>
      </c>
      <c r="M273" s="12">
        <v>19452.57421875</v>
      </c>
      <c r="N273" s="12">
        <v>1.4354072765203172</v>
      </c>
      <c r="O273" s="12">
        <v>30.359881769391585</v>
      </c>
      <c r="P273" s="12">
        <v>39.495769721941123</v>
      </c>
      <c r="Q273" s="12">
        <v>8.7833333333333314</v>
      </c>
      <c r="R273" s="12">
        <v>25.392068932052851</v>
      </c>
      <c r="S273" s="12">
        <v>30571.55078125</v>
      </c>
      <c r="T273" s="15">
        <v>1.688505878</v>
      </c>
      <c r="U273" s="12">
        <v>2.57700304082468</v>
      </c>
      <c r="V273" s="12">
        <v>81604652.613726482</v>
      </c>
      <c r="W273" s="12">
        <v>5.8892237544059753</v>
      </c>
      <c r="X273" s="12">
        <v>2.8771451199999998</v>
      </c>
      <c r="Y273" s="15">
        <v>14.960180749999999</v>
      </c>
      <c r="Z273" s="15">
        <v>0.49656</v>
      </c>
      <c r="AA273" s="15">
        <v>11.15952502</v>
      </c>
      <c r="AB273" s="12">
        <v>31.498138396407665</v>
      </c>
      <c r="AC273" s="12">
        <v>25.202284043680436</v>
      </c>
      <c r="AD273" s="12">
        <v>20.36565143824027</v>
      </c>
      <c r="AE273">
        <v>0</v>
      </c>
    </row>
    <row r="274" spans="1:31" ht="15" customHeight="1" x14ac:dyDescent="0.3">
      <c r="A274" s="12" t="s">
        <v>138</v>
      </c>
      <c r="B274" s="12">
        <v>101.72619939733423</v>
      </c>
      <c r="C274" s="12">
        <v>97.732341625072294</v>
      </c>
      <c r="D274" s="12">
        <v>50.902378011632848</v>
      </c>
      <c r="E274" s="12">
        <v>76.67018066847335</v>
      </c>
      <c r="F274" s="12">
        <v>0.44749744857350987</v>
      </c>
      <c r="G274" s="12">
        <v>28.431804605276216</v>
      </c>
      <c r="H274" s="12">
        <v>0.94670983776450146</v>
      </c>
      <c r="I274" s="12">
        <v>0.90859836836656005</v>
      </c>
      <c r="J274" s="12">
        <v>1.131395551065604</v>
      </c>
      <c r="K274" s="12">
        <v>0.95421065886815359</v>
      </c>
      <c r="L274" s="12">
        <v>0.97204656402269995</v>
      </c>
      <c r="M274" s="12">
        <v>11219.15006524568</v>
      </c>
      <c r="N274" s="12">
        <v>6.120502410672906E-2</v>
      </c>
      <c r="O274" s="12">
        <v>14.637788483593081</v>
      </c>
      <c r="P274" s="12">
        <v>34.821608967179856</v>
      </c>
      <c r="Q274" s="12">
        <v>5.6</v>
      </c>
      <c r="R274" s="12">
        <v>15.823995119900953</v>
      </c>
      <c r="S274" s="12">
        <v>20237.294552707292</v>
      </c>
      <c r="T274" s="15">
        <v>2.208903463</v>
      </c>
      <c r="U274" s="12">
        <v>3.9064034225403041</v>
      </c>
      <c r="V274" s="12">
        <v>12519900000</v>
      </c>
      <c r="W274" s="12">
        <v>4.2091140105174141</v>
      </c>
      <c r="X274" s="12">
        <v>5.8357559830000003</v>
      </c>
      <c r="Y274" s="15">
        <v>8.9775467720000002</v>
      </c>
      <c r="Z274" s="15">
        <v>0.32758999999999999</v>
      </c>
      <c r="AA274" s="15">
        <v>4.9918553589999997</v>
      </c>
      <c r="AB274" s="12">
        <v>16.238177392053903</v>
      </c>
      <c r="AC274" s="12">
        <v>33.791766741464357</v>
      </c>
      <c r="AD274" s="12">
        <v>26.783092233664984</v>
      </c>
      <c r="AE274">
        <v>0</v>
      </c>
    </row>
    <row r="275" spans="1:31" ht="15" customHeight="1" x14ac:dyDescent="0.3">
      <c r="A275" s="12" t="s">
        <v>140</v>
      </c>
      <c r="B275" s="12">
        <v>100.27587768554682</v>
      </c>
      <c r="C275" s="12">
        <v>125.42091487004215</v>
      </c>
      <c r="D275" s="12">
        <v>72.282714110154373</v>
      </c>
      <c r="E275" s="12">
        <v>78.642475158084906</v>
      </c>
      <c r="F275" s="12">
        <v>2.3091208239396419</v>
      </c>
      <c r="G275" s="12">
        <v>20.807551586619432</v>
      </c>
      <c r="H275" s="12">
        <v>1.0694790557026865</v>
      </c>
      <c r="I275" s="12">
        <v>1.9949622452259066</v>
      </c>
      <c r="J275" s="12">
        <v>1.7534288664658881</v>
      </c>
      <c r="K275" s="12">
        <v>1.8998708029588054</v>
      </c>
      <c r="L275" s="12">
        <v>1.5698434611161547</v>
      </c>
      <c r="M275" s="12">
        <v>43310.250090105415</v>
      </c>
      <c r="N275" s="12">
        <v>0.43609465972724776</v>
      </c>
      <c r="O275" s="12">
        <v>32.792896866491091</v>
      </c>
      <c r="P275" s="12">
        <v>49.441769372102307</v>
      </c>
      <c r="Q275" s="12">
        <v>20.840000000000007</v>
      </c>
      <c r="R275" s="12">
        <v>41.26203652069109</v>
      </c>
      <c r="S275" s="12">
        <v>60345.557317680279</v>
      </c>
      <c r="T275" s="15">
        <v>1.2360883060000001</v>
      </c>
      <c r="U275" s="12" t="s">
        <v>37</v>
      </c>
      <c r="V275" s="12" t="s">
        <v>37</v>
      </c>
      <c r="W275" s="12">
        <v>7.7286813259124756</v>
      </c>
      <c r="X275" s="12">
        <v>8.2326781750000002</v>
      </c>
      <c r="Y275" s="15">
        <v>14.39713564</v>
      </c>
      <c r="Z275" s="15">
        <v>2.009E-2</v>
      </c>
      <c r="AA275" s="15">
        <v>16.243639290000001</v>
      </c>
      <c r="AB275" s="12">
        <v>31.660832017883468</v>
      </c>
      <c r="AC275" s="12">
        <v>19.474849664932083</v>
      </c>
      <c r="AD275" s="12">
        <v>21.739977564466709</v>
      </c>
      <c r="AE275">
        <v>0</v>
      </c>
    </row>
    <row r="276" spans="1:31" ht="15" customHeight="1" x14ac:dyDescent="0.3">
      <c r="A276" s="12" t="s">
        <v>142</v>
      </c>
      <c r="B276" s="12">
        <v>47.79826411494502</v>
      </c>
      <c r="C276" s="12">
        <v>29.626817398071292</v>
      </c>
      <c r="D276" s="12">
        <v>1.8603226949771239</v>
      </c>
      <c r="E276" s="12">
        <v>59.432037037037055</v>
      </c>
      <c r="F276" s="12">
        <v>-0.61709194257855415</v>
      </c>
      <c r="G276" s="12">
        <v>28.454183405668978</v>
      </c>
      <c r="H276" s="12">
        <v>-0.31838734479000164</v>
      </c>
      <c r="I276" s="12">
        <v>-0.90152479459842061</v>
      </c>
      <c r="J276" s="12">
        <v>-0.74347208067774762</v>
      </c>
      <c r="K276" s="12">
        <v>-0.88744256397088384</v>
      </c>
      <c r="L276" s="12">
        <v>-1.2020426938931139</v>
      </c>
      <c r="M276" s="12" t="s">
        <v>37</v>
      </c>
      <c r="N276" s="12">
        <v>2.1214543831148682</v>
      </c>
      <c r="O276" s="12" t="s">
        <v>37</v>
      </c>
      <c r="P276" s="12" t="s">
        <v>37</v>
      </c>
      <c r="Q276" s="12">
        <v>17.699999999999996</v>
      </c>
      <c r="R276" s="12" t="s">
        <v>37</v>
      </c>
      <c r="S276" s="12">
        <v>2950.9464746477879</v>
      </c>
      <c r="T276" s="15" t="s">
        <v>37</v>
      </c>
      <c r="U276" s="12" t="s">
        <v>37</v>
      </c>
      <c r="V276" s="12" t="s">
        <v>37</v>
      </c>
      <c r="W276" s="12">
        <v>6.5663197321050308</v>
      </c>
      <c r="X276" s="12">
        <v>1.5337689910000001</v>
      </c>
      <c r="Y276" s="15" t="s">
        <v>37</v>
      </c>
      <c r="Z276" s="15" t="s">
        <v>37</v>
      </c>
      <c r="AA276" s="15" t="s">
        <v>37</v>
      </c>
      <c r="AB276" s="12" t="s">
        <v>37</v>
      </c>
      <c r="AC276" s="12" t="s">
        <v>37</v>
      </c>
      <c r="AD276" s="12">
        <v>29.52017863785608</v>
      </c>
      <c r="AE276">
        <v>1</v>
      </c>
    </row>
    <row r="277" spans="1:31" ht="15" customHeight="1" x14ac:dyDescent="0.3">
      <c r="A277" s="12" t="s">
        <v>144</v>
      </c>
      <c r="B277" s="12">
        <v>105.74501634680706</v>
      </c>
      <c r="C277" s="12">
        <v>105.673040691175</v>
      </c>
      <c r="D277" s="12" t="s">
        <v>37</v>
      </c>
      <c r="E277" s="12">
        <v>71.468444444444444</v>
      </c>
      <c r="F277" s="12">
        <v>0.7086138824621836</v>
      </c>
      <c r="G277" s="12" t="s">
        <v>37</v>
      </c>
      <c r="H277" s="12">
        <v>0.9439052479962512</v>
      </c>
      <c r="I277" s="12">
        <v>0.40929534348348778</v>
      </c>
      <c r="J277" s="12">
        <v>0.50996858750780427</v>
      </c>
      <c r="K277" s="12">
        <v>0.72506797313690186</v>
      </c>
      <c r="L277" s="12">
        <v>0.96337550878524825</v>
      </c>
      <c r="M277" s="12">
        <v>5498.5211803644333</v>
      </c>
      <c r="N277" s="12">
        <v>0.16814841126607616</v>
      </c>
      <c r="O277" s="12" t="s">
        <v>37</v>
      </c>
      <c r="P277" s="12" t="s">
        <v>37</v>
      </c>
      <c r="Q277" s="12">
        <v>25.033333333333339</v>
      </c>
      <c r="R277" s="12" t="s">
        <v>37</v>
      </c>
      <c r="S277" s="12">
        <v>7339.6951070872447</v>
      </c>
      <c r="T277" s="15">
        <v>1.0754384640000001</v>
      </c>
      <c r="U277" s="12" t="s">
        <v>37</v>
      </c>
      <c r="V277" s="12" t="s">
        <v>37</v>
      </c>
      <c r="W277" s="12">
        <v>4.8029868602752694</v>
      </c>
      <c r="X277" s="12">
        <v>3.0528709209999998</v>
      </c>
      <c r="Y277" s="15" t="s">
        <v>37</v>
      </c>
      <c r="Z277" s="15" t="s">
        <v>37</v>
      </c>
      <c r="AA277" s="15" t="s">
        <v>37</v>
      </c>
      <c r="AB277" s="12" t="s">
        <v>37</v>
      </c>
      <c r="AC277" s="12" t="s">
        <v>37</v>
      </c>
      <c r="AD277" s="12" t="s">
        <v>37</v>
      </c>
      <c r="AE277">
        <v>0</v>
      </c>
    </row>
    <row r="278" spans="1:31" ht="15" customHeight="1" x14ac:dyDescent="0.3">
      <c r="A278" s="12" t="s">
        <v>146</v>
      </c>
      <c r="B278" s="12">
        <v>108.05088269269029</v>
      </c>
      <c r="C278" s="12">
        <v>73.378681846286938</v>
      </c>
      <c r="D278" s="12">
        <v>50.165856497628333</v>
      </c>
      <c r="E278" s="12">
        <v>71.328666666666663</v>
      </c>
      <c r="F278" s="12">
        <v>-0.73873630041877425</v>
      </c>
      <c r="G278" s="12">
        <v>24.265602735238165</v>
      </c>
      <c r="H278" s="12">
        <v>1.4918256319409342E-2</v>
      </c>
      <c r="I278" s="12">
        <v>-0.44736435614565079</v>
      </c>
      <c r="J278" s="12">
        <v>-0.1227864404208958</v>
      </c>
      <c r="K278" s="12">
        <v>-0.53806777515759074</v>
      </c>
      <c r="L278" s="12">
        <v>0.14612332390000429</v>
      </c>
      <c r="M278" s="12">
        <v>3318.6050897086166</v>
      </c>
      <c r="N278" s="12">
        <v>1.3490006437552835</v>
      </c>
      <c r="O278" s="12">
        <v>12.739389435875319</v>
      </c>
      <c r="P278" s="12">
        <v>25.442366856679907</v>
      </c>
      <c r="Q278" s="12">
        <v>24.44</v>
      </c>
      <c r="R278" s="12">
        <v>22.066065859385876</v>
      </c>
      <c r="S278" s="12">
        <v>8732.0807388478224</v>
      </c>
      <c r="T278" s="15">
        <v>3.6481516530000002</v>
      </c>
      <c r="U278" s="12">
        <v>16.881372916296691</v>
      </c>
      <c r="V278" s="12">
        <v>20658243170.34111</v>
      </c>
      <c r="W278" s="12">
        <v>2.9720283606473137</v>
      </c>
      <c r="X278" s="12">
        <v>2.1738957330000002</v>
      </c>
      <c r="Y278" s="15">
        <v>7.1732966070000002</v>
      </c>
      <c r="Z278" s="15">
        <v>1.23302</v>
      </c>
      <c r="AA278" s="15">
        <v>3.5359232889999999</v>
      </c>
      <c r="AB278" s="12">
        <v>10.574624839150893</v>
      </c>
      <c r="AC278" s="12">
        <v>17.887759218829451</v>
      </c>
      <c r="AD278" s="12">
        <v>33.177876409041026</v>
      </c>
      <c r="AE278">
        <v>0</v>
      </c>
    </row>
    <row r="279" spans="1:31" ht="15" customHeight="1" x14ac:dyDescent="0.3">
      <c r="A279" s="12" t="s">
        <v>148</v>
      </c>
      <c r="B279" s="12">
        <v>107.37751388549806</v>
      </c>
      <c r="C279" s="12">
        <v>81.132175445556683</v>
      </c>
      <c r="D279" s="12">
        <v>39.267264472113716</v>
      </c>
      <c r="E279" s="12">
        <v>74.507999999999996</v>
      </c>
      <c r="F279" s="12">
        <v>-0.67541853835185373</v>
      </c>
      <c r="G279" s="12">
        <v>21.968069717472417</v>
      </c>
      <c r="H279" s="12">
        <v>-0.47472040890716016</v>
      </c>
      <c r="I279" s="12">
        <v>-0.5851037067671615</v>
      </c>
      <c r="J279" s="12">
        <v>-0.83403023301313295</v>
      </c>
      <c r="K279" s="12">
        <v>-0.80790998538335179</v>
      </c>
      <c r="L279" s="12">
        <v>-0.14760671821810925</v>
      </c>
      <c r="M279" s="12">
        <v>4374.2687163592509</v>
      </c>
      <c r="N279" s="12">
        <v>1.6668906077946657</v>
      </c>
      <c r="O279" s="12">
        <v>13.864763235891783</v>
      </c>
      <c r="P279" s="12">
        <v>29.298166681718573</v>
      </c>
      <c r="Q279" s="12">
        <v>17.546666666666667</v>
      </c>
      <c r="R279" s="12">
        <v>13.777380660777448</v>
      </c>
      <c r="S279" s="12">
        <v>5590.5416341235923</v>
      </c>
      <c r="T279" s="15">
        <v>0.91279569199999999</v>
      </c>
      <c r="U279" s="12">
        <v>9.8528385998476615</v>
      </c>
      <c r="V279" s="12">
        <v>1422450360.5861709</v>
      </c>
      <c r="W279" s="12">
        <v>3.8695545395215358</v>
      </c>
      <c r="X279" s="12">
        <v>2.9684046560000001</v>
      </c>
      <c r="Y279" s="15">
        <v>11.34405769</v>
      </c>
      <c r="Z279" s="15">
        <v>3.9043999999999999</v>
      </c>
      <c r="AA279" s="15">
        <v>6.5308068779999999</v>
      </c>
      <c r="AB279" s="12" t="s">
        <v>37</v>
      </c>
      <c r="AC279" s="12">
        <v>17.332777301587328</v>
      </c>
      <c r="AD279" s="12">
        <v>21.329466985142982</v>
      </c>
      <c r="AE279">
        <v>0</v>
      </c>
    </row>
    <row r="280" spans="1:31" ht="15" customHeight="1" x14ac:dyDescent="0.3">
      <c r="A280" s="12" t="s">
        <v>150</v>
      </c>
      <c r="B280" s="12">
        <v>93.36800170898438</v>
      </c>
      <c r="C280" s="12">
        <v>76.212646484375</v>
      </c>
      <c r="D280" s="12">
        <v>30.41580636160716</v>
      </c>
      <c r="E280" s="12">
        <v>69.248037037037022</v>
      </c>
      <c r="F280" s="12">
        <v>-0.59553920725981391</v>
      </c>
      <c r="G280" s="12">
        <v>17.730116575551826</v>
      </c>
      <c r="H280" s="12">
        <v>-0.93657243810594071</v>
      </c>
      <c r="I280" s="12">
        <v>-0.44090901625653117</v>
      </c>
      <c r="J280" s="12">
        <v>-0.48225338679427904</v>
      </c>
      <c r="K280" s="12">
        <v>-0.27321077659629128</v>
      </c>
      <c r="L280" s="12">
        <v>-1.1527549251914027</v>
      </c>
      <c r="M280" s="12">
        <v>2122.8805417109147</v>
      </c>
      <c r="N280" s="12">
        <v>2.0525181455036665</v>
      </c>
      <c r="O280" s="12">
        <v>14.50795472907749</v>
      </c>
      <c r="P280" s="12">
        <v>42.978164224053124</v>
      </c>
      <c r="Q280" s="12">
        <v>14.66</v>
      </c>
      <c r="R280" s="12">
        <v>24.185942661974661</v>
      </c>
      <c r="S280" s="12">
        <v>4088.8970453933616</v>
      </c>
      <c r="T280" s="15">
        <v>2.4574933730000001</v>
      </c>
      <c r="U280" s="12">
        <v>12.299519195597648</v>
      </c>
      <c r="V280" s="12">
        <v>10787985714.285715</v>
      </c>
      <c r="W280" s="12">
        <v>4.1330410838127118</v>
      </c>
      <c r="X280" s="12">
        <v>1.574466921</v>
      </c>
      <c r="Y280" s="15">
        <v>2.7817910060000002</v>
      </c>
      <c r="Z280" s="15">
        <v>0.61106000000000005</v>
      </c>
      <c r="AA280" s="15">
        <v>3.0492563110000002</v>
      </c>
      <c r="AB280" s="12">
        <v>17.623039215686276</v>
      </c>
      <c r="AC280" s="12">
        <v>22.559411764705885</v>
      </c>
      <c r="AD280" s="12">
        <v>15.206885559451704</v>
      </c>
      <c r="AE280">
        <v>1</v>
      </c>
    </row>
    <row r="281" spans="1:31" ht="15" customHeight="1" x14ac:dyDescent="0.3">
      <c r="A281" s="12" t="s">
        <v>152</v>
      </c>
      <c r="B281" s="12">
        <v>106.15526763916017</v>
      </c>
      <c r="C281" s="12">
        <v>64.792566208612357</v>
      </c>
      <c r="D281" s="12">
        <v>24.347530593872076</v>
      </c>
      <c r="E281" s="12">
        <v>70.62155555555556</v>
      </c>
      <c r="F281" s="12">
        <v>-0.50819305144250404</v>
      </c>
      <c r="G281" s="12">
        <v>17.085280117720046</v>
      </c>
      <c r="H281" s="12">
        <v>-3.5005994645568202E-2</v>
      </c>
      <c r="I281" s="12">
        <v>-0.3340922773738082</v>
      </c>
      <c r="J281" s="12">
        <v>-2.3381094712628114E-3</v>
      </c>
      <c r="K281" s="12">
        <v>-0.71723533918460214</v>
      </c>
      <c r="L281" s="12">
        <v>3.8960988051257951E-2</v>
      </c>
      <c r="M281" s="12">
        <v>2780.0489767971371</v>
      </c>
      <c r="N281" s="12">
        <v>0.38352523754106232</v>
      </c>
      <c r="O281" s="12">
        <v>15.316406028858802</v>
      </c>
      <c r="P281" s="12">
        <v>34.031948542802503</v>
      </c>
      <c r="Q281" s="12">
        <v>17.673333333333332</v>
      </c>
      <c r="R281" s="12">
        <v>23.930538320309669</v>
      </c>
      <c r="S281" s="12">
        <v>4276.9552446935322</v>
      </c>
      <c r="T281" s="15">
        <v>1.6082502270000001</v>
      </c>
      <c r="U281" s="12">
        <v>6.9214110005781437</v>
      </c>
      <c r="V281" s="12">
        <v>181623005.85791668</v>
      </c>
      <c r="W281" s="12">
        <v>3.6165799472642983</v>
      </c>
      <c r="X281" s="12">
        <v>4.436264414</v>
      </c>
      <c r="Y281" s="15">
        <v>9.3995601739999994</v>
      </c>
      <c r="Z281" s="15">
        <v>1.0412699999999999</v>
      </c>
      <c r="AA281" s="15">
        <v>5.8650945370000001</v>
      </c>
      <c r="AB281" s="12" t="s">
        <v>37</v>
      </c>
      <c r="AC281" s="12">
        <v>19.062439856878328</v>
      </c>
      <c r="AD281" s="12">
        <v>20.039509097311313</v>
      </c>
      <c r="AE281">
        <v>1</v>
      </c>
    </row>
    <row r="282" spans="1:31" ht="15" customHeight="1" x14ac:dyDescent="0.3">
      <c r="A282" s="12" t="s">
        <v>154</v>
      </c>
      <c r="B282" s="12">
        <v>65.889501571655273</v>
      </c>
      <c r="C282" s="12">
        <v>20.187001800537121</v>
      </c>
      <c r="D282" s="12">
        <v>4.4648414850234959</v>
      </c>
      <c r="E282" s="12">
        <v>56.783222222222228</v>
      </c>
      <c r="F282" s="12">
        <v>-1.3824275781710937</v>
      </c>
      <c r="G282" s="12">
        <v>29.523012835240277</v>
      </c>
      <c r="H282" s="12">
        <v>-4.1000558373828676E-2</v>
      </c>
      <c r="I282" s="12">
        <v>-1.1869837765892346</v>
      </c>
      <c r="J282" s="12">
        <v>-1.5454005102316548</v>
      </c>
      <c r="K282" s="12">
        <v>-1.2063314939538632</v>
      </c>
      <c r="L282" s="12">
        <v>-1.7992260307073586</v>
      </c>
      <c r="M282" s="12">
        <v>628.88025031921165</v>
      </c>
      <c r="N282" s="12">
        <v>4.1019151846141035</v>
      </c>
      <c r="O282" s="12">
        <v>8.1671310865564024</v>
      </c>
      <c r="P282" s="12">
        <v>83.282976820634133</v>
      </c>
      <c r="Q282" s="12">
        <v>29.313333333333329</v>
      </c>
      <c r="R282" s="12">
        <v>28.098450668244848</v>
      </c>
      <c r="S282" s="12">
        <v>5945.201681139737</v>
      </c>
      <c r="T282" s="15">
        <v>8.6759093380000003</v>
      </c>
      <c r="U282" s="12">
        <v>2.2639987226240486</v>
      </c>
      <c r="V282" s="12">
        <v>14195273544.81575</v>
      </c>
      <c r="W282" s="12">
        <v>2.1879799365997301</v>
      </c>
      <c r="X282" s="12">
        <v>0.424013105</v>
      </c>
      <c r="Y282" s="15">
        <v>1.2428858739999999</v>
      </c>
      <c r="Z282" s="15">
        <v>0.32791999999999999</v>
      </c>
      <c r="AA282" s="15">
        <v>10.531204799999999</v>
      </c>
      <c r="AB282" s="12" t="s">
        <v>37</v>
      </c>
      <c r="AC282" s="12" t="s">
        <v>37</v>
      </c>
      <c r="AD282" s="12" t="s">
        <v>37</v>
      </c>
      <c r="AE282">
        <v>0</v>
      </c>
    </row>
    <row r="283" spans="1:31" ht="15" customHeight="1" x14ac:dyDescent="0.3">
      <c r="A283" s="12" t="s">
        <v>156</v>
      </c>
      <c r="B283" s="12">
        <v>82.167818387349442</v>
      </c>
      <c r="C283" s="12">
        <v>43.060836957848593</v>
      </c>
      <c r="D283" s="12">
        <v>2.4875276822310233</v>
      </c>
      <c r="E283" s="12">
        <v>61.219222222222214</v>
      </c>
      <c r="F283" s="12">
        <v>-0.61449709969262278</v>
      </c>
      <c r="G283" s="12">
        <v>22.735535278346163</v>
      </c>
      <c r="H283" s="12">
        <v>-0.79042518635590897</v>
      </c>
      <c r="I283" s="12">
        <v>-1.415767212708791</v>
      </c>
      <c r="J283" s="12">
        <v>-1.9223327885071442</v>
      </c>
      <c r="K283" s="12">
        <v>-1.2769997740785277</v>
      </c>
      <c r="L283" s="12">
        <v>-2.0053498397270828</v>
      </c>
      <c r="M283" s="12">
        <v>757.35852404524758</v>
      </c>
      <c r="N283" s="12">
        <v>2.1199468971000135</v>
      </c>
      <c r="O283" s="12" t="s">
        <v>37</v>
      </c>
      <c r="P283" s="12" t="s">
        <v>37</v>
      </c>
      <c r="Q283" s="12">
        <v>8.913333333333334</v>
      </c>
      <c r="R283" s="12" t="s">
        <v>37</v>
      </c>
      <c r="S283" s="12" t="s">
        <v>37</v>
      </c>
      <c r="T283" s="15" t="s">
        <v>37</v>
      </c>
      <c r="U283" s="12" t="s">
        <v>37</v>
      </c>
      <c r="V283" s="12" t="s">
        <v>37</v>
      </c>
      <c r="W283" s="12">
        <v>3.4812815189361581</v>
      </c>
      <c r="X283" s="12">
        <v>1.1064915070000001</v>
      </c>
      <c r="Y283" s="15" t="s">
        <v>37</v>
      </c>
      <c r="Z283" s="15" t="s">
        <v>37</v>
      </c>
      <c r="AA283" s="15" t="s">
        <v>37</v>
      </c>
      <c r="AB283" s="12" t="s">
        <v>37</v>
      </c>
      <c r="AC283" s="12">
        <v>22.536696131700591</v>
      </c>
      <c r="AD283" s="12" t="s">
        <v>37</v>
      </c>
      <c r="AE283">
        <v>1</v>
      </c>
    </row>
    <row r="284" spans="1:31" ht="15" customHeight="1" x14ac:dyDescent="0.3">
      <c r="A284" s="12" t="s">
        <v>158</v>
      </c>
      <c r="B284" s="12">
        <v>99.644168147334312</v>
      </c>
      <c r="C284" s="12">
        <v>105.02829272930444</v>
      </c>
      <c r="D284" s="12">
        <v>64.098501134801793</v>
      </c>
      <c r="E284" s="12">
        <v>73.910252935862701</v>
      </c>
      <c r="F284" s="12">
        <v>1.1015891556938486</v>
      </c>
      <c r="G284" s="12">
        <v>28.255586641778212</v>
      </c>
      <c r="H284" s="12">
        <v>0.69658133139212941</v>
      </c>
      <c r="I284" s="12">
        <v>1.0003968079884846</v>
      </c>
      <c r="J284" s="12">
        <v>1.4187433918317154</v>
      </c>
      <c r="K284" s="12">
        <v>1.0843322649598122</v>
      </c>
      <c r="L284" s="12">
        <v>1.1107680251201002</v>
      </c>
      <c r="M284" s="12">
        <v>7137.5307757640303</v>
      </c>
      <c r="N284" s="12">
        <v>-0.34917564454157235</v>
      </c>
      <c r="O284" s="12">
        <v>20.631678980759617</v>
      </c>
      <c r="P284" s="12">
        <v>37.670779593784246</v>
      </c>
      <c r="Q284" s="12">
        <v>8.58</v>
      </c>
      <c r="R284" s="12">
        <v>21.582106865773909</v>
      </c>
      <c r="S284" s="12">
        <v>21143.291362651766</v>
      </c>
      <c r="T284" s="15">
        <v>4.1040385989999999</v>
      </c>
      <c r="U284" s="12">
        <v>9.5370706916315953E-2</v>
      </c>
      <c r="V284" s="12">
        <v>1338888.888888889</v>
      </c>
      <c r="W284" s="12">
        <v>5.3992720356693971</v>
      </c>
      <c r="X284" s="12">
        <v>4.4166730919999999</v>
      </c>
      <c r="Y284" s="15">
        <v>12.482580240000001</v>
      </c>
      <c r="Z284" s="15">
        <v>8.5900000000000004E-3</v>
      </c>
      <c r="AA284" s="15">
        <v>7.1400819149999997</v>
      </c>
      <c r="AB284" s="12">
        <v>22.83901737396554</v>
      </c>
      <c r="AC284" s="12">
        <v>26.504610296620328</v>
      </c>
      <c r="AD284" s="12">
        <v>25.319281818463985</v>
      </c>
      <c r="AE284">
        <v>0</v>
      </c>
    </row>
    <row r="285" spans="1:31" ht="15" customHeight="1" x14ac:dyDescent="0.3">
      <c r="A285" s="12" t="s">
        <v>160</v>
      </c>
      <c r="B285" s="12">
        <v>111.68927319844572</v>
      </c>
      <c r="C285" s="12">
        <v>56.877847480773916</v>
      </c>
      <c r="D285" s="12">
        <v>5.1839300261603434</v>
      </c>
      <c r="E285" s="12">
        <v>50.292999999999999</v>
      </c>
      <c r="F285" s="12">
        <v>-0.18138265951226154</v>
      </c>
      <c r="G285" s="12">
        <v>15.681986093100775</v>
      </c>
      <c r="H285" s="12">
        <v>-0.21351668221177533</v>
      </c>
      <c r="I285" s="12">
        <v>-0.59565083930889751</v>
      </c>
      <c r="J285" s="12">
        <v>-0.37513070615629357</v>
      </c>
      <c r="K285" s="12">
        <v>-0.54117379834254586</v>
      </c>
      <c r="L285" s="12">
        <v>-1.3533340046803151</v>
      </c>
      <c r="M285" s="12">
        <v>2264.4024685456234</v>
      </c>
      <c r="N285" s="12">
        <v>0.82676747658976457</v>
      </c>
      <c r="O285" s="12" t="s">
        <v>37</v>
      </c>
      <c r="P285" s="12" t="s">
        <v>37</v>
      </c>
      <c r="Q285" s="12">
        <v>27.166666666666668</v>
      </c>
      <c r="R285" s="12" t="s">
        <v>37</v>
      </c>
      <c r="S285" s="12">
        <v>4012.9544951872222</v>
      </c>
      <c r="T285" s="15">
        <v>2.141938739</v>
      </c>
      <c r="U285" s="12" t="s">
        <v>37</v>
      </c>
      <c r="V285" s="12" t="s">
        <v>37</v>
      </c>
      <c r="W285" s="12">
        <v>5.7316219520568845</v>
      </c>
      <c r="X285" s="12">
        <v>3.3305329480000001</v>
      </c>
      <c r="Y285" s="15" t="s">
        <v>37</v>
      </c>
      <c r="Z285" s="15" t="s">
        <v>37</v>
      </c>
      <c r="AA285" s="15" t="s">
        <v>37</v>
      </c>
      <c r="AB285" s="12" t="s">
        <v>37</v>
      </c>
      <c r="AC285" s="12">
        <v>15.416123694562645</v>
      </c>
      <c r="AD285" s="12">
        <v>11.787603924708348</v>
      </c>
      <c r="AE285">
        <v>1</v>
      </c>
    </row>
    <row r="286" spans="1:31" ht="15" customHeight="1" x14ac:dyDescent="0.3">
      <c r="A286" s="12" t="s">
        <v>162</v>
      </c>
      <c r="B286" s="12">
        <v>77.763463633401059</v>
      </c>
      <c r="C286" s="12">
        <v>25.114743282920436</v>
      </c>
      <c r="D286" s="12">
        <v>4.6314978057687926</v>
      </c>
      <c r="E286" s="12">
        <v>57.358666666666672</v>
      </c>
      <c r="F286" s="12">
        <v>-0.62644812340537703</v>
      </c>
      <c r="G286" s="12">
        <v>34.306804240777673</v>
      </c>
      <c r="H286" s="12">
        <v>-1.4995536531011258</v>
      </c>
      <c r="I286" s="12">
        <v>-0.73807247479756655</v>
      </c>
      <c r="J286" s="12">
        <v>-1.053574346005917</v>
      </c>
      <c r="K286" s="12">
        <v>-0.69931825374563539</v>
      </c>
      <c r="L286" s="12">
        <v>-1.2083180944124865</v>
      </c>
      <c r="M286" s="12">
        <v>241.78178893542369</v>
      </c>
      <c r="N286" s="12">
        <v>2.8566699013724937</v>
      </c>
      <c r="O286" s="12">
        <v>8.5834234683134962</v>
      </c>
      <c r="P286" s="12">
        <v>26.830444895088412</v>
      </c>
      <c r="Q286" s="12">
        <v>25.726666666666674</v>
      </c>
      <c r="R286" s="12">
        <v>17.616706968609265</v>
      </c>
      <c r="S286" s="12">
        <v>857.31548556594203</v>
      </c>
      <c r="T286" s="15">
        <v>4.7996644020000003</v>
      </c>
      <c r="U286" s="12">
        <v>36.989643009092632</v>
      </c>
      <c r="V286" s="12">
        <v>13504673351.74436</v>
      </c>
      <c r="W286" s="12">
        <v>4.5262584686279306</v>
      </c>
      <c r="X286" s="12">
        <v>1.1673290709999999</v>
      </c>
      <c r="Y286" s="15">
        <v>2.1040663689999999</v>
      </c>
      <c r="Z286" s="15">
        <v>1.7302299999999999</v>
      </c>
      <c r="AA286" s="15">
        <v>1.536552251</v>
      </c>
      <c r="AB286" s="12">
        <v>8.429521526498835</v>
      </c>
      <c r="AC286" s="12" t="s">
        <v>37</v>
      </c>
      <c r="AD286" s="12">
        <v>25.340079103044104</v>
      </c>
      <c r="AE286">
        <v>1</v>
      </c>
    </row>
    <row r="287" spans="1:31" ht="15" customHeight="1" x14ac:dyDescent="0.3">
      <c r="A287" s="12" t="s">
        <v>164</v>
      </c>
      <c r="B287" s="12" t="s">
        <v>37</v>
      </c>
      <c r="C287" s="12" t="s">
        <v>37</v>
      </c>
      <c r="D287" s="12" t="s">
        <v>37</v>
      </c>
      <c r="E287" s="12">
        <v>80.243631436314374</v>
      </c>
      <c r="F287" s="12" t="s">
        <v>37</v>
      </c>
      <c r="G287" s="12" t="s">
        <v>37</v>
      </c>
      <c r="H287" s="12" t="s">
        <v>37</v>
      </c>
      <c r="I287" s="12" t="s">
        <v>37</v>
      </c>
      <c r="J287" s="12" t="s">
        <v>37</v>
      </c>
      <c r="K287" s="12" t="s">
        <v>37</v>
      </c>
      <c r="L287" s="12" t="s">
        <v>37</v>
      </c>
      <c r="M287" s="12" t="s">
        <v>37</v>
      </c>
      <c r="N287" s="12">
        <v>0.67049220143273724</v>
      </c>
      <c r="O287" s="12" t="s">
        <v>37</v>
      </c>
      <c r="P287" s="12" t="s">
        <v>37</v>
      </c>
      <c r="Q287" s="12" t="s">
        <v>37</v>
      </c>
      <c r="R287" s="12" t="s">
        <v>37</v>
      </c>
      <c r="S287" s="12">
        <v>59699.200826559623</v>
      </c>
      <c r="T287" s="15" t="s">
        <v>37</v>
      </c>
      <c r="U287" s="12" t="s">
        <v>37</v>
      </c>
      <c r="V287" s="12" t="s">
        <v>37</v>
      </c>
      <c r="W287" s="12" t="s">
        <v>37</v>
      </c>
      <c r="X287" s="12" t="s">
        <v>37</v>
      </c>
      <c r="Y287" s="15" t="s">
        <v>37</v>
      </c>
      <c r="Z287" s="15" t="s">
        <v>37</v>
      </c>
      <c r="AA287" s="15" t="s">
        <v>37</v>
      </c>
      <c r="AB287" s="12" t="s">
        <v>37</v>
      </c>
      <c r="AC287" s="12" t="s">
        <v>37</v>
      </c>
      <c r="AD287" s="12" t="s">
        <v>37</v>
      </c>
      <c r="AE287">
        <v>0</v>
      </c>
    </row>
    <row r="288" spans="1:31" ht="15" customHeight="1" x14ac:dyDescent="0.3">
      <c r="A288" s="12" t="s">
        <v>166</v>
      </c>
      <c r="B288" s="12">
        <v>100.21374218280494</v>
      </c>
      <c r="C288" s="12">
        <v>81.683897109258737</v>
      </c>
      <c r="D288" s="12">
        <v>23.5223453044891</v>
      </c>
      <c r="E288" s="12">
        <v>66.953444444444443</v>
      </c>
      <c r="F288" s="12">
        <v>0.33546735998243088</v>
      </c>
      <c r="G288" s="12">
        <v>19.650594080757958</v>
      </c>
      <c r="H288" s="12">
        <v>0.39033469852680963</v>
      </c>
      <c r="I288" s="12">
        <v>-0.19123877309417978</v>
      </c>
      <c r="J288" s="12">
        <v>-0.28374307932487369</v>
      </c>
      <c r="K288" s="12">
        <v>-0.16318604206511128</v>
      </c>
      <c r="L288" s="12">
        <v>-0.27599281988417101</v>
      </c>
      <c r="M288" s="12">
        <v>3786.0785527735911</v>
      </c>
      <c r="N288" s="12">
        <v>0.57897460024979264</v>
      </c>
      <c r="O288" s="12">
        <v>22.107134717194256</v>
      </c>
      <c r="P288" s="12">
        <v>31.892930275405583</v>
      </c>
      <c r="Q288" s="12">
        <v>25.353333333333342</v>
      </c>
      <c r="R288" s="12">
        <v>27.810763004086102</v>
      </c>
      <c r="S288" s="12">
        <v>5313.0284706459288</v>
      </c>
      <c r="T288" s="15">
        <v>1.262837684</v>
      </c>
      <c r="U288" s="12">
        <v>17.824778338073259</v>
      </c>
      <c r="V288" s="12">
        <v>279866863.12444443</v>
      </c>
      <c r="W288" s="12">
        <v>5.1299947608600966</v>
      </c>
      <c r="X288" s="12">
        <v>2.2320324130000002</v>
      </c>
      <c r="Y288" s="15">
        <v>11.91880048</v>
      </c>
      <c r="Z288" s="15">
        <v>5.4103899999999996</v>
      </c>
      <c r="AA288" s="15">
        <v>7.593078717</v>
      </c>
      <c r="AB288" s="12">
        <v>22.206142408603704</v>
      </c>
      <c r="AC288" s="12">
        <v>14.191714897813956</v>
      </c>
      <c r="AD288" s="12">
        <v>18.422325487587294</v>
      </c>
      <c r="AE288">
        <v>0</v>
      </c>
    </row>
    <row r="289" spans="1:31" ht="15" customHeight="1" x14ac:dyDescent="0.3">
      <c r="A289" s="12" t="s">
        <v>168</v>
      </c>
      <c r="B289" s="12">
        <v>99.710038644296162</v>
      </c>
      <c r="C289" s="12">
        <v>126.94173459653501</v>
      </c>
      <c r="D289" s="12">
        <v>88.133770412868941</v>
      </c>
      <c r="E289" s="12">
        <v>79.512195121951237</v>
      </c>
      <c r="F289" s="12">
        <v>2.253437538941701</v>
      </c>
      <c r="G289" s="12">
        <v>22.616006547709105</v>
      </c>
      <c r="H289" s="12">
        <v>1.3199658890565236</v>
      </c>
      <c r="I289" s="12">
        <v>2.0322501063346841</v>
      </c>
      <c r="J289" s="12">
        <v>1.7731424123048789</v>
      </c>
      <c r="K289" s="12">
        <v>1.9727722009023034</v>
      </c>
      <c r="L289" s="12">
        <v>1.5572777787844336</v>
      </c>
      <c r="M289" s="12">
        <v>29912.897973915817</v>
      </c>
      <c r="N289" s="12">
        <v>0.31565846633100825</v>
      </c>
      <c r="O289" s="12">
        <v>21.129753021544026</v>
      </c>
      <c r="P289" s="12">
        <v>32.622648486028204</v>
      </c>
      <c r="Q289" s="12">
        <v>14.653333333333334</v>
      </c>
      <c r="R289" s="12">
        <v>18.049381208086491</v>
      </c>
      <c r="S289" s="12">
        <v>46792.753518887585</v>
      </c>
      <c r="T289" s="15">
        <v>1.6819478219999999</v>
      </c>
      <c r="U289" s="12">
        <v>2.0862845671247111E-2</v>
      </c>
      <c r="V289" s="12">
        <v>4000000</v>
      </c>
      <c r="W289" s="12">
        <v>6.357459526062013</v>
      </c>
      <c r="X289" s="12">
        <v>6.8711010379999999</v>
      </c>
      <c r="Y289" s="15">
        <v>13.67788783</v>
      </c>
      <c r="Z289" s="15">
        <v>2.2000000000000001E-3</v>
      </c>
      <c r="AA289" s="15">
        <v>6.5911387220000002</v>
      </c>
      <c r="AB289" s="12">
        <v>20.702391703619519</v>
      </c>
      <c r="AC289" s="12">
        <v>19.278734436676171</v>
      </c>
      <c r="AD289" s="12">
        <v>24.226395428911761</v>
      </c>
      <c r="AE289">
        <v>0</v>
      </c>
    </row>
    <row r="290" spans="1:31" ht="15" customHeight="1" x14ac:dyDescent="0.3">
      <c r="A290" s="12" t="s">
        <v>170</v>
      </c>
      <c r="B290" s="12">
        <v>103.16721259223098</v>
      </c>
      <c r="C290" s="12">
        <v>105.87896163375278</v>
      </c>
      <c r="D290" s="12">
        <v>57.225260981807004</v>
      </c>
      <c r="E290" s="12">
        <v>80.7777777777778</v>
      </c>
      <c r="F290" s="12">
        <v>1.3294835736354205</v>
      </c>
      <c r="G290" s="12">
        <v>21.985984206283359</v>
      </c>
      <c r="H290" s="12">
        <v>0.43774330934199196</v>
      </c>
      <c r="I290" s="12">
        <v>1.4456469664971034</v>
      </c>
      <c r="J290" s="12">
        <v>1.1579755966862053</v>
      </c>
      <c r="K290" s="12">
        <v>1.3902327517668407</v>
      </c>
      <c r="L290" s="12">
        <v>1.2115315993626921</v>
      </c>
      <c r="M290" s="12">
        <v>29745.128728949428</v>
      </c>
      <c r="N290" s="12">
        <v>0.49244885821607859</v>
      </c>
      <c r="O290" s="12">
        <v>22.621062638590459</v>
      </c>
      <c r="P290" s="12">
        <v>46.371919464179257</v>
      </c>
      <c r="Q290" s="12">
        <v>4.373333333333334</v>
      </c>
      <c r="R290" s="12">
        <v>24.423644545959061</v>
      </c>
      <c r="S290" s="12">
        <v>38816.479279564308</v>
      </c>
      <c r="T290" s="15">
        <v>0.99072551630000005</v>
      </c>
      <c r="U290" s="12">
        <v>-9.1773942342657198E-3</v>
      </c>
      <c r="V290" s="12">
        <v>-47222222.222222224</v>
      </c>
      <c r="W290" s="12">
        <v>5.5425426864624026</v>
      </c>
      <c r="X290" s="12">
        <v>7.8626029610000003</v>
      </c>
      <c r="Y290" s="15">
        <v>10.017844589999999</v>
      </c>
      <c r="Z290" s="15">
        <v>-2.48E-3</v>
      </c>
      <c r="AA290" s="15">
        <v>10.592643710000001</v>
      </c>
      <c r="AB290" s="12">
        <v>19.463207343510032</v>
      </c>
      <c r="AC290" s="12">
        <v>20.074072067590762</v>
      </c>
      <c r="AD290" s="12">
        <v>25.197833194144049</v>
      </c>
      <c r="AE290">
        <v>0</v>
      </c>
    </row>
    <row r="291" spans="1:31" ht="15" customHeight="1" x14ac:dyDescent="0.3">
      <c r="A291" s="12" t="s">
        <v>172</v>
      </c>
      <c r="B291" s="12">
        <v>104.67965316772501</v>
      </c>
      <c r="C291" s="12" t="s">
        <v>37</v>
      </c>
      <c r="D291" s="12" t="s">
        <v>37</v>
      </c>
      <c r="E291" s="12">
        <v>80.385259259259257</v>
      </c>
      <c r="F291" s="12" t="s">
        <v>37</v>
      </c>
      <c r="G291" s="12">
        <v>21.363173383278301</v>
      </c>
      <c r="H291" s="12" t="s">
        <v>37</v>
      </c>
      <c r="I291" s="12" t="s">
        <v>37</v>
      </c>
      <c r="J291" s="12" t="s">
        <v>37</v>
      </c>
      <c r="K291" s="12" t="s">
        <v>37</v>
      </c>
      <c r="L291" s="12" t="s">
        <v>37</v>
      </c>
      <c r="M291" s="12">
        <v>22034.32785841214</v>
      </c>
      <c r="N291" s="12">
        <v>1.0710482980102578</v>
      </c>
      <c r="O291" s="12" t="s">
        <v>37</v>
      </c>
      <c r="P291" s="12" t="s">
        <v>37</v>
      </c>
      <c r="Q291" s="12" t="s">
        <v>37</v>
      </c>
      <c r="R291" s="12" t="s">
        <v>37</v>
      </c>
      <c r="S291" s="12">
        <v>19262.613199834108</v>
      </c>
      <c r="T291" s="15">
        <v>-0.49667180900000002</v>
      </c>
      <c r="U291" s="12" t="s">
        <v>37</v>
      </c>
      <c r="V291" s="12" t="s">
        <v>37</v>
      </c>
      <c r="W291" s="12" t="s">
        <v>37</v>
      </c>
      <c r="X291" s="12" t="s">
        <v>37</v>
      </c>
      <c r="Y291" s="15" t="s">
        <v>37</v>
      </c>
      <c r="Z291" s="15" t="s">
        <v>37</v>
      </c>
      <c r="AA291" s="15" t="s">
        <v>37</v>
      </c>
      <c r="AB291" s="12" t="s">
        <v>37</v>
      </c>
      <c r="AC291" s="12" t="s">
        <v>37</v>
      </c>
      <c r="AD291" s="12">
        <v>21.763676181960097</v>
      </c>
      <c r="AE291">
        <v>0</v>
      </c>
    </row>
    <row r="292" spans="1:31" ht="15" customHeight="1" x14ac:dyDescent="0.3">
      <c r="A292" s="12" t="s">
        <v>174</v>
      </c>
      <c r="B292" s="12">
        <v>129.8176761203342</v>
      </c>
      <c r="C292" s="12">
        <v>48.596689496721531</v>
      </c>
      <c r="D292" s="12">
        <v>10.353532910346992</v>
      </c>
      <c r="E292" s="12">
        <v>63.299518518518525</v>
      </c>
      <c r="F292" s="12">
        <v>-0.8498075405756631</v>
      </c>
      <c r="G292" s="12">
        <v>25.05341806046761</v>
      </c>
      <c r="H292" s="12">
        <v>0.17963686519457653</v>
      </c>
      <c r="I292" s="12">
        <v>-0.74452242441475402</v>
      </c>
      <c r="J292" s="12">
        <v>-0.45658321895947102</v>
      </c>
      <c r="K292" s="12">
        <v>-0.55036712748308969</v>
      </c>
      <c r="L292" s="12">
        <v>-0.81904157996177684</v>
      </c>
      <c r="M292" s="12">
        <v>8524.4191555286543</v>
      </c>
      <c r="N292" s="12">
        <v>2.8191466064306474</v>
      </c>
      <c r="O292" s="12">
        <v>12.787819499922321</v>
      </c>
      <c r="P292" s="12">
        <v>43.236027568702795</v>
      </c>
      <c r="Q292" s="12">
        <v>19.000000000000004</v>
      </c>
      <c r="R292" s="12">
        <v>25.407508094044903</v>
      </c>
      <c r="S292" s="12">
        <v>6637.0661064348324</v>
      </c>
      <c r="T292" s="15">
        <v>-0.92262439370000005</v>
      </c>
      <c r="U292" s="12" t="s">
        <v>37</v>
      </c>
      <c r="V292" s="12" t="s">
        <v>37</v>
      </c>
      <c r="W292" s="12">
        <v>3.0252644717693329</v>
      </c>
      <c r="X292" s="12">
        <v>1.4726102299999999</v>
      </c>
      <c r="Y292" s="15">
        <v>3.4388341379999998</v>
      </c>
      <c r="Z292" s="15">
        <v>4.9747300000000001</v>
      </c>
      <c r="AA292" s="15">
        <v>7.5982254950000003</v>
      </c>
      <c r="AB292" s="12" t="s">
        <v>37</v>
      </c>
      <c r="AC292" s="12">
        <v>22.676954601648351</v>
      </c>
      <c r="AD292" s="12">
        <v>15.566410306317616</v>
      </c>
      <c r="AE292">
        <v>0</v>
      </c>
    </row>
    <row r="293" spans="1:31" ht="15" customHeight="1" x14ac:dyDescent="0.3">
      <c r="A293" s="12" t="s">
        <v>176</v>
      </c>
      <c r="B293" s="12">
        <v>76.365644182477681</v>
      </c>
      <c r="C293" s="12">
        <v>47.910783131917384</v>
      </c>
      <c r="D293" s="12">
        <v>1.8015100161234525</v>
      </c>
      <c r="E293" s="12">
        <v>59.767148148148145</v>
      </c>
      <c r="F293" s="12">
        <v>-0.53877541422843933</v>
      </c>
      <c r="G293" s="12">
        <v>15.067814278400229</v>
      </c>
      <c r="H293" s="12">
        <v>0.1368167103222126</v>
      </c>
      <c r="I293" s="12">
        <v>-0.69177870576580369</v>
      </c>
      <c r="J293" s="12">
        <v>-0.55705204109350837</v>
      </c>
      <c r="K293" s="12">
        <v>-0.40955680965756375</v>
      </c>
      <c r="L293" s="12">
        <v>-0.83454590368395143</v>
      </c>
      <c r="M293" s="12">
        <v>620.49308159635086</v>
      </c>
      <c r="N293" s="12">
        <v>2.9019846261667448</v>
      </c>
      <c r="O293" s="12" t="s">
        <v>37</v>
      </c>
      <c r="P293" s="12" t="s">
        <v>37</v>
      </c>
      <c r="Q293" s="12">
        <v>7.3199999999999985</v>
      </c>
      <c r="R293" s="12" t="s">
        <v>37</v>
      </c>
      <c r="S293" s="12">
        <v>678.3617221290998</v>
      </c>
      <c r="T293" s="15">
        <v>0.3307911113</v>
      </c>
      <c r="U293" s="12" t="s">
        <v>37</v>
      </c>
      <c r="V293" s="12" t="s">
        <v>37</v>
      </c>
      <c r="W293" s="12">
        <v>1.9637845754623415</v>
      </c>
      <c r="X293" s="12">
        <v>0.93295556599999996</v>
      </c>
      <c r="Y293" s="15" t="s">
        <v>37</v>
      </c>
      <c r="Z293" s="15" t="s">
        <v>37</v>
      </c>
      <c r="AA293" s="15" t="s">
        <v>37</v>
      </c>
      <c r="AB293" s="12" t="s">
        <v>37</v>
      </c>
      <c r="AC293" s="12">
        <v>6.9037033956291225</v>
      </c>
      <c r="AD293" s="12">
        <v>33.663459335571233</v>
      </c>
      <c r="AE293">
        <v>1</v>
      </c>
    </row>
    <row r="294" spans="1:31" ht="15" customHeight="1" x14ac:dyDescent="0.3">
      <c r="A294" s="12" t="s">
        <v>178</v>
      </c>
      <c r="B294" s="12">
        <v>102.33266857692179</v>
      </c>
      <c r="C294" s="12">
        <v>96.808917999267521</v>
      </c>
      <c r="D294" s="12">
        <v>49.050262451171875</v>
      </c>
      <c r="E294" s="12">
        <v>71.375814814814802</v>
      </c>
      <c r="F294" s="12">
        <v>3.6486575612798063E-2</v>
      </c>
      <c r="G294" s="12">
        <v>22.69240059449249</v>
      </c>
      <c r="H294" s="12">
        <v>-0.74428281684716568</v>
      </c>
      <c r="I294" s="12">
        <v>0.16349905605117479</v>
      </c>
      <c r="J294" s="12">
        <v>0.31753404376407462</v>
      </c>
      <c r="K294" s="12">
        <v>-0.26453998545184748</v>
      </c>
      <c r="L294" s="12">
        <v>-4.9925862384649522E-2</v>
      </c>
      <c r="M294" s="12">
        <v>1033.0040609249816</v>
      </c>
      <c r="N294" s="12">
        <v>-0.98313520279098032</v>
      </c>
      <c r="O294" s="12">
        <v>18.014389550260283</v>
      </c>
      <c r="P294" s="12">
        <v>34.258639175834091</v>
      </c>
      <c r="Q294" s="12">
        <v>12.960000000000004</v>
      </c>
      <c r="R294" s="12">
        <v>27.089518652315341</v>
      </c>
      <c r="S294" s="12">
        <v>5438.6041773996903</v>
      </c>
      <c r="T294" s="15">
        <v>6.3452211280000004</v>
      </c>
      <c r="U294" s="12">
        <v>3.9153152265576709</v>
      </c>
      <c r="V294" s="12">
        <v>73663535.714285716</v>
      </c>
      <c r="W294" s="12">
        <v>2.9160859680175788</v>
      </c>
      <c r="X294" s="12">
        <v>1.8052044279999999</v>
      </c>
      <c r="Y294" s="15">
        <v>12.52933662</v>
      </c>
      <c r="Z294" s="15">
        <v>0.31263999999999997</v>
      </c>
      <c r="AA294" s="15">
        <v>8.2897837570000004</v>
      </c>
      <c r="AB294" s="12">
        <v>5.4148429603032806</v>
      </c>
      <c r="AC294" s="12">
        <v>4.0329026744678229</v>
      </c>
      <c r="AD294" s="12">
        <v>19.912522617960938</v>
      </c>
      <c r="AE294">
        <v>1</v>
      </c>
    </row>
    <row r="295" spans="1:31" ht="15" customHeight="1" x14ac:dyDescent="0.3">
      <c r="A295" s="12" t="s">
        <v>180</v>
      </c>
      <c r="B295" s="12">
        <v>103.66583421495217</v>
      </c>
      <c r="C295" s="12">
        <v>102.06227535671663</v>
      </c>
      <c r="D295" s="12">
        <v>63.694100697835289</v>
      </c>
      <c r="E295" s="12">
        <v>79.384588979223153</v>
      </c>
      <c r="F295" s="12">
        <v>1.8199409941832221</v>
      </c>
      <c r="G295" s="12">
        <v>20.90719561443013</v>
      </c>
      <c r="H295" s="12">
        <v>0.84488096336523721</v>
      </c>
      <c r="I295" s="12">
        <v>1.5525249491135273</v>
      </c>
      <c r="J295" s="12">
        <v>1.5723676830530167</v>
      </c>
      <c r="K295" s="12">
        <v>1.6427566111087792</v>
      </c>
      <c r="L295" s="12">
        <v>1.3841685404380162</v>
      </c>
      <c r="M295" s="12">
        <v>31628.159813094277</v>
      </c>
      <c r="N295" s="12">
        <v>7.908866506968637E-2</v>
      </c>
      <c r="O295" s="12">
        <v>11.2035932364474</v>
      </c>
      <c r="P295" s="12">
        <v>42.069456242391986</v>
      </c>
      <c r="Q295" s="12">
        <v>22.059999999999995</v>
      </c>
      <c r="R295" s="12">
        <v>16.181487319929865</v>
      </c>
      <c r="S295" s="12">
        <v>43361.177120432076</v>
      </c>
      <c r="T295" s="15">
        <v>1.175434748</v>
      </c>
      <c r="U295" s="12" t="s">
        <v>37</v>
      </c>
      <c r="V295" s="12" t="s">
        <v>37</v>
      </c>
      <c r="W295" s="12">
        <v>4.6058034038543703</v>
      </c>
      <c r="X295" s="12">
        <v>8.2865133049999997</v>
      </c>
      <c r="Y295" s="15">
        <v>6.361395259</v>
      </c>
      <c r="Z295" s="15" t="s">
        <v>37</v>
      </c>
      <c r="AA295" s="15">
        <v>4.6653676629999996</v>
      </c>
      <c r="AB295" s="12">
        <v>11.476134930143935</v>
      </c>
      <c r="AC295" s="12">
        <v>23.539039696824148</v>
      </c>
      <c r="AD295" s="12">
        <v>22.085013193837202</v>
      </c>
      <c r="AE295">
        <v>0</v>
      </c>
    </row>
    <row r="296" spans="1:31" ht="15" customHeight="1" x14ac:dyDescent="0.3">
      <c r="A296" s="12" t="s">
        <v>182</v>
      </c>
      <c r="B296" s="12">
        <v>90.087460021972632</v>
      </c>
      <c r="C296" s="12">
        <v>50.975727164227031</v>
      </c>
      <c r="D296" s="12">
        <v>13.06001290153054</v>
      </c>
      <c r="E296" s="12">
        <v>60.70511111111113</v>
      </c>
      <c r="F296" s="12">
        <v>-0.15635264323403433</v>
      </c>
      <c r="G296" s="12">
        <v>20.64124788258226</v>
      </c>
      <c r="H296" s="12">
        <v>-1.1870023852679929E-2</v>
      </c>
      <c r="I296" s="12">
        <v>-0.15913846630913517</v>
      </c>
      <c r="J296" s="12">
        <v>-0.14210584392033823</v>
      </c>
      <c r="K296" s="12">
        <v>-2.3500415273398786E-2</v>
      </c>
      <c r="L296" s="12">
        <v>0.36027118672306341</v>
      </c>
      <c r="M296" s="12">
        <v>931.18043373344699</v>
      </c>
      <c r="N296" s="12">
        <v>2.4289681993684535</v>
      </c>
      <c r="O296" s="12">
        <v>14.230617290313472</v>
      </c>
      <c r="P296" s="12">
        <v>37.937575666558288</v>
      </c>
      <c r="Q296" s="12">
        <v>18.046666666666667</v>
      </c>
      <c r="R296" s="12">
        <v>28.236561528417951</v>
      </c>
      <c r="S296" s="12">
        <v>2031.4283392647574</v>
      </c>
      <c r="T296" s="15">
        <v>2.931179765</v>
      </c>
      <c r="U296" s="12">
        <v>18.134927143448955</v>
      </c>
      <c r="V296" s="12">
        <v>2234981849.2290649</v>
      </c>
      <c r="W296" s="12">
        <v>5.0418099902925029</v>
      </c>
      <c r="X296" s="12">
        <v>1.485730467</v>
      </c>
      <c r="Y296" s="15">
        <v>4.776361552</v>
      </c>
      <c r="Z296" s="15">
        <v>1.92239</v>
      </c>
      <c r="AA296" s="15">
        <v>5.2634084449999996</v>
      </c>
      <c r="AB296" s="12" t="s">
        <v>37</v>
      </c>
      <c r="AC296" s="12">
        <v>21.130848717055613</v>
      </c>
      <c r="AD296" s="12">
        <v>16.035490203280467</v>
      </c>
      <c r="AE296">
        <v>1</v>
      </c>
    </row>
    <row r="297" spans="1:31" ht="15" customHeight="1" x14ac:dyDescent="0.3">
      <c r="A297" s="12" t="s">
        <v>184</v>
      </c>
      <c r="B297" s="12">
        <v>126.64257939656558</v>
      </c>
      <c r="C297" s="12">
        <v>114.57732946222478</v>
      </c>
      <c r="D297" s="12" t="s">
        <v>37</v>
      </c>
      <c r="E297" s="12">
        <v>80.757629629629633</v>
      </c>
      <c r="F297" s="12" t="s">
        <v>37</v>
      </c>
      <c r="G297" s="12" t="s">
        <v>37</v>
      </c>
      <c r="H297" s="12" t="s">
        <v>37</v>
      </c>
      <c r="I297" s="12" t="s">
        <v>37</v>
      </c>
      <c r="J297" s="12" t="s">
        <v>37</v>
      </c>
      <c r="K297" s="12" t="s">
        <v>37</v>
      </c>
      <c r="L297" s="12" t="s">
        <v>37</v>
      </c>
      <c r="M297" s="12" t="s">
        <v>37</v>
      </c>
      <c r="N297" s="12">
        <v>0.66740545167430931</v>
      </c>
      <c r="O297" s="12" t="s">
        <v>37</v>
      </c>
      <c r="P297" s="12" t="s">
        <v>37</v>
      </c>
      <c r="Q297" s="12" t="s">
        <v>37</v>
      </c>
      <c r="R297" s="12" t="s">
        <v>37</v>
      </c>
      <c r="S297" s="12" t="s">
        <v>37</v>
      </c>
      <c r="T297" s="15" t="s">
        <v>37</v>
      </c>
      <c r="U297" s="12" t="s">
        <v>37</v>
      </c>
      <c r="V297" s="12" t="s">
        <v>37</v>
      </c>
      <c r="W297" s="12" t="s">
        <v>37</v>
      </c>
      <c r="X297" s="12" t="s">
        <v>37</v>
      </c>
      <c r="Y297" s="15" t="s">
        <v>37</v>
      </c>
      <c r="Z297" s="15" t="s">
        <v>37</v>
      </c>
      <c r="AA297" s="15" t="s">
        <v>37</v>
      </c>
      <c r="AB297" s="12" t="s">
        <v>37</v>
      </c>
      <c r="AC297" s="12" t="s">
        <v>37</v>
      </c>
      <c r="AD297" s="12" t="s">
        <v>37</v>
      </c>
      <c r="AE297">
        <v>0</v>
      </c>
    </row>
    <row r="298" spans="1:31" ht="15" customHeight="1" x14ac:dyDescent="0.3">
      <c r="A298" s="12" t="s">
        <v>186</v>
      </c>
      <c r="B298" s="12">
        <v>99.990347290039097</v>
      </c>
      <c r="C298" s="12">
        <v>101.49036041259765</v>
      </c>
      <c r="D298" s="12">
        <v>92.304360548655197</v>
      </c>
      <c r="E298" s="12">
        <v>79.752213188798564</v>
      </c>
      <c r="F298" s="12">
        <v>0.14105121593456696</v>
      </c>
      <c r="G298" s="12">
        <v>18.045836282575085</v>
      </c>
      <c r="H298" s="12">
        <v>0.21203850178668895</v>
      </c>
      <c r="I298" s="12">
        <v>0.48878065310418611</v>
      </c>
      <c r="J298" s="12">
        <v>0.61488925230999791</v>
      </c>
      <c r="K298" s="12">
        <v>0.5449167136102917</v>
      </c>
      <c r="L298" s="12">
        <v>0.89586101969083176</v>
      </c>
      <c r="M298" s="12">
        <v>15946.755124636547</v>
      </c>
      <c r="N298" s="12">
        <v>1.9776319389772867E-2</v>
      </c>
      <c r="O298" s="12">
        <v>22.229006996740171</v>
      </c>
      <c r="P298" s="12">
        <v>35.065952855794976</v>
      </c>
      <c r="Q298" s="12">
        <v>17.54</v>
      </c>
      <c r="R298" s="12">
        <v>18.763887427633232</v>
      </c>
      <c r="S298" s="12">
        <v>20287.725303076728</v>
      </c>
      <c r="T298" s="15">
        <v>0.89569372920000001</v>
      </c>
      <c r="U298" s="12">
        <v>2.4105718544489146E-2</v>
      </c>
      <c r="V298" s="12">
        <v>8571428.5714285709</v>
      </c>
      <c r="W298" s="12">
        <v>3.8007113039493561</v>
      </c>
      <c r="X298" s="12">
        <v>5.0855282830000004</v>
      </c>
      <c r="Y298" s="15">
        <v>13.09630127</v>
      </c>
      <c r="Z298" s="15">
        <v>4.8500000000000001E-3</v>
      </c>
      <c r="AA298" s="15">
        <v>7.7698136450000002</v>
      </c>
      <c r="AB298" s="12">
        <v>18.580841289388747</v>
      </c>
      <c r="AC298" s="12">
        <v>19.957068929666715</v>
      </c>
      <c r="AD298" s="12">
        <v>13.694915807778393</v>
      </c>
      <c r="AE298">
        <v>0</v>
      </c>
    </row>
    <row r="299" spans="1:31" ht="15" customHeight="1" x14ac:dyDescent="0.3">
      <c r="A299" s="12" t="s">
        <v>188</v>
      </c>
      <c r="B299" s="12" t="s">
        <v>37</v>
      </c>
      <c r="C299" s="12" t="s">
        <v>37</v>
      </c>
      <c r="D299" s="12" t="s">
        <v>37</v>
      </c>
      <c r="E299" s="12">
        <v>69.251833785004521</v>
      </c>
      <c r="F299" s="12">
        <v>1.1431821584701538</v>
      </c>
      <c r="G299" s="12">
        <v>30.682902609032304</v>
      </c>
      <c r="H299" s="12">
        <v>1.8508105448314118</v>
      </c>
      <c r="I299" s="12">
        <v>0.87329689945493405</v>
      </c>
      <c r="J299" s="12">
        <v>1.3415428144591199</v>
      </c>
      <c r="K299" s="12">
        <v>1.7039507627487185</v>
      </c>
      <c r="L299" s="12">
        <v>1.2764134917940413</v>
      </c>
      <c r="M299" s="12">
        <v>26416.51650283677</v>
      </c>
      <c r="N299" s="12">
        <v>7.6155266931307627E-2</v>
      </c>
      <c r="O299" s="12" t="s">
        <v>37</v>
      </c>
      <c r="P299" s="12" t="s">
        <v>37</v>
      </c>
      <c r="Q299" s="12" t="s">
        <v>37</v>
      </c>
      <c r="R299" s="12" t="s">
        <v>37</v>
      </c>
      <c r="S299" s="12" t="s">
        <v>37</v>
      </c>
      <c r="T299" s="15" t="s">
        <v>37</v>
      </c>
      <c r="U299" s="12" t="s">
        <v>37</v>
      </c>
      <c r="V299" s="12" t="s">
        <v>37</v>
      </c>
      <c r="W299" s="12" t="s">
        <v>37</v>
      </c>
      <c r="X299" s="12" t="s">
        <v>37</v>
      </c>
      <c r="Y299" s="15" t="s">
        <v>37</v>
      </c>
      <c r="Z299" s="15" t="s">
        <v>37</v>
      </c>
      <c r="AA299" s="15" t="s">
        <v>37</v>
      </c>
      <c r="AB299" s="12" t="s">
        <v>37</v>
      </c>
      <c r="AC299" s="12" t="s">
        <v>37</v>
      </c>
      <c r="AD299" s="12" t="s">
        <v>37</v>
      </c>
      <c r="AE299">
        <v>0</v>
      </c>
    </row>
    <row r="300" spans="1:31" ht="15" customHeight="1" x14ac:dyDescent="0.3">
      <c r="A300" s="12" t="s">
        <v>190</v>
      </c>
      <c r="B300" s="12">
        <v>104.85790053657867</v>
      </c>
      <c r="C300" s="12">
        <v>105.83004557291677</v>
      </c>
      <c r="D300" s="12">
        <v>86.549924468994163</v>
      </c>
      <c r="E300" s="12">
        <v>73.981407407407403</v>
      </c>
      <c r="F300" s="12">
        <v>0.56273271391789115</v>
      </c>
      <c r="G300" s="12" t="s">
        <v>37</v>
      </c>
      <c r="H300" s="12">
        <v>0.74639604364832224</v>
      </c>
      <c r="I300" s="12">
        <v>0.23098738216989056</v>
      </c>
      <c r="J300" s="12">
        <v>0.24337385346492132</v>
      </c>
      <c r="K300" s="12">
        <v>0.28669530960420769</v>
      </c>
      <c r="L300" s="12">
        <v>0.7301711464921633</v>
      </c>
      <c r="M300" s="12">
        <v>5017.0165911424347</v>
      </c>
      <c r="N300" s="12">
        <v>0.69915546901301862</v>
      </c>
      <c r="O300" s="12" t="s">
        <v>37</v>
      </c>
      <c r="P300" s="12" t="s">
        <v>37</v>
      </c>
      <c r="Q300" s="12">
        <v>27.366666666666671</v>
      </c>
      <c r="R300" s="12" t="s">
        <v>37</v>
      </c>
      <c r="S300" s="12">
        <v>8688.5478018577378</v>
      </c>
      <c r="T300" s="15">
        <v>2.0547903139999999</v>
      </c>
      <c r="U300" s="12" t="s">
        <v>37</v>
      </c>
      <c r="V300" s="12" t="s">
        <v>37</v>
      </c>
      <c r="W300" s="12">
        <v>4.3034242391586321</v>
      </c>
      <c r="X300" s="12">
        <v>2.1475552379999998</v>
      </c>
      <c r="Y300" s="15" t="s">
        <v>37</v>
      </c>
      <c r="Z300" s="15" t="s">
        <v>37</v>
      </c>
      <c r="AA300" s="15" t="s">
        <v>37</v>
      </c>
      <c r="AB300" s="12" t="s">
        <v>37</v>
      </c>
      <c r="AC300" s="12" t="s">
        <v>37</v>
      </c>
      <c r="AD300" s="12" t="s">
        <v>37</v>
      </c>
      <c r="AE300">
        <v>0</v>
      </c>
    </row>
    <row r="301" spans="1:31" ht="15" customHeight="1" x14ac:dyDescent="0.3">
      <c r="A301" s="12" t="s">
        <v>192</v>
      </c>
      <c r="B301" s="12" t="s">
        <v>37</v>
      </c>
      <c r="C301" s="12" t="s">
        <v>37</v>
      </c>
      <c r="D301" s="12" t="s">
        <v>37</v>
      </c>
      <c r="E301" s="12">
        <v>76.117407407407413</v>
      </c>
      <c r="F301" s="12">
        <v>0.96791237278988507</v>
      </c>
      <c r="G301" s="12" t="s">
        <v>37</v>
      </c>
      <c r="H301" s="12">
        <v>0.6920134174196344</v>
      </c>
      <c r="I301" s="12">
        <v>0.25520894558806156</v>
      </c>
      <c r="J301" s="12">
        <v>0.45352506127796677</v>
      </c>
      <c r="K301" s="12">
        <v>1.1569211828081229</v>
      </c>
      <c r="L301" s="12">
        <v>0.89764646689097083</v>
      </c>
      <c r="M301" s="12" t="s">
        <v>37</v>
      </c>
      <c r="N301" s="12">
        <v>0.52882885347332731</v>
      </c>
      <c r="O301" s="12" t="s">
        <v>37</v>
      </c>
      <c r="P301" s="12" t="s">
        <v>37</v>
      </c>
      <c r="Q301" s="12" t="s">
        <v>37</v>
      </c>
      <c r="R301" s="12" t="s">
        <v>37</v>
      </c>
      <c r="S301" s="12" t="s">
        <v>37</v>
      </c>
      <c r="T301" s="15" t="s">
        <v>37</v>
      </c>
      <c r="U301" s="12" t="s">
        <v>37</v>
      </c>
      <c r="V301" s="12" t="s">
        <v>37</v>
      </c>
      <c r="W301" s="12" t="s">
        <v>37</v>
      </c>
      <c r="X301" s="12" t="s">
        <v>37</v>
      </c>
      <c r="Y301" s="15" t="s">
        <v>37</v>
      </c>
      <c r="Z301" s="15" t="s">
        <v>37</v>
      </c>
      <c r="AA301" s="15" t="s">
        <v>37</v>
      </c>
      <c r="AB301" s="12" t="s">
        <v>37</v>
      </c>
      <c r="AC301" s="12" t="s">
        <v>37</v>
      </c>
      <c r="AD301" s="12" t="s">
        <v>37</v>
      </c>
      <c r="AE301">
        <v>0</v>
      </c>
    </row>
    <row r="302" spans="1:31" ht="15" customHeight="1" x14ac:dyDescent="0.3">
      <c r="A302" s="12" t="s">
        <v>194</v>
      </c>
      <c r="B302" s="12">
        <v>104.13895670572911</v>
      </c>
      <c r="C302" s="12">
        <v>43.333500191017436</v>
      </c>
      <c r="D302" s="12">
        <v>16.769199689229328</v>
      </c>
      <c r="E302" s="12">
        <v>69.648222222222216</v>
      </c>
      <c r="F302" s="12">
        <v>-0.78526526441176758</v>
      </c>
      <c r="G302" s="12">
        <v>16.218014630744367</v>
      </c>
      <c r="H302" s="12">
        <v>-0.68649309128522873</v>
      </c>
      <c r="I302" s="12">
        <v>-0.68765000626444817</v>
      </c>
      <c r="J302" s="12">
        <v>-0.28400343656539923</v>
      </c>
      <c r="K302" s="12">
        <v>-1.0538753569126125</v>
      </c>
      <c r="L302" s="12">
        <v>-0.31990630676349002</v>
      </c>
      <c r="M302" s="12">
        <v>2965.8859792360372</v>
      </c>
      <c r="N302" s="12">
        <v>1.9752517467511064</v>
      </c>
      <c r="O302" s="12">
        <v>10.647660596658014</v>
      </c>
      <c r="P302" s="12">
        <v>29.724292838528296</v>
      </c>
      <c r="Q302" s="12">
        <v>24.126666666666665</v>
      </c>
      <c r="R302" s="12">
        <v>27.525875453304575</v>
      </c>
      <c r="S302" s="12">
        <v>4504.1292228391494</v>
      </c>
      <c r="T302" s="15">
        <v>1.559512392</v>
      </c>
      <c r="U302" s="12">
        <v>9.3026844712152794</v>
      </c>
      <c r="V302" s="12">
        <v>2290004216.7037044</v>
      </c>
      <c r="W302" s="12">
        <v>2.8946349885728635</v>
      </c>
      <c r="X302" s="12">
        <v>2.1190178340000001</v>
      </c>
      <c r="Y302" s="15">
        <v>6.0931659600000003</v>
      </c>
      <c r="Z302" s="15">
        <v>0.73814999999999997</v>
      </c>
      <c r="AA302" s="15">
        <v>3.3392861699999998</v>
      </c>
      <c r="AB302" s="12">
        <v>7.7147312425577637</v>
      </c>
      <c r="AC302" s="12">
        <v>14.514736616181183</v>
      </c>
      <c r="AD302" s="12">
        <v>16.76099844791991</v>
      </c>
      <c r="AE302">
        <v>1</v>
      </c>
    </row>
    <row r="303" spans="1:31" ht="15" customHeight="1" x14ac:dyDescent="0.3">
      <c r="A303" s="12" t="s">
        <v>196</v>
      </c>
      <c r="B303" s="12">
        <v>79.540315839979371</v>
      </c>
      <c r="C303" s="12">
        <v>30.705295713324297</v>
      </c>
      <c r="D303" s="12">
        <v>6.7434458028186475</v>
      </c>
      <c r="E303" s="12">
        <v>55.562444444444431</v>
      </c>
      <c r="F303" s="12">
        <v>-1.0375830009579652</v>
      </c>
      <c r="G303" s="12">
        <v>21.111724804432367</v>
      </c>
      <c r="H303" s="12">
        <v>-1.199775310854118</v>
      </c>
      <c r="I303" s="12">
        <v>-1.0567447940508528</v>
      </c>
      <c r="J303" s="12">
        <v>-0.98261784762144178</v>
      </c>
      <c r="K303" s="12">
        <v>-1.3315532555182774</v>
      </c>
      <c r="L303" s="12">
        <v>-1.0518732766310368</v>
      </c>
      <c r="M303" s="12">
        <v>571.98275138881627</v>
      </c>
      <c r="N303" s="12">
        <v>2.3051096621310148</v>
      </c>
      <c r="O303" s="12" t="s">
        <v>37</v>
      </c>
      <c r="P303" s="12" t="s">
        <v>37</v>
      </c>
      <c r="Q303" s="12">
        <v>0</v>
      </c>
      <c r="R303" s="12" t="s">
        <v>37</v>
      </c>
      <c r="S303" s="12">
        <v>994.43699718622736</v>
      </c>
      <c r="T303" s="15">
        <v>2.0695233549999998</v>
      </c>
      <c r="U303" s="12" t="s">
        <v>37</v>
      </c>
      <c r="V303" s="12" t="s">
        <v>37</v>
      </c>
      <c r="W303" s="12">
        <v>2.2573569633743977</v>
      </c>
      <c r="X303" s="12">
        <v>0.47341455399999999</v>
      </c>
      <c r="Y303" s="15" t="s">
        <v>37</v>
      </c>
      <c r="Z303" s="15" t="s">
        <v>37</v>
      </c>
      <c r="AA303" s="15" t="s">
        <v>37</v>
      </c>
      <c r="AB303" s="12" t="s">
        <v>37</v>
      </c>
      <c r="AC303" s="12">
        <v>20.288935449827225</v>
      </c>
      <c r="AD303" s="12">
        <v>14.99896511125657</v>
      </c>
      <c r="AE303">
        <v>1</v>
      </c>
    </row>
    <row r="304" spans="1:31" ht="15" customHeight="1" x14ac:dyDescent="0.3">
      <c r="A304" s="12" t="s">
        <v>198</v>
      </c>
      <c r="B304" s="12">
        <v>85.865616989135702</v>
      </c>
      <c r="C304" s="12">
        <v>28.035727183024097</v>
      </c>
      <c r="D304" s="12">
        <v>2.3468550443649301</v>
      </c>
      <c r="E304" s="12">
        <v>54.608777777777767</v>
      </c>
      <c r="F304" s="12">
        <v>-1.2803746312856672</v>
      </c>
      <c r="G304" s="12">
        <v>12.832670329703042</v>
      </c>
      <c r="H304" s="12">
        <v>-0.68166121219595244</v>
      </c>
      <c r="I304" s="12">
        <v>-1.3404590561985976</v>
      </c>
      <c r="J304" s="12">
        <v>-1.1555220658580474</v>
      </c>
      <c r="K304" s="12">
        <v>-1.389901250600815</v>
      </c>
      <c r="L304" s="12">
        <v>-0.75619670748710666</v>
      </c>
      <c r="M304" s="12">
        <v>682.22751976951326</v>
      </c>
      <c r="N304" s="12">
        <v>2.3601098637725064</v>
      </c>
      <c r="O304" s="12">
        <v>9.892453779550987</v>
      </c>
      <c r="P304" s="12">
        <v>27.228272395268402</v>
      </c>
      <c r="Q304" s="12">
        <v>15.553333333333333</v>
      </c>
      <c r="R304" s="12">
        <v>16.2401376844164</v>
      </c>
      <c r="S304" s="12">
        <v>621.85222608005984</v>
      </c>
      <c r="T304" s="15">
        <v>-0.34259964669999998</v>
      </c>
      <c r="U304" s="12">
        <v>17.516760429919639</v>
      </c>
      <c r="V304" s="12">
        <v>14093898144</v>
      </c>
      <c r="W304" s="12">
        <v>2.6196799993515016</v>
      </c>
      <c r="X304" s="12">
        <v>1.536889452</v>
      </c>
      <c r="Y304" s="15">
        <v>7.0254754860000004</v>
      </c>
      <c r="Z304" s="15">
        <v>5.3992399999999998</v>
      </c>
      <c r="AA304" s="15">
        <v>4.8062078589999997</v>
      </c>
      <c r="AB304" s="12" t="s">
        <v>37</v>
      </c>
      <c r="AC304" s="12">
        <v>22.301054776458205</v>
      </c>
      <c r="AD304" s="12" t="s">
        <v>37</v>
      </c>
      <c r="AE304">
        <v>1</v>
      </c>
    </row>
    <row r="305" spans="1:31" ht="15" customHeight="1" x14ac:dyDescent="0.3">
      <c r="A305" s="12" t="s">
        <v>200</v>
      </c>
      <c r="B305" s="12">
        <v>96.71520233154294</v>
      </c>
      <c r="C305" s="12">
        <v>91.148395538330078</v>
      </c>
      <c r="D305" s="12">
        <v>10.433303833007821</v>
      </c>
      <c r="E305" s="12">
        <v>66.108925925925931</v>
      </c>
      <c r="F305" s="12">
        <v>-0.44520107097923756</v>
      </c>
      <c r="G305" s="12">
        <v>26.721013022061104</v>
      </c>
      <c r="H305" s="12">
        <v>-0.33741066961859673</v>
      </c>
      <c r="I305" s="12">
        <v>-0.20936456299386927</v>
      </c>
      <c r="J305" s="12">
        <v>-0.4799827745494743</v>
      </c>
      <c r="K305" s="12">
        <v>-0.47173477585117024</v>
      </c>
      <c r="L305" s="12">
        <v>0.18441443326689</v>
      </c>
      <c r="M305" s="12">
        <v>3342.1720746468841</v>
      </c>
      <c r="N305" s="12">
        <v>0.26235760961934379</v>
      </c>
      <c r="O305" s="12" t="s">
        <v>37</v>
      </c>
      <c r="P305" s="12" t="s">
        <v>37</v>
      </c>
      <c r="Q305" s="12">
        <v>24.013333333333339</v>
      </c>
      <c r="R305" s="12" t="s">
        <v>37</v>
      </c>
      <c r="S305" s="12">
        <v>17646.21592340682</v>
      </c>
      <c r="T305" s="15">
        <v>6.3564436070000001</v>
      </c>
      <c r="U305" s="12" t="s">
        <v>37</v>
      </c>
      <c r="V305" s="12" t="s">
        <v>37</v>
      </c>
      <c r="W305" s="12">
        <v>4.9975347393437444</v>
      </c>
      <c r="X305" s="12">
        <v>2.1240456669999999</v>
      </c>
      <c r="Y305" s="15" t="s">
        <v>37</v>
      </c>
      <c r="Z305" s="15" t="s">
        <v>37</v>
      </c>
      <c r="AA305" s="15" t="s">
        <v>37</v>
      </c>
      <c r="AB305" s="12" t="s">
        <v>37</v>
      </c>
      <c r="AC305" s="12">
        <v>33.22868326377565</v>
      </c>
      <c r="AD305" s="12" t="s">
        <v>37</v>
      </c>
      <c r="AE305">
        <v>0</v>
      </c>
    </row>
    <row r="306" spans="1:31" ht="15" customHeight="1" x14ac:dyDescent="0.3">
      <c r="A306" s="12" t="s">
        <v>202</v>
      </c>
      <c r="B306" s="12">
        <v>106.57146263122569</v>
      </c>
      <c r="C306" s="12" t="s">
        <v>37</v>
      </c>
      <c r="D306" s="12" t="s">
        <v>37</v>
      </c>
      <c r="E306" s="12">
        <v>60.143851851851863</v>
      </c>
      <c r="F306" s="12">
        <v>-1.3002079625924434</v>
      </c>
      <c r="G306" s="12">
        <v>15.055077895869401</v>
      </c>
      <c r="H306" s="12">
        <v>-1.0381614367167156</v>
      </c>
      <c r="I306" s="12">
        <v>-1.682975731790066</v>
      </c>
      <c r="J306" s="12">
        <v>-1.106480283041795</v>
      </c>
      <c r="K306" s="12">
        <v>-1.3385115737716353</v>
      </c>
      <c r="L306" s="12">
        <v>-0.83740828931331623</v>
      </c>
      <c r="M306" s="12">
        <v>1291.0773899583921</v>
      </c>
      <c r="N306" s="12">
        <v>1.5730763985738523</v>
      </c>
      <c r="O306" s="12" t="s">
        <v>37</v>
      </c>
      <c r="P306" s="12" t="s">
        <v>37</v>
      </c>
      <c r="Q306" s="12">
        <v>23.593333333333341</v>
      </c>
      <c r="R306" s="12" t="s">
        <v>37</v>
      </c>
      <c r="S306" s="12">
        <v>1247.8923899784231</v>
      </c>
      <c r="T306" s="15">
        <v>-0.12592440990000001</v>
      </c>
      <c r="U306" s="12" t="s">
        <v>37</v>
      </c>
      <c r="V306" s="12" t="s">
        <v>37</v>
      </c>
      <c r="W306" s="12">
        <v>1.5967853466669735</v>
      </c>
      <c r="X306" s="12">
        <v>0.57149469399999997</v>
      </c>
      <c r="Y306" s="15" t="s">
        <v>37</v>
      </c>
      <c r="Z306" s="15" t="s">
        <v>37</v>
      </c>
      <c r="AA306" s="15" t="s">
        <v>37</v>
      </c>
      <c r="AB306" s="12" t="s">
        <v>37</v>
      </c>
      <c r="AC306" s="12" t="s">
        <v>37</v>
      </c>
      <c r="AD306" s="12">
        <v>15.862139419958387</v>
      </c>
      <c r="AE306">
        <v>1</v>
      </c>
    </row>
    <row r="307" spans="1:31" ht="15" customHeight="1" x14ac:dyDescent="0.3">
      <c r="A307" s="12" t="s">
        <v>204</v>
      </c>
      <c r="B307" s="12">
        <v>97.583380699157658</v>
      </c>
      <c r="C307" s="12">
        <v>61.990224202473968</v>
      </c>
      <c r="D307" s="12">
        <v>17.226058377159983</v>
      </c>
      <c r="E307" s="12">
        <v>70.202148148148154</v>
      </c>
      <c r="F307" s="12">
        <v>-0.8876662949721017</v>
      </c>
      <c r="G307" s="12">
        <v>24.777162041227193</v>
      </c>
      <c r="H307" s="12">
        <v>-0.43839651974849397</v>
      </c>
      <c r="I307" s="12">
        <v>-0.68317619462807977</v>
      </c>
      <c r="J307" s="12">
        <v>-0.42820617680748296</v>
      </c>
      <c r="K307" s="12">
        <v>-0.97633992632230104</v>
      </c>
      <c r="L307" s="12">
        <v>-0.37299337742539751</v>
      </c>
      <c r="M307" s="12">
        <v>1722.5330419234372</v>
      </c>
      <c r="N307" s="12">
        <v>2.2143131571858623</v>
      </c>
      <c r="O307" s="12">
        <v>15.169244344474006</v>
      </c>
      <c r="P307" s="12">
        <v>30.032758309220334</v>
      </c>
      <c r="Q307" s="12">
        <v>28.099999999999998</v>
      </c>
      <c r="R307" s="12">
        <v>20.160133913345621</v>
      </c>
      <c r="S307" s="12">
        <v>2487.7056122252407</v>
      </c>
      <c r="T307" s="15">
        <v>1.3706602080000001</v>
      </c>
      <c r="U307" s="12">
        <v>6.2269798812337891</v>
      </c>
      <c r="V307" s="12">
        <v>2635810811.4221425</v>
      </c>
      <c r="W307" s="12">
        <v>5.8193550705909729</v>
      </c>
      <c r="X307" s="12">
        <v>3.1391660620000001</v>
      </c>
      <c r="Y307" s="15">
        <v>9.5192154690000006</v>
      </c>
      <c r="Z307" s="15">
        <v>0.84731000000000001</v>
      </c>
      <c r="AA307" s="15">
        <v>4.651799188</v>
      </c>
      <c r="AB307" s="12" t="s">
        <v>37</v>
      </c>
      <c r="AC307" s="12">
        <v>26.353788137145422</v>
      </c>
      <c r="AD307" s="12">
        <v>23.53872266478642</v>
      </c>
      <c r="AE307">
        <v>1</v>
      </c>
    </row>
    <row r="308" spans="1:31" ht="15" customHeight="1" x14ac:dyDescent="0.3">
      <c r="A308" s="12" t="s">
        <v>206</v>
      </c>
      <c r="B308" s="12">
        <v>103.85101742214627</v>
      </c>
      <c r="C308" s="12">
        <v>95.491665384043856</v>
      </c>
      <c r="D308" s="12">
        <v>65.235175895690915</v>
      </c>
      <c r="E308" s="12">
        <v>82.568654019873534</v>
      </c>
      <c r="F308" s="12">
        <v>1.680744523803394</v>
      </c>
      <c r="G308" s="12">
        <v>23.14836536311358</v>
      </c>
      <c r="H308" s="12">
        <v>0.83243214152753386</v>
      </c>
      <c r="I308" s="12">
        <v>1.6478141248226157</v>
      </c>
      <c r="J308" s="12">
        <v>1.8940355877081554</v>
      </c>
      <c r="K308" s="12">
        <v>1.4703807656963666</v>
      </c>
      <c r="L308" s="12">
        <v>0.341545972507447</v>
      </c>
      <c r="M308" s="12">
        <v>25620.027585705277</v>
      </c>
      <c r="N308" s="12">
        <v>0.76150582597250094</v>
      </c>
      <c r="O308" s="12" t="s">
        <v>37</v>
      </c>
      <c r="P308" s="12" t="s">
        <v>37</v>
      </c>
      <c r="Q308" s="12">
        <v>17.793333333333333</v>
      </c>
      <c r="R308" s="12" t="s">
        <v>37</v>
      </c>
      <c r="S308" s="12">
        <v>43369.714301772779</v>
      </c>
      <c r="T308" s="15">
        <v>1.968709917</v>
      </c>
      <c r="U308" s="12" t="s">
        <v>37</v>
      </c>
      <c r="V308" s="12" t="s">
        <v>37</v>
      </c>
      <c r="W308" s="12">
        <v>3.7166713113370151</v>
      </c>
      <c r="X308" s="12" t="s">
        <v>37</v>
      </c>
      <c r="Y308" s="15" t="s">
        <v>37</v>
      </c>
      <c r="Z308" s="15" t="s">
        <v>37</v>
      </c>
      <c r="AA308" s="15" t="s">
        <v>37</v>
      </c>
      <c r="AB308" s="12" t="s">
        <v>37</v>
      </c>
      <c r="AC308" s="12">
        <v>30.210651238688623</v>
      </c>
      <c r="AD308" s="12">
        <v>16.018865554359294</v>
      </c>
      <c r="AE308">
        <v>0</v>
      </c>
    </row>
    <row r="309" spans="1:31" ht="15" customHeight="1" x14ac:dyDescent="0.3">
      <c r="A309" s="12" t="s">
        <v>208</v>
      </c>
      <c r="B309" s="12">
        <v>100.47539548520685</v>
      </c>
      <c r="C309" s="12">
        <v>99.910359983090999</v>
      </c>
      <c r="D309" s="12">
        <v>50.179962440773295</v>
      </c>
      <c r="E309" s="12">
        <v>73.506747967479669</v>
      </c>
      <c r="F309" s="12">
        <v>0.35057178562662256</v>
      </c>
      <c r="G309" s="12">
        <v>23.425675556034406</v>
      </c>
      <c r="H309" s="12">
        <v>0.82948792974154129</v>
      </c>
      <c r="I309" s="12">
        <v>0.67679934948682785</v>
      </c>
      <c r="J309" s="12">
        <v>0.88654684896270386</v>
      </c>
      <c r="K309" s="12">
        <v>0.68975365782777465</v>
      </c>
      <c r="L309" s="12">
        <v>0.79622499644756306</v>
      </c>
      <c r="M309" s="12">
        <v>7675.5781710892388</v>
      </c>
      <c r="N309" s="12">
        <v>-0.23407121421280411</v>
      </c>
      <c r="O309" s="12">
        <v>21.990428564300199</v>
      </c>
      <c r="P309" s="12">
        <v>32.089971492210886</v>
      </c>
      <c r="Q309" s="12">
        <v>10.166666666666666</v>
      </c>
      <c r="R309" s="12">
        <v>18.017892752421389</v>
      </c>
      <c r="S309" s="12">
        <v>16336.241125474218</v>
      </c>
      <c r="T309" s="15">
        <v>2.837063755</v>
      </c>
      <c r="U309" s="12">
        <v>4.3794326220733018</v>
      </c>
      <c r="V309" s="12">
        <v>92967562500</v>
      </c>
      <c r="W309" s="12">
        <v>4.7641020921560431</v>
      </c>
      <c r="X309" s="12">
        <v>4.9098256879999997</v>
      </c>
      <c r="Y309" s="15">
        <v>13.618645320000001</v>
      </c>
      <c r="Z309" s="15">
        <v>0.33539999999999998</v>
      </c>
      <c r="AA309" s="15">
        <v>6.5424893270000002</v>
      </c>
      <c r="AB309" s="12">
        <v>23.167205318682502</v>
      </c>
      <c r="AC309" s="12">
        <v>21.775733776659674</v>
      </c>
      <c r="AD309" s="12">
        <v>28.183393797278523</v>
      </c>
      <c r="AE309">
        <v>0</v>
      </c>
    </row>
    <row r="310" spans="1:31" ht="15" customHeight="1" x14ac:dyDescent="0.3">
      <c r="A310" s="12" t="s">
        <v>210</v>
      </c>
      <c r="B310" s="12">
        <v>98.910753320764613</v>
      </c>
      <c r="C310" s="12">
        <v>111.34197968703052</v>
      </c>
      <c r="D310" s="12">
        <v>64.544132515236186</v>
      </c>
      <c r="E310" s="12">
        <v>81.352529358626938</v>
      </c>
      <c r="F310" s="12">
        <v>1.958645299077034</v>
      </c>
      <c r="G310" s="12">
        <v>21.68184733053895</v>
      </c>
      <c r="H310" s="12">
        <v>1.363109643260638</v>
      </c>
      <c r="I310" s="12">
        <v>1.6741391718387606</v>
      </c>
      <c r="J310" s="12">
        <v>1.3437094017863276</v>
      </c>
      <c r="K310" s="12">
        <v>1.7351359973351166</v>
      </c>
      <c r="L310" s="12">
        <v>1.433036347230275</v>
      </c>
      <c r="M310" s="12">
        <v>34188.350587666529</v>
      </c>
      <c r="N310" s="12">
        <v>1.2470943504426535</v>
      </c>
      <c r="O310" s="12">
        <v>23.721056933292743</v>
      </c>
      <c r="P310" s="12">
        <v>37.131331243527121</v>
      </c>
      <c r="Q310" s="12">
        <v>8.4466666666666672</v>
      </c>
      <c r="R310" s="12">
        <v>26.225921326256159</v>
      </c>
      <c r="S310" s="12">
        <v>56429.299781903181</v>
      </c>
      <c r="T310" s="15">
        <v>1.873268717</v>
      </c>
      <c r="U310" s="12">
        <v>1.2674732522032863</v>
      </c>
      <c r="V310" s="12">
        <v>4142720241.1609917</v>
      </c>
      <c r="W310" s="12">
        <v>7.0830459961524372</v>
      </c>
      <c r="X310" s="12">
        <v>7.0586745740000003</v>
      </c>
      <c r="Y310" s="15">
        <v>12.25358737</v>
      </c>
      <c r="Z310" s="15">
        <v>0.24965000000000001</v>
      </c>
      <c r="AA310" s="15">
        <v>9.1961187429999995</v>
      </c>
      <c r="AB310" s="12">
        <v>22.513347345254932</v>
      </c>
      <c r="AC310" s="12">
        <v>17.529239370034137</v>
      </c>
      <c r="AD310" s="12">
        <v>22.288649953464486</v>
      </c>
      <c r="AE310">
        <v>0</v>
      </c>
    </row>
    <row r="311" spans="1:31" ht="15" customHeight="1" x14ac:dyDescent="0.3">
      <c r="A311" s="12" t="s">
        <v>212</v>
      </c>
      <c r="B311" s="12">
        <v>99.430768220321056</v>
      </c>
      <c r="C311" s="12">
        <v>60.205391495316114</v>
      </c>
      <c r="D311" s="12">
        <v>18.161983233231762</v>
      </c>
      <c r="E311" s="12">
        <v>66.027333333333345</v>
      </c>
      <c r="F311" s="12">
        <v>-0.38835074317951995</v>
      </c>
      <c r="G311" s="12">
        <v>29.744820114591732</v>
      </c>
      <c r="H311" s="12">
        <v>-1.0658786122997601</v>
      </c>
      <c r="I311" s="12">
        <v>3.9457694607942283E-3</v>
      </c>
      <c r="J311" s="12">
        <v>-0.32485067487383884</v>
      </c>
      <c r="K311" s="12">
        <v>4.5935207822670458E-2</v>
      </c>
      <c r="L311" s="12">
        <v>0.37524203925083094</v>
      </c>
      <c r="M311" s="12">
        <v>618.13928792207423</v>
      </c>
      <c r="N311" s="12">
        <v>1.4746430522576881</v>
      </c>
      <c r="O311" s="12">
        <v>10.00330828533434</v>
      </c>
      <c r="P311" s="12">
        <v>44.835296392159499</v>
      </c>
      <c r="Q311" s="12">
        <v>22.971428571428568</v>
      </c>
      <c r="R311" s="12">
        <v>36.828697727238648</v>
      </c>
      <c r="S311" s="12">
        <v>2089.7343826078982</v>
      </c>
      <c r="T311" s="15">
        <v>4.6147130550000002</v>
      </c>
      <c r="U311" s="12">
        <v>19.077238970855053</v>
      </c>
      <c r="V311" s="12">
        <v>1002760000000</v>
      </c>
      <c r="W311" s="12">
        <v>3.8112165927886963</v>
      </c>
      <c r="X311" s="12">
        <v>0.86337160199999996</v>
      </c>
      <c r="Y311" s="15">
        <v>2.8323156470000002</v>
      </c>
      <c r="Z311" s="15">
        <v>1.12073</v>
      </c>
      <c r="AA311" s="15">
        <v>3.9932092720000001</v>
      </c>
      <c r="AB311" s="12">
        <v>9.2268246909060299</v>
      </c>
      <c r="AC311" s="12">
        <v>25.136922501719312</v>
      </c>
      <c r="AD311" s="12">
        <v>29.159293206301463</v>
      </c>
      <c r="AE311">
        <v>1</v>
      </c>
    </row>
    <row r="312" spans="1:31" ht="15" customHeight="1" x14ac:dyDescent="0.3">
      <c r="A312" s="12" t="s">
        <v>214</v>
      </c>
      <c r="B312" s="12">
        <v>110.16395296369281</v>
      </c>
      <c r="C312" s="12">
        <v>74.046388353620259</v>
      </c>
      <c r="D312" s="12">
        <v>24.225920915603641</v>
      </c>
      <c r="E312" s="12">
        <v>67.940999999999988</v>
      </c>
      <c r="F312" s="12">
        <v>-0.7024525354305905</v>
      </c>
      <c r="G312" s="12">
        <v>27.772532895581236</v>
      </c>
      <c r="H312" s="12">
        <v>-0.98053222646315874</v>
      </c>
      <c r="I312" s="12">
        <v>-0.22497772378847011</v>
      </c>
      <c r="J312" s="12">
        <v>-0.23295907303690902</v>
      </c>
      <c r="K312" s="12">
        <v>-0.54905375465750694</v>
      </c>
      <c r="L312" s="12">
        <v>-7.9320335906231679E-2</v>
      </c>
      <c r="M312" s="12">
        <v>1922.3521180474499</v>
      </c>
      <c r="N312" s="12">
        <v>1.2577553471575058</v>
      </c>
      <c r="O312" s="12">
        <v>11.851961088681879</v>
      </c>
      <c r="P312" s="12">
        <v>51.252551893846565</v>
      </c>
      <c r="Q312" s="12">
        <v>19.357142857142858</v>
      </c>
      <c r="R312" s="12">
        <v>39.842548240838738</v>
      </c>
      <c r="S312" s="12">
        <v>4073.6104942381498</v>
      </c>
      <c r="T312" s="15">
        <v>2.8204504689999998</v>
      </c>
      <c r="U312" s="12">
        <v>3.1057582671291475</v>
      </c>
      <c r="V312" s="12">
        <v>20811364771638.824</v>
      </c>
      <c r="W312" s="12">
        <v>2.8080860117207416</v>
      </c>
      <c r="X312" s="12">
        <v>0.97546470200000002</v>
      </c>
      <c r="Y312" s="15">
        <v>4.8043849700000001</v>
      </c>
      <c r="Z312" s="15">
        <v>0.39955000000000002</v>
      </c>
      <c r="AA312" s="15">
        <v>5.2330341880000004</v>
      </c>
      <c r="AB312" s="12">
        <v>14.964772269991183</v>
      </c>
      <c r="AC312" s="12">
        <v>28.429811088368879</v>
      </c>
      <c r="AD312" s="12">
        <v>29.084896737799347</v>
      </c>
      <c r="AE312">
        <v>1</v>
      </c>
    </row>
    <row r="313" spans="1:31" ht="15" customHeight="1" x14ac:dyDescent="0.3">
      <c r="A313" s="12" t="s">
        <v>216</v>
      </c>
      <c r="B313" s="12">
        <v>107.56842346191408</v>
      </c>
      <c r="C313" s="12">
        <v>82.445783094926313</v>
      </c>
      <c r="D313" s="12">
        <v>40.429958184560142</v>
      </c>
      <c r="E313" s="12">
        <v>72.355481481481476</v>
      </c>
      <c r="F313" s="12">
        <v>-0.701516124730309</v>
      </c>
      <c r="G313" s="12">
        <v>28.653877619633842</v>
      </c>
      <c r="H313" s="12">
        <v>-1.1007145320375755</v>
      </c>
      <c r="I313" s="12">
        <v>-0.56699723626176535</v>
      </c>
      <c r="J313" s="12">
        <v>-1.4566257844368622</v>
      </c>
      <c r="K313" s="12">
        <v>-0.87047863254944502</v>
      </c>
      <c r="L313" s="12">
        <v>-1.3769386311372125</v>
      </c>
      <c r="M313" s="12">
        <v>3564.6617734994811</v>
      </c>
      <c r="N313" s="12">
        <v>1.4161456573200906</v>
      </c>
      <c r="O313" s="12">
        <v>6.7110491679501978</v>
      </c>
      <c r="P313" s="12">
        <v>49.472268917757511</v>
      </c>
      <c r="Q313" s="12">
        <v>17.993333333333336</v>
      </c>
      <c r="R313" s="12">
        <v>13.530197374082745</v>
      </c>
      <c r="S313" s="12">
        <v>5507.5333950076883</v>
      </c>
      <c r="T313" s="15">
        <v>1.6243389779999999</v>
      </c>
      <c r="U313" s="12">
        <v>23.026203064197226</v>
      </c>
      <c r="V313" s="12">
        <v>23683738800000</v>
      </c>
      <c r="W313" s="12">
        <v>3.6972633401552844</v>
      </c>
      <c r="X313" s="12">
        <v>2.440156993</v>
      </c>
      <c r="Y313" s="15">
        <v>0.11004702719999999</v>
      </c>
      <c r="Z313" s="15">
        <v>0.19255</v>
      </c>
      <c r="AA313" s="15">
        <v>0.42137896219999998</v>
      </c>
      <c r="AB313" s="12">
        <v>6.2207986783914722</v>
      </c>
      <c r="AC313" s="12">
        <v>24.68889427295181</v>
      </c>
      <c r="AD313" s="12">
        <v>24.722249223866267</v>
      </c>
      <c r="AE313">
        <v>0</v>
      </c>
    </row>
    <row r="314" spans="1:31" ht="15" customHeight="1" x14ac:dyDescent="0.3">
      <c r="A314" s="12" t="s">
        <v>218</v>
      </c>
      <c r="B314" s="12">
        <v>93.412689208984332</v>
      </c>
      <c r="C314" s="12">
        <v>40.383416312081465</v>
      </c>
      <c r="D314" s="12">
        <v>13.447302055358861</v>
      </c>
      <c r="E314" s="12">
        <v>67.284592592592588</v>
      </c>
      <c r="F314" s="12">
        <v>-1.3835704376300184</v>
      </c>
      <c r="G314" s="12">
        <v>11.004403196237654</v>
      </c>
      <c r="H314" s="12">
        <v>-2.2921574860811229</v>
      </c>
      <c r="I314" s="12">
        <v>-1.4213021596272783</v>
      </c>
      <c r="J314" s="12">
        <v>-1.3557346438368159</v>
      </c>
      <c r="K314" s="12">
        <v>-1.6661777198314658</v>
      </c>
      <c r="L314" s="12">
        <v>-1.264843819042047</v>
      </c>
      <c r="M314" s="12">
        <v>1949.5782973957682</v>
      </c>
      <c r="N314" s="12">
        <v>2.8350860793812553</v>
      </c>
      <c r="O314" s="12">
        <v>1.7215676109859572</v>
      </c>
      <c r="P314" s="12">
        <v>60.221020370075188</v>
      </c>
      <c r="Q314" s="12">
        <v>14.746666666666666</v>
      </c>
      <c r="R314" s="12">
        <v>3.1736839662182903</v>
      </c>
      <c r="S314" s="12">
        <v>4335.7831317152504</v>
      </c>
      <c r="T314" s="15">
        <v>3.0045835840000001</v>
      </c>
      <c r="U314" s="12">
        <v>19.838723685671564</v>
      </c>
      <c r="V314" s="12">
        <v>835975055481.9469</v>
      </c>
      <c r="W314" s="12" t="s">
        <v>37</v>
      </c>
      <c r="X314" s="12">
        <v>1.820337141</v>
      </c>
      <c r="Y314" s="15">
        <v>0.2705504205</v>
      </c>
      <c r="Z314" s="15">
        <v>0.63817000000000002</v>
      </c>
      <c r="AA314" s="15">
        <v>1.6997814840000001</v>
      </c>
      <c r="AB314" s="12" t="s">
        <v>37</v>
      </c>
      <c r="AC314" s="12">
        <v>1.7305323862450608</v>
      </c>
      <c r="AD314" s="12" t="s">
        <v>37</v>
      </c>
      <c r="AE314">
        <v>1</v>
      </c>
    </row>
    <row r="315" spans="1:31" ht="15" customHeight="1" x14ac:dyDescent="0.3">
      <c r="A315" s="12" t="s">
        <v>220</v>
      </c>
      <c r="B315" s="12">
        <v>101.60118827819831</v>
      </c>
      <c r="C315" s="12">
        <v>114.8838625456157</v>
      </c>
      <c r="D315" s="12">
        <v>54.229289110969091</v>
      </c>
      <c r="E315" s="12">
        <v>79.448475158084932</v>
      </c>
      <c r="F315" s="12">
        <v>1.5795460889736817</v>
      </c>
      <c r="G315" s="12">
        <v>25.681156684153756</v>
      </c>
      <c r="H315" s="12">
        <v>1.1109461560845377</v>
      </c>
      <c r="I315" s="12">
        <v>1.494555001457532</v>
      </c>
      <c r="J315" s="12">
        <v>1.6534127394358318</v>
      </c>
      <c r="K315" s="12">
        <v>1.5919355303049081</v>
      </c>
      <c r="L315" s="12">
        <v>1.3634468515714013</v>
      </c>
      <c r="M315" s="12">
        <v>28192.775489390791</v>
      </c>
      <c r="N315" s="12">
        <v>1.2510707207079614</v>
      </c>
      <c r="O315" s="12">
        <v>22.90694151123893</v>
      </c>
      <c r="P315" s="12">
        <v>51.887711569978983</v>
      </c>
      <c r="Q315" s="12">
        <v>12.14666666666667</v>
      </c>
      <c r="R315" s="12">
        <v>39.201244387153139</v>
      </c>
      <c r="S315" s="12">
        <v>97316.877508572914</v>
      </c>
      <c r="T315" s="15">
        <v>4.6954457070000002</v>
      </c>
      <c r="U315" s="12" t="s">
        <v>37</v>
      </c>
      <c r="V315" s="12" t="s">
        <v>37</v>
      </c>
      <c r="W315" s="12">
        <v>4.3587529799517473</v>
      </c>
      <c r="X315" s="12">
        <v>6.0763548930000004</v>
      </c>
      <c r="Y315" s="15">
        <v>8.9271272019999994</v>
      </c>
      <c r="Z315" s="15" t="s">
        <v>37</v>
      </c>
      <c r="AA315" s="15">
        <v>10.630055110000001</v>
      </c>
      <c r="AB315" s="12">
        <v>26.526589180101663</v>
      </c>
      <c r="AC315" s="12">
        <v>18.071546204313684</v>
      </c>
      <c r="AD315" s="12">
        <v>21.63319066388517</v>
      </c>
      <c r="AE315">
        <v>0</v>
      </c>
    </row>
    <row r="316" spans="1:31" ht="15" customHeight="1" x14ac:dyDescent="0.3">
      <c r="A316" s="12" t="s">
        <v>222</v>
      </c>
      <c r="B316" s="12" t="s">
        <v>37</v>
      </c>
      <c r="C316" s="12" t="s">
        <v>37</v>
      </c>
      <c r="D316" s="12" t="s">
        <v>37</v>
      </c>
      <c r="E316" s="12">
        <v>77.70792592592592</v>
      </c>
      <c r="F316" s="12" t="s">
        <v>37</v>
      </c>
      <c r="G316" s="12" t="s">
        <v>37</v>
      </c>
      <c r="H316" s="12" t="s">
        <v>37</v>
      </c>
      <c r="I316" s="12" t="s">
        <v>37</v>
      </c>
      <c r="J316" s="12" t="s">
        <v>37</v>
      </c>
      <c r="K316" s="12" t="s">
        <v>37</v>
      </c>
      <c r="L316" s="12" t="s">
        <v>37</v>
      </c>
      <c r="M316" s="12">
        <v>30828.30466909059</v>
      </c>
      <c r="N316" s="12">
        <v>0.62940709235927417</v>
      </c>
      <c r="O316" s="12" t="s">
        <v>37</v>
      </c>
      <c r="P316" s="12" t="s">
        <v>37</v>
      </c>
      <c r="Q316" s="12" t="s">
        <v>37</v>
      </c>
      <c r="R316" s="12" t="s">
        <v>37</v>
      </c>
      <c r="S316" s="12" t="s">
        <v>37</v>
      </c>
      <c r="T316" s="15" t="s">
        <v>37</v>
      </c>
      <c r="U316" s="12" t="s">
        <v>37</v>
      </c>
      <c r="V316" s="12" t="s">
        <v>37</v>
      </c>
      <c r="W316" s="12" t="s">
        <v>37</v>
      </c>
      <c r="X316" s="12" t="s">
        <v>37</v>
      </c>
      <c r="Y316" s="15" t="s">
        <v>37</v>
      </c>
      <c r="Z316" s="15" t="s">
        <v>37</v>
      </c>
      <c r="AA316" s="15" t="s">
        <v>37</v>
      </c>
      <c r="AB316" s="12" t="s">
        <v>37</v>
      </c>
      <c r="AC316" s="12" t="s">
        <v>37</v>
      </c>
      <c r="AD316" s="12" t="s">
        <v>37</v>
      </c>
      <c r="AE316">
        <v>0</v>
      </c>
    </row>
    <row r="317" spans="1:31" ht="15" customHeight="1" x14ac:dyDescent="0.3">
      <c r="A317" s="12" t="s">
        <v>224</v>
      </c>
      <c r="B317" s="12">
        <v>97.217210083007814</v>
      </c>
      <c r="C317" s="12">
        <v>96.115532531738282</v>
      </c>
      <c r="D317" s="12">
        <v>55.130496245164132</v>
      </c>
      <c r="E317" s="12">
        <v>80.684281842818436</v>
      </c>
      <c r="F317" s="12">
        <v>0.90841894845167825</v>
      </c>
      <c r="G317" s="12">
        <v>23.33677394105808</v>
      </c>
      <c r="H317" s="12">
        <v>-1.1629255612691243</v>
      </c>
      <c r="I317" s="12">
        <v>1.2022989441951124</v>
      </c>
      <c r="J317" s="12">
        <v>1.1301460514465957</v>
      </c>
      <c r="K317" s="12">
        <v>0.9639192720254256</v>
      </c>
      <c r="L317" s="12">
        <v>0.67271117866039276</v>
      </c>
      <c r="M317" s="12">
        <v>25872.230421626864</v>
      </c>
      <c r="N317" s="12">
        <v>2.0424027661979443</v>
      </c>
      <c r="O317" s="12">
        <v>23.883955768019739</v>
      </c>
      <c r="P317" s="12">
        <v>46.4708870516315</v>
      </c>
      <c r="Q317" s="12">
        <v>21.32</v>
      </c>
      <c r="R317" s="12">
        <v>31.488091863825023</v>
      </c>
      <c r="S317" s="12">
        <v>42710.778221629378</v>
      </c>
      <c r="T317" s="15">
        <v>1.8739385669999999</v>
      </c>
      <c r="U317" s="12">
        <v>1.0660076183241924</v>
      </c>
      <c r="V317" s="12">
        <v>2142511111.1111112</v>
      </c>
      <c r="W317" s="12">
        <v>5.9102244973182678</v>
      </c>
      <c r="X317" s="12">
        <v>4.5100306550000004</v>
      </c>
      <c r="Y317" s="15">
        <v>10.785748849999999</v>
      </c>
      <c r="Z317" s="15">
        <v>0.23949000000000001</v>
      </c>
      <c r="AA317" s="15">
        <v>10.418939310000001</v>
      </c>
      <c r="AB317" s="12">
        <v>25.874730781418581</v>
      </c>
      <c r="AC317" s="12">
        <v>28.022518959067959</v>
      </c>
      <c r="AD317" s="12">
        <v>24.567418982905433</v>
      </c>
      <c r="AE317">
        <v>0</v>
      </c>
    </row>
    <row r="318" spans="1:31" ht="15" customHeight="1" x14ac:dyDescent="0.3">
      <c r="A318" s="12" t="s">
        <v>226</v>
      </c>
      <c r="B318" s="12">
        <v>102.42371764006432</v>
      </c>
      <c r="C318" s="12">
        <v>98.866626315646698</v>
      </c>
      <c r="D318" s="12">
        <v>59.83540414880823</v>
      </c>
      <c r="E318" s="12">
        <v>81.268473351400189</v>
      </c>
      <c r="F318" s="12">
        <v>0.32330808757493884</v>
      </c>
      <c r="G318" s="12">
        <v>19.552437770220564</v>
      </c>
      <c r="H318" s="12">
        <v>0.5266546060641607</v>
      </c>
      <c r="I318" s="12">
        <v>0.50673539936542522</v>
      </c>
      <c r="J318" s="12">
        <v>0.80421722431977616</v>
      </c>
      <c r="K318" s="12">
        <v>0.47399610280990617</v>
      </c>
      <c r="L318" s="12">
        <v>1.0257971783479054</v>
      </c>
      <c r="M318" s="12">
        <v>29265.089048092574</v>
      </c>
      <c r="N318" s="12">
        <v>0.14626648646964421</v>
      </c>
      <c r="O318" s="12">
        <v>24.099479490042423</v>
      </c>
      <c r="P318" s="12">
        <v>54.112014426785564</v>
      </c>
      <c r="Q318" s="12">
        <v>23.06</v>
      </c>
      <c r="R318" s="12">
        <v>33.35805919443122</v>
      </c>
      <c r="S318" s="12">
        <v>33281.336668238495</v>
      </c>
      <c r="T318" s="15">
        <v>0.47743787510000002</v>
      </c>
      <c r="U318" s="12" t="s">
        <v>37</v>
      </c>
      <c r="V318" s="12" t="s">
        <v>37</v>
      </c>
      <c r="W318" s="12">
        <v>4.2837632894516</v>
      </c>
      <c r="X318" s="12">
        <v>6.4580530669999998</v>
      </c>
      <c r="Y318" s="15">
        <v>9.0529046490000002</v>
      </c>
      <c r="Z318" s="15" t="s">
        <v>37</v>
      </c>
      <c r="AA318" s="15">
        <v>12.877965570000001</v>
      </c>
      <c r="AB318" s="12">
        <v>24.363031286225901</v>
      </c>
      <c r="AC318" s="12">
        <v>19.372599781106516</v>
      </c>
      <c r="AD318" s="12">
        <v>21.942490931446425</v>
      </c>
      <c r="AE318">
        <v>0</v>
      </c>
    </row>
    <row r="319" spans="1:31" ht="15" customHeight="1" x14ac:dyDescent="0.3">
      <c r="A319" s="12" t="s">
        <v>228</v>
      </c>
      <c r="B319" s="12">
        <v>95.088381559952452</v>
      </c>
      <c r="C319" s="12">
        <v>85.414653084494844</v>
      </c>
      <c r="D319" s="12">
        <v>19.918338712056482</v>
      </c>
      <c r="E319" s="12">
        <v>71.690814814814814</v>
      </c>
      <c r="F319" s="12">
        <v>-0.21275592502206575</v>
      </c>
      <c r="G319" s="12">
        <v>23.565394846176268</v>
      </c>
      <c r="H319" s="12">
        <v>3.2678802187244074E-3</v>
      </c>
      <c r="I319" s="12">
        <v>0.26083723592455499</v>
      </c>
      <c r="J319" s="12">
        <v>0.16943875246215614</v>
      </c>
      <c r="K319" s="12">
        <v>-0.30908841701845341</v>
      </c>
      <c r="L319" s="12">
        <v>0.57895815620819724</v>
      </c>
      <c r="M319" s="12">
        <v>5209.8159468313379</v>
      </c>
      <c r="N319" s="12">
        <v>0.47969800681139502</v>
      </c>
      <c r="O319" s="12">
        <v>23.73929121960234</v>
      </c>
      <c r="P319" s="12">
        <v>41.726414430509934</v>
      </c>
      <c r="Q319" s="12">
        <v>22.76</v>
      </c>
      <c r="R319" s="12">
        <v>36.845433807495674</v>
      </c>
      <c r="S319" s="12">
        <v>5236.7902592002529</v>
      </c>
      <c r="T319" s="15">
        <v>1.9128630989999999E-2</v>
      </c>
      <c r="U319" s="12">
        <v>9.8696030503946997</v>
      </c>
      <c r="V319" s="12">
        <v>23073793844.441811</v>
      </c>
      <c r="W319" s="12">
        <v>5.2897820091247558</v>
      </c>
      <c r="X319" s="12">
        <v>3.0589723360000001</v>
      </c>
      <c r="Y319" s="15">
        <v>11.13861844</v>
      </c>
      <c r="Z319" s="15">
        <v>2.57545</v>
      </c>
      <c r="AA319" s="15">
        <v>8.8365627119999992</v>
      </c>
      <c r="AB319" s="12">
        <v>21.744040012562511</v>
      </c>
      <c r="AC319" s="12">
        <v>24.917368958416255</v>
      </c>
      <c r="AD319" s="12" t="s">
        <v>37</v>
      </c>
      <c r="AE319">
        <v>0</v>
      </c>
    </row>
    <row r="320" spans="1:31" ht="15" customHeight="1" x14ac:dyDescent="0.3">
      <c r="A320" s="12" t="s">
        <v>230</v>
      </c>
      <c r="B320" s="12">
        <v>103.51470771202678</v>
      </c>
      <c r="C320" s="12">
        <v>103.20987892150875</v>
      </c>
      <c r="D320" s="12">
        <v>57.458382346413352</v>
      </c>
      <c r="E320" s="12">
        <v>82.456305329719939</v>
      </c>
      <c r="F320" s="12">
        <v>1.3820045441389082</v>
      </c>
      <c r="G320" s="12">
        <v>26.177651824046482</v>
      </c>
      <c r="H320" s="12">
        <v>1.0416450922687848</v>
      </c>
      <c r="I320" s="12">
        <v>1.4353897646069527</v>
      </c>
      <c r="J320" s="12">
        <v>1.1234964691102494</v>
      </c>
      <c r="K320" s="12">
        <v>1.375499198834101</v>
      </c>
      <c r="L320" s="12">
        <v>1.0143582324186962</v>
      </c>
      <c r="M320" s="12">
        <v>30171.163792434683</v>
      </c>
      <c r="N320" s="12">
        <v>1.4870164959208067E-2</v>
      </c>
      <c r="O320" s="12" t="s">
        <v>37</v>
      </c>
      <c r="P320" s="12" t="s">
        <v>37</v>
      </c>
      <c r="Q320" s="12">
        <v>25.928571428571427</v>
      </c>
      <c r="R320" s="12" t="s">
        <v>37</v>
      </c>
      <c r="S320" s="12">
        <v>36202.639274898022</v>
      </c>
      <c r="T320" s="15">
        <v>0.65969145080000002</v>
      </c>
      <c r="U320" s="12" t="s">
        <v>37</v>
      </c>
      <c r="V320" s="12" t="s">
        <v>37</v>
      </c>
      <c r="W320" s="12">
        <v>3.3777031040191652</v>
      </c>
      <c r="X320" s="12">
        <v>7.5921778900000003</v>
      </c>
      <c r="Y320" s="15" t="s">
        <v>37</v>
      </c>
      <c r="Z320" s="15" t="s">
        <v>37</v>
      </c>
      <c r="AA320" s="15" t="s">
        <v>37</v>
      </c>
      <c r="AB320" s="12" t="s">
        <v>37</v>
      </c>
      <c r="AC320" s="12">
        <v>30.605860469485545</v>
      </c>
      <c r="AD320" s="12">
        <v>26.18874691612027</v>
      </c>
      <c r="AE320">
        <v>0</v>
      </c>
    </row>
    <row r="321" spans="1:31" ht="15" customHeight="1" x14ac:dyDescent="0.3">
      <c r="A321" s="12" t="s">
        <v>232</v>
      </c>
      <c r="B321" s="12">
        <v>90.379206937902111</v>
      </c>
      <c r="C321" s="12">
        <v>76.981012435186472</v>
      </c>
      <c r="D321" s="12">
        <v>33.803900262583866</v>
      </c>
      <c r="E321" s="12">
        <v>73.476925925925926</v>
      </c>
      <c r="F321" s="12">
        <v>0.14860441108855107</v>
      </c>
      <c r="G321" s="12">
        <v>24.362684102211968</v>
      </c>
      <c r="H321" s="12">
        <v>-0.34277271524661052</v>
      </c>
      <c r="I321" s="12">
        <v>0.10161593661177903</v>
      </c>
      <c r="J321" s="12">
        <v>0.18221781340738144</v>
      </c>
      <c r="K321" s="12">
        <v>0.27459503943100566</v>
      </c>
      <c r="L321" s="12">
        <v>-0.67427682069440686</v>
      </c>
      <c r="M321" s="12">
        <v>3521.0523067079598</v>
      </c>
      <c r="N321" s="12">
        <v>3.5472616052992474</v>
      </c>
      <c r="O321" s="12">
        <v>17.884266715774324</v>
      </c>
      <c r="P321" s="12">
        <v>18.264931833527172</v>
      </c>
      <c r="Q321" s="12">
        <v>13.293333333333331</v>
      </c>
      <c r="R321" s="12">
        <v>11.501726716972597</v>
      </c>
      <c r="S321" s="12">
        <v>3891.2122273174732</v>
      </c>
      <c r="T321" s="15">
        <v>0.37091151360000002</v>
      </c>
      <c r="U321" s="12">
        <v>14.806146882637774</v>
      </c>
      <c r="V321" s="12">
        <v>288012923.07692307</v>
      </c>
      <c r="W321" s="12">
        <v>4.2061188485887326</v>
      </c>
      <c r="X321" s="12">
        <v>4.4005663720000001</v>
      </c>
      <c r="Y321" s="15">
        <v>10.009207139999999</v>
      </c>
      <c r="Z321" s="15">
        <v>1.7721100000000001</v>
      </c>
      <c r="AA321" s="15">
        <v>3.007063568</v>
      </c>
      <c r="AB321" s="12">
        <v>20.708634695738859</v>
      </c>
      <c r="AC321" s="12">
        <v>29.588308906187034</v>
      </c>
      <c r="AD321" s="12" t="s">
        <v>37</v>
      </c>
      <c r="AE321">
        <v>1</v>
      </c>
    </row>
    <row r="322" spans="1:31" ht="15" customHeight="1" x14ac:dyDescent="0.3">
      <c r="A322" s="12" t="s">
        <v>234</v>
      </c>
      <c r="B322" s="12">
        <v>100.32375144958498</v>
      </c>
      <c r="C322" s="12">
        <v>98.174373626708984</v>
      </c>
      <c r="D322" s="12">
        <v>47.574065923690789</v>
      </c>
      <c r="E322" s="12">
        <v>68.074814814814829</v>
      </c>
      <c r="F322" s="12">
        <v>-0.84750921651721012</v>
      </c>
      <c r="G322" s="12">
        <v>22.76902836081516</v>
      </c>
      <c r="H322" s="12">
        <v>6.1780580464983324E-2</v>
      </c>
      <c r="I322" s="12">
        <v>-0.42825463678066922</v>
      </c>
      <c r="J322" s="12">
        <v>-0.23795197942915067</v>
      </c>
      <c r="K322" s="12">
        <v>-0.79283448060353623</v>
      </c>
      <c r="L322" s="12">
        <v>-1.1174088716506954</v>
      </c>
      <c r="M322" s="12">
        <v>3700.7539349851231</v>
      </c>
      <c r="N322" s="12">
        <v>0.60308566555669585</v>
      </c>
      <c r="O322" s="12">
        <v>11.482845750075002</v>
      </c>
      <c r="P322" s="12">
        <v>39.454281663192369</v>
      </c>
      <c r="Q322" s="12">
        <v>18.646666666666665</v>
      </c>
      <c r="R322" s="12">
        <v>28.504468664119106</v>
      </c>
      <c r="S322" s="12">
        <v>11290.897938378812</v>
      </c>
      <c r="T322" s="15">
        <v>4.2178616959999999</v>
      </c>
      <c r="U322" s="12">
        <v>5.8442732409773246</v>
      </c>
      <c r="V322" s="12">
        <v>217334641847.621</v>
      </c>
      <c r="W322" s="12">
        <v>3.3109301726023355</v>
      </c>
      <c r="X322" s="12">
        <v>2.0676989840000002</v>
      </c>
      <c r="Y322" s="15">
        <v>3.9316214490000001</v>
      </c>
      <c r="Z322" s="15">
        <v>3.1525099999999999</v>
      </c>
      <c r="AA322" s="15">
        <v>5.4681621260000002</v>
      </c>
      <c r="AB322" s="12" t="s">
        <v>37</v>
      </c>
      <c r="AC322" s="12">
        <v>23.05402340784271</v>
      </c>
      <c r="AD322" s="12">
        <v>21.359850444037008</v>
      </c>
      <c r="AE322">
        <v>0</v>
      </c>
    </row>
    <row r="323" spans="1:31" ht="15" customHeight="1" x14ac:dyDescent="0.3">
      <c r="A323" s="12" t="s">
        <v>236</v>
      </c>
      <c r="B323" s="12">
        <v>100.19059063139419</v>
      </c>
      <c r="C323" s="12">
        <v>46.78774955055929</v>
      </c>
      <c r="D323" s="12">
        <v>9.9742713315146307</v>
      </c>
      <c r="E323" s="12">
        <v>58.783999999999999</v>
      </c>
      <c r="F323" s="12">
        <v>-0.97130940109491382</v>
      </c>
      <c r="G323" s="12">
        <v>18.87353316124744</v>
      </c>
      <c r="H323" s="12">
        <v>-1.1603822186589234</v>
      </c>
      <c r="I323" s="12">
        <v>-0.52603104958931612</v>
      </c>
      <c r="J323" s="12">
        <v>-0.30763713208337623</v>
      </c>
      <c r="K323" s="12">
        <v>-0.74646310756603851</v>
      </c>
      <c r="L323" s="12">
        <v>-0.32957086929430562</v>
      </c>
      <c r="M323" s="12">
        <v>1225.1438734929354</v>
      </c>
      <c r="N323" s="12">
        <v>2.6191499245197014</v>
      </c>
      <c r="O323" s="12">
        <v>14.633939567314467</v>
      </c>
      <c r="P323" s="12">
        <v>47.331507238054272</v>
      </c>
      <c r="Q323" s="12">
        <v>31.246666666666677</v>
      </c>
      <c r="R323" s="12">
        <v>35.677053162642224</v>
      </c>
      <c r="S323" s="12">
        <v>1754.5854803588891</v>
      </c>
      <c r="T323" s="15">
        <v>1.3391629009999999</v>
      </c>
      <c r="U323" s="12">
        <v>6.979915533583875</v>
      </c>
      <c r="V323" s="12">
        <v>91366521736.971436</v>
      </c>
      <c r="W323" s="12">
        <v>5.2349001494320948</v>
      </c>
      <c r="X323" s="12">
        <v>1.3689628199999999</v>
      </c>
      <c r="Y323" s="15">
        <v>12.84543882</v>
      </c>
      <c r="Z323" s="15">
        <v>2.9568300000000001</v>
      </c>
      <c r="AA323" s="15">
        <v>14.107802489999999</v>
      </c>
      <c r="AB323" s="12" t="s">
        <v>37</v>
      </c>
      <c r="AC323" s="12">
        <v>21.385586619378614</v>
      </c>
      <c r="AD323" s="12">
        <v>18.718208842683534</v>
      </c>
      <c r="AE323">
        <v>1</v>
      </c>
    </row>
    <row r="324" spans="1:31" ht="15" customHeight="1" x14ac:dyDescent="0.3">
      <c r="A324" s="12" t="s">
        <v>238</v>
      </c>
      <c r="B324" s="12">
        <v>106.06980690589317</v>
      </c>
      <c r="C324" s="12">
        <v>69.11802115807167</v>
      </c>
      <c r="D324" s="12" t="s">
        <v>37</v>
      </c>
      <c r="E324" s="12">
        <v>65.215666666666664</v>
      </c>
      <c r="F324" s="12">
        <v>0.20569992712453794</v>
      </c>
      <c r="G324" s="12">
        <v>22.416063238812953</v>
      </c>
      <c r="H324" s="12">
        <v>1.1655556380748746</v>
      </c>
      <c r="I324" s="12">
        <v>-0.40909064972871223</v>
      </c>
      <c r="J324" s="12">
        <v>-0.8800547013157296</v>
      </c>
      <c r="K324" s="12">
        <v>0.53873815728972374</v>
      </c>
      <c r="L324" s="12">
        <v>0.88543675350956663</v>
      </c>
      <c r="M324" s="12">
        <v>1397.1191167877753</v>
      </c>
      <c r="N324" s="12">
        <v>1.7537554860254447</v>
      </c>
      <c r="O324" s="12">
        <v>22.191032625066462</v>
      </c>
      <c r="P324" s="12">
        <v>34.755693496321953</v>
      </c>
      <c r="Q324" s="12">
        <v>23.820000000000004</v>
      </c>
      <c r="R324" s="12">
        <v>7.4461217497662684</v>
      </c>
      <c r="S324" s="12">
        <v>1433.5163212841601</v>
      </c>
      <c r="T324" s="15">
        <v>9.5297412940000006E-2</v>
      </c>
      <c r="U324" s="12">
        <v>22.411040273338987</v>
      </c>
      <c r="V324" s="12">
        <v>8908103.4636363629</v>
      </c>
      <c r="W324" s="12">
        <v>12.918418804804482</v>
      </c>
      <c r="X324" s="12">
        <v>9.1987501100000006</v>
      </c>
      <c r="Y324" s="15">
        <v>14.628376210000001</v>
      </c>
      <c r="Z324" s="15">
        <v>5.0605700000000002</v>
      </c>
      <c r="AA324" s="15">
        <v>10.060152090000001</v>
      </c>
      <c r="AB324" s="12" t="s">
        <v>37</v>
      </c>
      <c r="AC324" s="12" t="s">
        <v>37</v>
      </c>
      <c r="AD324" s="12" t="s">
        <v>37</v>
      </c>
      <c r="AE324">
        <v>1</v>
      </c>
    </row>
    <row r="325" spans="1:31" ht="15" customHeight="1" x14ac:dyDescent="0.3">
      <c r="A325" s="12" t="s">
        <v>240</v>
      </c>
      <c r="B325" s="12">
        <v>98.094894409179801</v>
      </c>
      <c r="C325" s="12">
        <v>95.956962585449205</v>
      </c>
      <c r="D325" s="12">
        <v>28.961044788360624</v>
      </c>
      <c r="E325" s="12">
        <v>68.200740740740756</v>
      </c>
      <c r="F325" s="12">
        <v>-1.4002752651770898</v>
      </c>
      <c r="G325" s="12" t="s">
        <v>37</v>
      </c>
      <c r="H325" s="12">
        <v>-0.23467593100698012</v>
      </c>
      <c r="I325" s="12">
        <v>-1.7597419172525413</v>
      </c>
      <c r="J325" s="12">
        <v>-2.3052962174018226</v>
      </c>
      <c r="K325" s="12">
        <v>-1.4122572988271711</v>
      </c>
      <c r="L325" s="12">
        <v>-2.1712116152048115</v>
      </c>
      <c r="M325" s="12" t="s">
        <v>37</v>
      </c>
      <c r="N325" s="12">
        <v>0.59704268499185587</v>
      </c>
      <c r="O325" s="12" t="s">
        <v>37</v>
      </c>
      <c r="P325" s="12" t="s">
        <v>37</v>
      </c>
      <c r="Q325" s="12" t="s">
        <v>37</v>
      </c>
      <c r="R325" s="12" t="s">
        <v>37</v>
      </c>
      <c r="S325" s="12" t="s">
        <v>37</v>
      </c>
      <c r="T325" s="15" t="s">
        <v>37</v>
      </c>
      <c r="U325" s="12" t="s">
        <v>37</v>
      </c>
      <c r="V325" s="12" t="s">
        <v>37</v>
      </c>
      <c r="W325" s="12" t="s">
        <v>37</v>
      </c>
      <c r="X325" s="12" t="s">
        <v>37</v>
      </c>
      <c r="Y325" s="15" t="s">
        <v>37</v>
      </c>
      <c r="Z325" s="15" t="s">
        <v>37</v>
      </c>
      <c r="AA325" s="15" t="s">
        <v>37</v>
      </c>
      <c r="AB325" s="12" t="s">
        <v>37</v>
      </c>
      <c r="AC325" s="12" t="s">
        <v>37</v>
      </c>
      <c r="AD325" s="12" t="s">
        <v>37</v>
      </c>
      <c r="AE325">
        <v>1</v>
      </c>
    </row>
    <row r="326" spans="1:31" ht="15" customHeight="1" x14ac:dyDescent="0.3">
      <c r="A326" s="12" t="s">
        <v>242</v>
      </c>
      <c r="B326" s="12">
        <v>100.20867270010491</v>
      </c>
      <c r="C326" s="12">
        <v>97.351785447862426</v>
      </c>
      <c r="D326" s="12">
        <v>88.101232458043995</v>
      </c>
      <c r="E326" s="12">
        <v>79.129990966576315</v>
      </c>
      <c r="F326" s="12">
        <v>0.49648819739619893</v>
      </c>
      <c r="G326" s="12">
        <v>31.178433889242104</v>
      </c>
      <c r="H326" s="12">
        <v>0.40719812673827011</v>
      </c>
      <c r="I326" s="12">
        <v>0.99640728657444289</v>
      </c>
      <c r="J326" s="12">
        <v>0.88390389581521334</v>
      </c>
      <c r="K326" s="12">
        <v>0.9835470591982215</v>
      </c>
      <c r="L326" s="12">
        <v>0.72618436565001809</v>
      </c>
      <c r="M326" s="12">
        <v>13411.111917015754</v>
      </c>
      <c r="N326" s="12">
        <v>0.54689110023916798</v>
      </c>
      <c r="O326" s="12">
        <v>13.86915463005411</v>
      </c>
      <c r="P326" s="12">
        <v>44.3214857253191</v>
      </c>
      <c r="Q326" s="12">
        <v>18.513333333333328</v>
      </c>
      <c r="R326" s="12">
        <v>27.85821394344093</v>
      </c>
      <c r="S326" s="12">
        <v>33719.386420329982</v>
      </c>
      <c r="T326" s="15">
        <v>3.47374808</v>
      </c>
      <c r="U326" s="12">
        <v>5.1555508220157318</v>
      </c>
      <c r="V326" s="12">
        <v>7507491782046.9258</v>
      </c>
      <c r="W326" s="12">
        <v>4.0158223889090801</v>
      </c>
      <c r="X326" s="12">
        <v>3.3808640240000001</v>
      </c>
      <c r="Y326" s="15">
        <v>5.5612119379999996</v>
      </c>
      <c r="Z326" s="15">
        <v>0.61187000000000002</v>
      </c>
      <c r="AA326" s="15">
        <v>6.4801826790000003</v>
      </c>
      <c r="AB326" s="12">
        <v>12.99209499190826</v>
      </c>
      <c r="AC326" s="12">
        <v>37.117862059622581</v>
      </c>
      <c r="AD326" s="12">
        <v>32.169340188629349</v>
      </c>
      <c r="AE326">
        <v>0</v>
      </c>
    </row>
    <row r="327" spans="1:31" ht="15" customHeight="1" x14ac:dyDescent="0.3">
      <c r="A327" s="12" t="s">
        <v>244</v>
      </c>
      <c r="B327" s="12" t="s">
        <v>37</v>
      </c>
      <c r="C327" s="12" t="s">
        <v>37</v>
      </c>
      <c r="D327" s="12" t="s">
        <v>37</v>
      </c>
      <c r="E327" s="12">
        <v>76.078666666666649</v>
      </c>
      <c r="F327" s="12">
        <v>-0.4441942572593689</v>
      </c>
      <c r="G327" s="12">
        <v>30.264500035644552</v>
      </c>
      <c r="H327" s="12">
        <v>-0.35933259973923376</v>
      </c>
      <c r="I327" s="12">
        <v>-0.35713436235399798</v>
      </c>
      <c r="J327" s="12">
        <v>-0.17344415350817144</v>
      </c>
      <c r="K327" s="12">
        <v>-0.50787907923487097</v>
      </c>
      <c r="L327" s="12">
        <v>-0.35265871354689177</v>
      </c>
      <c r="M327" s="12" t="s">
        <v>37</v>
      </c>
      <c r="N327" s="12">
        <v>-0.41350479855544314</v>
      </c>
      <c r="O327" s="12" t="s">
        <v>37</v>
      </c>
      <c r="P327" s="12" t="s">
        <v>37</v>
      </c>
      <c r="Q327" s="12">
        <v>10.463636363636361</v>
      </c>
      <c r="R327" s="12" t="s">
        <v>37</v>
      </c>
      <c r="S327" s="12">
        <v>4724.7905473148576</v>
      </c>
      <c r="T327" s="15" t="s">
        <v>37</v>
      </c>
      <c r="U327" s="12" t="s">
        <v>37</v>
      </c>
      <c r="V327" s="12" t="s">
        <v>37</v>
      </c>
      <c r="W327" s="12" t="s">
        <v>37</v>
      </c>
      <c r="X327" s="12" t="s">
        <v>37</v>
      </c>
      <c r="Y327" s="15" t="s">
        <v>37</v>
      </c>
      <c r="Z327" s="15" t="s">
        <v>37</v>
      </c>
      <c r="AA327" s="15" t="s">
        <v>37</v>
      </c>
      <c r="AB327" s="12" t="s">
        <v>37</v>
      </c>
      <c r="AC327" s="12" t="s">
        <v>37</v>
      </c>
      <c r="AD327" s="12">
        <v>32.357673756909691</v>
      </c>
      <c r="AE327">
        <v>1</v>
      </c>
    </row>
    <row r="328" spans="1:31" ht="15" customHeight="1" x14ac:dyDescent="0.3">
      <c r="A328" s="12" t="s">
        <v>246</v>
      </c>
      <c r="B328" s="12">
        <v>100.57349868047807</v>
      </c>
      <c r="C328" s="12">
        <v>94.740741729736342</v>
      </c>
      <c r="D328" s="12">
        <v>37.932744622230516</v>
      </c>
      <c r="E328" s="12">
        <v>77.677185185185166</v>
      </c>
      <c r="F328" s="12">
        <v>0.18583047700424982</v>
      </c>
      <c r="G328" s="12" t="s">
        <v>37</v>
      </c>
      <c r="H328" s="12">
        <v>0.25011353862161445</v>
      </c>
      <c r="I328" s="12">
        <v>-7.3231564504871146E-3</v>
      </c>
      <c r="J328" s="12">
        <v>0.13075710821431127</v>
      </c>
      <c r="K328" s="12">
        <v>0.39026931991490216</v>
      </c>
      <c r="L328" s="12">
        <v>-0.53374582591156161</v>
      </c>
      <c r="M328" s="12">
        <v>33683.480041353323</v>
      </c>
      <c r="N328" s="12">
        <v>3.5243533382403625</v>
      </c>
      <c r="O328" s="12">
        <v>1.1941950832837578</v>
      </c>
      <c r="P328" s="12">
        <v>20.802646971318374</v>
      </c>
      <c r="Q328" s="12">
        <v>0</v>
      </c>
      <c r="R328" s="12">
        <v>0.62641063241838257</v>
      </c>
      <c r="S328" s="12">
        <v>26913.801155184417</v>
      </c>
      <c r="T328" s="15">
        <v>-0.82755050090000004</v>
      </c>
      <c r="U328" s="12">
        <v>74.051046785464493</v>
      </c>
      <c r="V328" s="12">
        <v>75750000</v>
      </c>
      <c r="W328" s="12">
        <v>5.4779827892780286</v>
      </c>
      <c r="X328" s="12">
        <v>2.6594926000000001</v>
      </c>
      <c r="Y328" s="15">
        <v>3.4998175390000001E-3</v>
      </c>
      <c r="Z328" s="15">
        <v>0.26511000000000001</v>
      </c>
      <c r="AA328" s="15">
        <v>7.5246077080000001E-2</v>
      </c>
      <c r="AB328" s="12">
        <v>1.14618124453099</v>
      </c>
      <c r="AC328" s="12" t="s">
        <v>37</v>
      </c>
      <c r="AD328" s="12" t="s">
        <v>37</v>
      </c>
      <c r="AE328">
        <v>0</v>
      </c>
    </row>
    <row r="329" spans="1:31" ht="15" customHeight="1" x14ac:dyDescent="0.3">
      <c r="A329" s="12" t="s">
        <v>248</v>
      </c>
      <c r="B329" s="12">
        <v>97.550017493111795</v>
      </c>
      <c r="C329" s="12">
        <v>86.809117126464841</v>
      </c>
      <c r="D329" s="12">
        <v>39.586844035557341</v>
      </c>
      <c r="E329" s="12">
        <v>69.143631436314379</v>
      </c>
      <c r="F329" s="12">
        <v>-1.1399038881063459</v>
      </c>
      <c r="G329" s="12">
        <v>23.087639427259731</v>
      </c>
      <c r="H329" s="12">
        <v>-0.7120812752594553</v>
      </c>
      <c r="I329" s="12">
        <v>-0.70555558552344644</v>
      </c>
      <c r="J329" s="12">
        <v>-0.40942759253084637</v>
      </c>
      <c r="K329" s="12">
        <v>-1.0422014221549032</v>
      </c>
      <c r="L329" s="12">
        <v>-0.73543086275458336</v>
      </c>
      <c r="M329" s="12">
        <v>587.30513492405953</v>
      </c>
      <c r="N329" s="12">
        <v>1.5021327462796348</v>
      </c>
      <c r="O329" s="12">
        <v>16.604507342448603</v>
      </c>
      <c r="P329" s="12">
        <v>19.898566448010733</v>
      </c>
      <c r="Q329" s="12">
        <v>5.6666666666666679</v>
      </c>
      <c r="R329" s="12">
        <v>11.072688258034805</v>
      </c>
      <c r="S329" s="12">
        <v>1182.9117160593239</v>
      </c>
      <c r="T329" s="15">
        <v>2.627213759</v>
      </c>
      <c r="U329" s="12">
        <v>17.314149160180797</v>
      </c>
      <c r="V329" s="12">
        <v>16142537510.56625</v>
      </c>
      <c r="W329" s="12">
        <v>5.6449289586808948</v>
      </c>
      <c r="X329" s="12">
        <v>2.909962052</v>
      </c>
      <c r="Y329" s="15">
        <v>20.203565019999999</v>
      </c>
      <c r="Z329" s="15">
        <v>6.0229999999999997</v>
      </c>
      <c r="AA329" s="15">
        <v>6.4594566249999996</v>
      </c>
      <c r="AB329" s="12" t="s">
        <v>37</v>
      </c>
      <c r="AC329" s="12">
        <v>20.377699735523471</v>
      </c>
      <c r="AD329" s="12" t="s">
        <v>37</v>
      </c>
      <c r="AE329">
        <v>1</v>
      </c>
    </row>
    <row r="330" spans="1:31" ht="15" customHeight="1" x14ac:dyDescent="0.3">
      <c r="A330" s="12" t="s">
        <v>250</v>
      </c>
      <c r="B330" s="12">
        <v>110.86483165196022</v>
      </c>
      <c r="C330" s="12">
        <v>46.881615434374133</v>
      </c>
      <c r="D330" s="12">
        <v>10.471220820038408</v>
      </c>
      <c r="E330" s="12">
        <v>62.72551851851852</v>
      </c>
      <c r="F330" s="12">
        <v>-1.0193041438857715</v>
      </c>
      <c r="G330" s="12">
        <v>28.625488549770658</v>
      </c>
      <c r="H330" s="12">
        <v>6.7747636775796594E-2</v>
      </c>
      <c r="I330" s="12">
        <v>-0.76467206701636303</v>
      </c>
      <c r="J330" s="12">
        <v>-1.0258893743157387</v>
      </c>
      <c r="K330" s="12">
        <v>-0.96538259834051132</v>
      </c>
      <c r="L330" s="12">
        <v>-1.6541724403699247</v>
      </c>
      <c r="M330" s="12">
        <v>749.53540723195727</v>
      </c>
      <c r="N330" s="12">
        <v>1.6095909762317917</v>
      </c>
      <c r="O330" s="12" t="s">
        <v>37</v>
      </c>
      <c r="P330" s="12" t="s">
        <v>37</v>
      </c>
      <c r="Q330" s="12">
        <v>21.606666666666666</v>
      </c>
      <c r="R330" s="12" t="s">
        <v>37</v>
      </c>
      <c r="S330" s="12">
        <v>2599.2050789229515</v>
      </c>
      <c r="T330" s="15">
        <v>4.7132869619999997</v>
      </c>
      <c r="U330" s="12" t="s">
        <v>37</v>
      </c>
      <c r="V330" s="12" t="s">
        <v>37</v>
      </c>
      <c r="W330" s="12">
        <v>2.2801408916711807</v>
      </c>
      <c r="X330" s="12">
        <v>0.83604524000000002</v>
      </c>
      <c r="Y330" s="15" t="s">
        <v>37</v>
      </c>
      <c r="Z330" s="15" t="s">
        <v>37</v>
      </c>
      <c r="AA330" s="15" t="s">
        <v>37</v>
      </c>
      <c r="AB330" s="12" t="s">
        <v>37</v>
      </c>
      <c r="AC330" s="12" t="s">
        <v>37</v>
      </c>
      <c r="AD330" s="12" t="s">
        <v>37</v>
      </c>
      <c r="AE330">
        <v>1</v>
      </c>
    </row>
    <row r="331" spans="1:31" ht="15" customHeight="1" x14ac:dyDescent="0.3">
      <c r="A331" s="12" t="s">
        <v>252</v>
      </c>
      <c r="B331" s="12">
        <v>100.73613908555772</v>
      </c>
      <c r="C331" s="12">
        <v>100.78542808250147</v>
      </c>
      <c r="D331" s="12">
        <v>67.938563806039312</v>
      </c>
      <c r="E331" s="12">
        <v>72.170966576332432</v>
      </c>
      <c r="F331" s="12">
        <v>0.31132767240827292</v>
      </c>
      <c r="G331" s="12">
        <v>23.880241960464776</v>
      </c>
      <c r="H331" s="12">
        <v>0.52169235392163193</v>
      </c>
      <c r="I331" s="12">
        <v>0.6950732761373124</v>
      </c>
      <c r="J331" s="12">
        <v>1.0050638988614071</v>
      </c>
      <c r="K331" s="12">
        <v>0.69246972538530827</v>
      </c>
      <c r="L331" s="12">
        <v>0.81034144262472785</v>
      </c>
      <c r="M331" s="12">
        <v>4969.8230798582545</v>
      </c>
      <c r="N331" s="12">
        <v>-1.0773928717180661</v>
      </c>
      <c r="O331" s="12">
        <v>21.318792506109911</v>
      </c>
      <c r="P331" s="12">
        <v>19.008797329872873</v>
      </c>
      <c r="Q331" s="12">
        <v>6.2733333333333325</v>
      </c>
      <c r="R331" s="12">
        <v>9.9760837237310209</v>
      </c>
      <c r="S331" s="12">
        <v>17081.342782080308</v>
      </c>
      <c r="T331" s="15">
        <v>4.6787573609999997</v>
      </c>
      <c r="U331" s="12">
        <v>1.1788395742331759</v>
      </c>
      <c r="V331" s="12">
        <v>20010130.847291708</v>
      </c>
      <c r="W331" s="12">
        <v>5.2220532710735617</v>
      </c>
      <c r="X331" s="12">
        <v>3.3986726620000001</v>
      </c>
      <c r="Y331" s="15">
        <v>16.702384760000001</v>
      </c>
      <c r="Z331" s="15">
        <v>0.11087</v>
      </c>
      <c r="AA331" s="15">
        <v>3.7549611650000001</v>
      </c>
      <c r="AB331" s="12">
        <v>19.343070696600105</v>
      </c>
      <c r="AC331" s="12">
        <v>14.182094268103388</v>
      </c>
      <c r="AD331" s="12">
        <v>21.745772861290451</v>
      </c>
      <c r="AE331">
        <v>0</v>
      </c>
    </row>
    <row r="332" spans="1:31" ht="15" customHeight="1" x14ac:dyDescent="0.3">
      <c r="A332" s="12" t="s">
        <v>254</v>
      </c>
      <c r="B332" s="12">
        <v>80.667577743530273</v>
      </c>
      <c r="C332" s="12">
        <v>57.516007423400879</v>
      </c>
      <c r="D332" s="12">
        <v>41.125386962890623</v>
      </c>
      <c r="E332" s="12">
        <v>76.537518518518539</v>
      </c>
      <c r="F332" s="12">
        <v>-0.86857515697677901</v>
      </c>
      <c r="G332" s="12">
        <v>22.999749966354667</v>
      </c>
      <c r="H332" s="12">
        <v>-1.3663432933390138</v>
      </c>
      <c r="I332" s="12">
        <v>-0.40482562423373247</v>
      </c>
      <c r="J332" s="12">
        <v>-0.36918529068740685</v>
      </c>
      <c r="K332" s="12">
        <v>-0.62471440682808554</v>
      </c>
      <c r="L332" s="12">
        <v>-0.45234618460138631</v>
      </c>
      <c r="M332" s="12">
        <v>5543.7591592878616</v>
      </c>
      <c r="N332" s="12">
        <v>1.3463626495826189</v>
      </c>
      <c r="O332" s="12">
        <v>14.027689285241834</v>
      </c>
      <c r="P332" s="12">
        <v>23.272661304142794</v>
      </c>
      <c r="Q332" s="12">
        <v>7.2266666666666657</v>
      </c>
      <c r="R332" s="12">
        <v>17.404358635705254</v>
      </c>
      <c r="S332" s="12" t="s">
        <v>37</v>
      </c>
      <c r="T332" s="15" t="s">
        <v>37</v>
      </c>
      <c r="U332" s="12">
        <v>15.124388060451235</v>
      </c>
      <c r="V332" s="12">
        <v>793922640000</v>
      </c>
      <c r="W332" s="12">
        <v>2.2655033563312741</v>
      </c>
      <c r="X332" s="12">
        <v>3.2438348600000002</v>
      </c>
      <c r="Y332" s="15">
        <v>6.9494993970000003</v>
      </c>
      <c r="Z332" s="15">
        <v>1.3628100000000001</v>
      </c>
      <c r="AA332" s="15">
        <v>3.4697852509999998</v>
      </c>
      <c r="AB332" s="12" t="s">
        <v>37</v>
      </c>
      <c r="AC332" s="12">
        <v>36.455083642191056</v>
      </c>
      <c r="AD332" s="12" t="s">
        <v>37</v>
      </c>
      <c r="AE332">
        <v>0</v>
      </c>
    </row>
    <row r="333" spans="1:31" ht="15" customHeight="1" x14ac:dyDescent="0.3">
      <c r="A333" s="12" t="s">
        <v>256</v>
      </c>
      <c r="B333" s="12">
        <v>113.47210328475286</v>
      </c>
      <c r="C333" s="12">
        <v>42.414205385291041</v>
      </c>
      <c r="D333" s="12">
        <v>5.6414840300877866</v>
      </c>
      <c r="E333" s="12">
        <v>49.060851851851844</v>
      </c>
      <c r="F333" s="12">
        <v>-2.6897230961670428E-2</v>
      </c>
      <c r="G333" s="12">
        <v>27.843957082687886</v>
      </c>
      <c r="H333" s="12">
        <v>-2.6369732280727472E-2</v>
      </c>
      <c r="I333" s="12">
        <v>-0.51168522316341603</v>
      </c>
      <c r="J333" s="12">
        <v>-0.5354123072077831</v>
      </c>
      <c r="K333" s="12">
        <v>-0.2049647131934762</v>
      </c>
      <c r="L333" s="12">
        <v>-5.3251805370867621E-2</v>
      </c>
      <c r="M333" s="12">
        <v>647.51837833304194</v>
      </c>
      <c r="N333" s="12">
        <v>0.65693943619494788</v>
      </c>
      <c r="O333" s="12">
        <v>31.275861077205729</v>
      </c>
      <c r="P333" s="12">
        <v>32.480012178921484</v>
      </c>
      <c r="Q333" s="12">
        <v>11.780000000000003</v>
      </c>
      <c r="R333" s="12">
        <v>20.443468546244866</v>
      </c>
      <c r="S333" s="12">
        <v>950.64878423582252</v>
      </c>
      <c r="T333" s="15">
        <v>1.4323745480000001</v>
      </c>
      <c r="U333" s="12">
        <v>21.471047484319062</v>
      </c>
      <c r="V333" s="12">
        <v>1142183698.7231784</v>
      </c>
      <c r="W333" s="12">
        <v>9.2373882998590897</v>
      </c>
      <c r="X333" s="12">
        <v>4.5007797309999997</v>
      </c>
      <c r="Y333" s="15">
        <v>15.153745410000001</v>
      </c>
      <c r="Z333" s="15">
        <v>6.4386299999999999</v>
      </c>
      <c r="AA333" s="15">
        <v>11.120534040000001</v>
      </c>
      <c r="AB333" s="12">
        <v>28.750497175982957</v>
      </c>
      <c r="AC333" s="12" t="s">
        <v>37</v>
      </c>
      <c r="AD333" s="12">
        <v>28.710320933953952</v>
      </c>
      <c r="AE333">
        <v>1</v>
      </c>
    </row>
    <row r="334" spans="1:31" ht="15" customHeight="1" x14ac:dyDescent="0.3">
      <c r="A334" s="12" t="s">
        <v>258</v>
      </c>
      <c r="B334" s="12">
        <v>89.940446217854813</v>
      </c>
      <c r="C334" s="12">
        <v>36.9367322921753</v>
      </c>
      <c r="D334" s="12">
        <v>11.55355513095855</v>
      </c>
      <c r="E334" s="12">
        <v>56.095185185185201</v>
      </c>
      <c r="F334" s="12">
        <v>-0.89500171815355678</v>
      </c>
      <c r="G334" s="12" t="s">
        <v>37</v>
      </c>
      <c r="H334" s="12">
        <v>-0.98383616407712282</v>
      </c>
      <c r="I334" s="12">
        <v>-1.3839753568172455</v>
      </c>
      <c r="J334" s="12">
        <v>-1.2385767549276361</v>
      </c>
      <c r="K334" s="12">
        <v>-1.1574315552910168</v>
      </c>
      <c r="L334" s="12">
        <v>-0.43272152744854492</v>
      </c>
      <c r="M334" s="12" t="s">
        <v>37</v>
      </c>
      <c r="N334" s="12">
        <v>3.3093581295736407</v>
      </c>
      <c r="O334" s="12">
        <v>10.338528620164778</v>
      </c>
      <c r="P334" s="12">
        <v>34.726004886359554</v>
      </c>
      <c r="Q334" s="12">
        <v>16.657142857142858</v>
      </c>
      <c r="R334" s="12" t="s">
        <v>37</v>
      </c>
      <c r="S334" s="12">
        <v>646.50115989373785</v>
      </c>
      <c r="T334" s="15" t="s">
        <v>37</v>
      </c>
      <c r="U334" s="12">
        <v>41.888118037075365</v>
      </c>
      <c r="V334" s="12">
        <v>85592198.210000008</v>
      </c>
      <c r="W334" s="12">
        <v>2.2107318937778482</v>
      </c>
      <c r="X334" s="12">
        <v>0.98423311700000005</v>
      </c>
      <c r="Y334" s="15">
        <v>1.7488959639999999</v>
      </c>
      <c r="Z334" s="15">
        <v>3.9715600000000002</v>
      </c>
      <c r="AA334" s="15">
        <v>3.3539341619999998</v>
      </c>
      <c r="AB334" s="12" t="s">
        <v>37</v>
      </c>
      <c r="AC334" s="12" t="s">
        <v>37</v>
      </c>
      <c r="AD334" s="12" t="s">
        <v>37</v>
      </c>
      <c r="AE334">
        <v>1</v>
      </c>
    </row>
    <row r="335" spans="1:31" ht="15" customHeight="1" x14ac:dyDescent="0.3">
      <c r="A335" s="12" t="s">
        <v>260</v>
      </c>
      <c r="B335" s="12">
        <v>107.27628544398742</v>
      </c>
      <c r="C335" s="12">
        <v>102.10865783691406</v>
      </c>
      <c r="D335" s="12">
        <v>57.856650543212901</v>
      </c>
      <c r="E335" s="12">
        <v>71.65666666666668</v>
      </c>
      <c r="F335" s="12">
        <v>-1.2480202292402593</v>
      </c>
      <c r="G335" s="12">
        <v>16.24493316019629</v>
      </c>
      <c r="H335" s="12">
        <v>-1.0144827640615404</v>
      </c>
      <c r="I335" s="12">
        <v>-1.3003858178853986</v>
      </c>
      <c r="J335" s="12">
        <v>-1.7426294386386874</v>
      </c>
      <c r="K335" s="12">
        <v>-1.2751628458499904</v>
      </c>
      <c r="L335" s="12">
        <v>-1.5763709371288614</v>
      </c>
      <c r="M335" s="12" t="s">
        <v>37</v>
      </c>
      <c r="N335" s="12">
        <v>1.3791307402481967</v>
      </c>
      <c r="O335" s="12" t="s">
        <v>37</v>
      </c>
      <c r="P335" s="12" t="s">
        <v>37</v>
      </c>
      <c r="Q335" s="12">
        <v>22.099999999999998</v>
      </c>
      <c r="R335" s="12" t="s">
        <v>37</v>
      </c>
      <c r="S335" s="12">
        <v>8150.6317134209967</v>
      </c>
      <c r="T335" s="15" t="s">
        <v>37</v>
      </c>
      <c r="U335" s="12" t="s">
        <v>37</v>
      </c>
      <c r="V335" s="12" t="s">
        <v>37</v>
      </c>
      <c r="W335" s="12">
        <v>2.2641699314117401</v>
      </c>
      <c r="X335" s="12">
        <v>2.3480037440000001</v>
      </c>
      <c r="Y335" s="15" t="s">
        <v>37</v>
      </c>
      <c r="Z335" s="15" t="s">
        <v>37</v>
      </c>
      <c r="AA335" s="15" t="s">
        <v>37</v>
      </c>
      <c r="AB335" s="12" t="s">
        <v>37</v>
      </c>
      <c r="AC335" s="12">
        <v>11.657303370786517</v>
      </c>
      <c r="AD335" s="12" t="s">
        <v>37</v>
      </c>
      <c r="AE335">
        <v>0</v>
      </c>
    </row>
    <row r="336" spans="1:31" ht="15" customHeight="1" x14ac:dyDescent="0.3">
      <c r="A336" s="12" t="s">
        <v>262</v>
      </c>
      <c r="B336" s="12">
        <v>105.71030680338551</v>
      </c>
      <c r="C336" s="12">
        <v>112.66862954033732</v>
      </c>
      <c r="D336" s="12">
        <v>35.32705232832167</v>
      </c>
      <c r="E336" s="12">
        <v>80.887804878048783</v>
      </c>
      <c r="F336" s="12">
        <v>1.6242544998725246</v>
      </c>
      <c r="G336" s="12" t="s">
        <v>37</v>
      </c>
      <c r="H336" s="12">
        <v>1.4308672149976094</v>
      </c>
      <c r="I336" s="12">
        <v>1.6853953947623561</v>
      </c>
      <c r="J336" s="12">
        <v>1.5082093477249148</v>
      </c>
      <c r="K336" s="12">
        <v>1.5087001025676718</v>
      </c>
      <c r="L336" s="12">
        <v>1.4042878101269409</v>
      </c>
      <c r="M336" s="12" t="s">
        <v>37</v>
      </c>
      <c r="N336" s="12">
        <v>0.92064325677014525</v>
      </c>
      <c r="O336" s="12" t="s">
        <v>37</v>
      </c>
      <c r="P336" s="12" t="s">
        <v>37</v>
      </c>
      <c r="Q336" s="12">
        <v>6.4</v>
      </c>
      <c r="R336" s="12" t="s">
        <v>37</v>
      </c>
      <c r="S336" s="12" t="s">
        <v>37</v>
      </c>
      <c r="T336" s="15" t="s">
        <v>37</v>
      </c>
      <c r="U336" s="12" t="s">
        <v>37</v>
      </c>
      <c r="V336" s="12" t="s">
        <v>37</v>
      </c>
      <c r="W336" s="12">
        <v>2.2454799811045336</v>
      </c>
      <c r="X336" s="12" t="s">
        <v>37</v>
      </c>
      <c r="Y336" s="15" t="s">
        <v>37</v>
      </c>
      <c r="Z336" s="15" t="s">
        <v>37</v>
      </c>
      <c r="AA336" s="15" t="s">
        <v>37</v>
      </c>
      <c r="AB336" s="12" t="s">
        <v>37</v>
      </c>
      <c r="AC336" s="12" t="s">
        <v>37</v>
      </c>
      <c r="AD336" s="12" t="s">
        <v>37</v>
      </c>
      <c r="AE336">
        <v>0</v>
      </c>
    </row>
    <row r="337" spans="1:31" ht="15" customHeight="1" x14ac:dyDescent="0.3">
      <c r="A337" s="12" t="s">
        <v>264</v>
      </c>
      <c r="B337" s="12">
        <v>101.5612552784107</v>
      </c>
      <c r="C337" s="12">
        <v>102.23723234953705</v>
      </c>
      <c r="D337" s="12">
        <v>66.606564910323527</v>
      </c>
      <c r="E337" s="12">
        <v>72.781174345076792</v>
      </c>
      <c r="F337" s="12">
        <v>0.42700938259561855</v>
      </c>
      <c r="G337" s="12">
        <v>21.15884818455373</v>
      </c>
      <c r="H337" s="12">
        <v>0.75135813777645444</v>
      </c>
      <c r="I337" s="12">
        <v>0.76999984029680479</v>
      </c>
      <c r="J337" s="12">
        <v>1.0649550358454378</v>
      </c>
      <c r="K337" s="12">
        <v>0.75536558032035817</v>
      </c>
      <c r="L337" s="12">
        <v>0.93508349855740869</v>
      </c>
      <c r="M337" s="12">
        <v>4936.0202154344042</v>
      </c>
      <c r="N337" s="12">
        <v>-0.98801296213262402</v>
      </c>
      <c r="O337" s="12">
        <v>18.775396870507638</v>
      </c>
      <c r="P337" s="12">
        <v>38.459960912546663</v>
      </c>
      <c r="Q337" s="12">
        <v>6.4666666666666686</v>
      </c>
      <c r="R337" s="17">
        <v>22.07792728566039</v>
      </c>
      <c r="S337" s="12">
        <v>18535.07796634781</v>
      </c>
      <c r="T337" s="15">
        <v>5.0224460649999996</v>
      </c>
      <c r="U337" s="12">
        <v>2.0844803393033509</v>
      </c>
      <c r="V337" s="12">
        <v>51157300</v>
      </c>
      <c r="W337" s="12">
        <v>4.883071395067069</v>
      </c>
      <c r="X337" s="12">
        <v>4.2940780319999998</v>
      </c>
      <c r="Y337" s="15">
        <v>10.638057249999999</v>
      </c>
      <c r="Z337" s="15">
        <v>0.17527999999999999</v>
      </c>
      <c r="AA337" s="15">
        <v>6.7384020509999996</v>
      </c>
      <c r="AB337" s="12">
        <v>19.824546890876793</v>
      </c>
      <c r="AC337" s="12">
        <v>20.374184344307011</v>
      </c>
      <c r="AD337" s="12">
        <v>21.412946370084498</v>
      </c>
      <c r="AE337">
        <v>0</v>
      </c>
    </row>
    <row r="338" spans="1:31" ht="15" customHeight="1" x14ac:dyDescent="0.3">
      <c r="A338" s="12" t="s">
        <v>266</v>
      </c>
      <c r="B338" s="12">
        <v>97.815684685340301</v>
      </c>
      <c r="C338" s="12">
        <v>98.354341066800615</v>
      </c>
      <c r="D338" s="12">
        <v>14.249655485153198</v>
      </c>
      <c r="E338" s="12">
        <v>79.941915085817541</v>
      </c>
      <c r="F338" s="12">
        <v>1.9626921365658452</v>
      </c>
      <c r="G338" s="12">
        <v>19.235362615274997</v>
      </c>
      <c r="H338" s="12">
        <v>1.377557923396429</v>
      </c>
      <c r="I338" s="12">
        <v>1.7446655283371608</v>
      </c>
      <c r="J338" s="12">
        <v>1.7344460984071104</v>
      </c>
      <c r="K338" s="12">
        <v>1.787353500723839</v>
      </c>
      <c r="L338" s="12">
        <v>1.5462421923875818</v>
      </c>
      <c r="M338" s="12">
        <v>74896.096578804631</v>
      </c>
      <c r="N338" s="12">
        <v>1.7141397442417372</v>
      </c>
      <c r="O338" s="12">
        <v>24.727746665070658</v>
      </c>
      <c r="P338" s="12">
        <v>48.064452470347938</v>
      </c>
      <c r="Q338" s="12">
        <v>4.3214285714285721</v>
      </c>
      <c r="R338" s="12">
        <v>29.535710603161196</v>
      </c>
      <c r="S338" s="12">
        <v>109714.92431612939</v>
      </c>
      <c r="T338" s="15">
        <v>1.4240579040000001</v>
      </c>
      <c r="U338" s="12" t="s">
        <v>37</v>
      </c>
      <c r="V338" s="12" t="s">
        <v>37</v>
      </c>
      <c r="W338" s="12">
        <v>4.1672906080881758</v>
      </c>
      <c r="X338" s="12">
        <v>5.0912098449999998</v>
      </c>
      <c r="Y338" s="15">
        <v>11.345858720000001</v>
      </c>
      <c r="Z338" s="15" t="s">
        <v>37</v>
      </c>
      <c r="AA338" s="15">
        <v>11.63025112</v>
      </c>
      <c r="AB338" s="12">
        <v>24.47322706915562</v>
      </c>
      <c r="AC338" s="12">
        <v>21.152842810966625</v>
      </c>
      <c r="AD338" s="12">
        <v>17.514789304647294</v>
      </c>
      <c r="AE338">
        <v>0</v>
      </c>
    </row>
    <row r="339" spans="1:31" ht="15" customHeight="1" x14ac:dyDescent="0.3">
      <c r="A339" s="12" t="s">
        <v>268</v>
      </c>
      <c r="B339" s="12">
        <v>100.80884234110509</v>
      </c>
      <c r="C339" s="12">
        <v>92.75400002797447</v>
      </c>
      <c r="D339" s="12">
        <v>64.177425231933597</v>
      </c>
      <c r="E339" s="12">
        <v>82.616740740740752</v>
      </c>
      <c r="F339" s="12">
        <v>0.57299521472305059</v>
      </c>
      <c r="G339" s="12">
        <v>19.058146617496959</v>
      </c>
      <c r="H339" s="12">
        <v>0.88933877150217688</v>
      </c>
      <c r="I339" s="12">
        <v>1.0899138450622556</v>
      </c>
      <c r="J339" s="12">
        <v>1.3083054895202313</v>
      </c>
      <c r="K339" s="12">
        <v>0.70516205579042446</v>
      </c>
      <c r="L339" s="12">
        <v>8.8013737928122338E-2</v>
      </c>
      <c r="M339" s="12">
        <v>35241.716801641363</v>
      </c>
      <c r="N339" s="12">
        <v>2.1064852494604245</v>
      </c>
      <c r="O339" s="12">
        <v>24.648441190812825</v>
      </c>
      <c r="P339" s="12">
        <v>7.9584563942210922</v>
      </c>
      <c r="Q339" s="12" t="s">
        <v>37</v>
      </c>
      <c r="R339" s="12">
        <v>6.7553192386596503</v>
      </c>
      <c r="S339" s="12">
        <v>32482.920552713011</v>
      </c>
      <c r="T339" s="15">
        <v>-0.30145614110000002</v>
      </c>
      <c r="U339" s="12" t="s">
        <v>37</v>
      </c>
      <c r="V339" s="12" t="s">
        <v>37</v>
      </c>
      <c r="W339" s="12">
        <v>2.9475599924723315</v>
      </c>
      <c r="X339" s="12" t="s">
        <v>37</v>
      </c>
      <c r="Y339" s="15">
        <v>27.478643389999998</v>
      </c>
      <c r="Z339" s="15" t="s">
        <v>37</v>
      </c>
      <c r="AA339" s="15">
        <v>1.890542245</v>
      </c>
      <c r="AB339" s="12" t="s">
        <v>37</v>
      </c>
      <c r="AC339" s="12">
        <v>25.873677460724593</v>
      </c>
      <c r="AD339" s="12">
        <v>23.371117964374491</v>
      </c>
      <c r="AE339">
        <v>0</v>
      </c>
    </row>
    <row r="340" spans="1:31" ht="15" customHeight="1" x14ac:dyDescent="0.3">
      <c r="A340" s="12" t="s">
        <v>270</v>
      </c>
      <c r="B340" s="12">
        <v>125.16325406674987</v>
      </c>
      <c r="C340" s="12">
        <v>32.338012014116565</v>
      </c>
      <c r="D340" s="12">
        <v>3.5716777188437328</v>
      </c>
      <c r="E340" s="12">
        <v>61.40481481481482</v>
      </c>
      <c r="F340" s="12">
        <v>-0.58636682807021601</v>
      </c>
      <c r="G340" s="12">
        <v>19.243448534819663</v>
      </c>
      <c r="H340" s="12">
        <v>-0.27768650293971098</v>
      </c>
      <c r="I340" s="12">
        <v>-0.86925603449344624</v>
      </c>
      <c r="J340" s="12">
        <v>-0.60107379530866933</v>
      </c>
      <c r="K340" s="12">
        <v>-0.64203310757875409</v>
      </c>
      <c r="L340" s="12">
        <v>-0.32423472794471309</v>
      </c>
      <c r="M340" s="12">
        <v>460.5071840854518</v>
      </c>
      <c r="N340" s="12">
        <v>2.8386533237905271</v>
      </c>
      <c r="O340" s="12">
        <v>9.1962183694729571</v>
      </c>
      <c r="P340" s="12">
        <v>22.142655104988201</v>
      </c>
      <c r="Q340" s="12">
        <v>18.826666666666672</v>
      </c>
      <c r="R340" s="12">
        <v>16.460451129242745</v>
      </c>
      <c r="S340" s="12">
        <v>453.85814701185529</v>
      </c>
      <c r="T340" s="15">
        <v>-5.3851267190000003E-2</v>
      </c>
      <c r="U340" s="12">
        <v>28.806241798800507</v>
      </c>
      <c r="V340" s="12">
        <v>547320630266.79999</v>
      </c>
      <c r="W340" s="12">
        <v>2.5872993010741023</v>
      </c>
      <c r="X340" s="12">
        <v>1.759945098</v>
      </c>
      <c r="Y340" s="15">
        <v>5.9434605659999997</v>
      </c>
      <c r="Z340" s="15">
        <v>2.38727</v>
      </c>
      <c r="AA340" s="15">
        <v>2.7199516240000001</v>
      </c>
      <c r="AB340" s="12">
        <v>6.8458658173510596</v>
      </c>
      <c r="AC340" s="12">
        <v>8.8709191913007288</v>
      </c>
      <c r="AD340" s="12">
        <v>19.502239143061846</v>
      </c>
      <c r="AE340">
        <v>1</v>
      </c>
    </row>
    <row r="341" spans="1:31" ht="15" customHeight="1" x14ac:dyDescent="0.3">
      <c r="A341" s="12" t="s">
        <v>272</v>
      </c>
      <c r="B341" s="12">
        <v>138.98947265624997</v>
      </c>
      <c r="C341" s="12">
        <v>33.907310867309569</v>
      </c>
      <c r="D341" s="12">
        <v>0.91111776381731047</v>
      </c>
      <c r="E341" s="12">
        <v>53.944777777777787</v>
      </c>
      <c r="F341" s="12">
        <v>-0.58064724877476692</v>
      </c>
      <c r="G341" s="12" t="s">
        <v>37</v>
      </c>
      <c r="H341" s="12">
        <v>-8.1834410753799616E-2</v>
      </c>
      <c r="I341" s="12">
        <v>-0.65572526926795638</v>
      </c>
      <c r="J341" s="12">
        <v>-0.61593909282237291</v>
      </c>
      <c r="K341" s="12">
        <v>-0.2661602223912875</v>
      </c>
      <c r="L341" s="12">
        <v>-0.17240204741635054</v>
      </c>
      <c r="M341" s="12">
        <v>386.70081365771023</v>
      </c>
      <c r="N341" s="12">
        <v>2.4982415838270957</v>
      </c>
      <c r="O341" s="12">
        <v>10.912018001333671</v>
      </c>
      <c r="P341" s="12">
        <v>45.817789339070174</v>
      </c>
      <c r="Q341" s="12">
        <v>23.646666666666658</v>
      </c>
      <c r="R341" s="12">
        <v>35.16049991121951</v>
      </c>
      <c r="S341" s="12">
        <v>554.19850345791667</v>
      </c>
      <c r="T341" s="15">
        <v>1.341780033</v>
      </c>
      <c r="U341" s="12">
        <v>9.2345273574129561</v>
      </c>
      <c r="V341" s="12">
        <v>49845803127.492355</v>
      </c>
      <c r="W341" s="12">
        <v>3.1259407838185629</v>
      </c>
      <c r="X341" s="12">
        <v>1.293264032</v>
      </c>
      <c r="Y341" s="15">
        <v>8.4380914570000005</v>
      </c>
      <c r="Z341" s="15">
        <v>1.6838299999999999</v>
      </c>
      <c r="AA341" s="15">
        <v>8.9707095250000002</v>
      </c>
      <c r="AB341" s="12" t="s">
        <v>37</v>
      </c>
      <c r="AC341" s="12" t="s">
        <v>37</v>
      </c>
      <c r="AD341" s="12" t="s">
        <v>37</v>
      </c>
      <c r="AE341">
        <v>1</v>
      </c>
    </row>
    <row r="342" spans="1:31" ht="15" customHeight="1" x14ac:dyDescent="0.3">
      <c r="A342" s="12" t="s">
        <v>274</v>
      </c>
      <c r="B342" s="12">
        <v>99.265285633228459</v>
      </c>
      <c r="C342" s="12">
        <v>79.354470661708291</v>
      </c>
      <c r="D342" s="12">
        <v>34.222983213571396</v>
      </c>
      <c r="E342" s="12">
        <v>74.154370370370387</v>
      </c>
      <c r="F342" s="12">
        <v>0.19453067318924397</v>
      </c>
      <c r="G342" s="12">
        <v>25.314414111977392</v>
      </c>
      <c r="H342" s="12">
        <v>0.20250715957566479</v>
      </c>
      <c r="I342" s="12">
        <v>0.97189260274171818</v>
      </c>
      <c r="J342" s="12">
        <v>0.58388073245684302</v>
      </c>
      <c r="K342" s="12">
        <v>0.42058698895076901</v>
      </c>
      <c r="L342" s="12">
        <v>-0.34125918616579537</v>
      </c>
      <c r="M342" s="12">
        <v>5826.8708467063643</v>
      </c>
      <c r="N342" s="12">
        <v>1.9955377128632961</v>
      </c>
      <c r="O342" s="12">
        <v>14.742732239439601</v>
      </c>
      <c r="P342" s="12">
        <v>63.598377808143375</v>
      </c>
      <c r="Q342" s="12">
        <v>19.673333333333336</v>
      </c>
      <c r="R342" s="12">
        <v>47.163168351616079</v>
      </c>
      <c r="S342" s="12">
        <v>11399.39713735103</v>
      </c>
      <c r="T342" s="15">
        <v>2.5166283979999999</v>
      </c>
      <c r="U342" s="12">
        <v>4.085721858572521</v>
      </c>
      <c r="V342" s="12">
        <v>3201669729.8330765</v>
      </c>
      <c r="W342" s="12">
        <v>5.1352813335565424</v>
      </c>
      <c r="X342" s="12">
        <v>1.7203828830000001</v>
      </c>
      <c r="Y342" s="15">
        <v>3.5969181909999999</v>
      </c>
      <c r="Z342" s="15">
        <v>0.56981000000000004</v>
      </c>
      <c r="AA342" s="15">
        <v>8.8703285520000001</v>
      </c>
      <c r="AB342" s="12" t="s">
        <v>37</v>
      </c>
      <c r="AC342" s="12">
        <v>43.585963240483117</v>
      </c>
      <c r="AD342" s="12">
        <v>18.21350656695931</v>
      </c>
      <c r="AE342">
        <v>0</v>
      </c>
    </row>
    <row r="343" spans="1:31" ht="15" customHeight="1" x14ac:dyDescent="0.3">
      <c r="A343" s="12" t="s">
        <v>276</v>
      </c>
      <c r="B343" s="12">
        <v>109.82111681424651</v>
      </c>
      <c r="C343" s="12">
        <v>58.883617083231606</v>
      </c>
      <c r="D343" s="12">
        <v>17.767403416335565</v>
      </c>
      <c r="E343" s="12">
        <v>75.576444444444434</v>
      </c>
      <c r="F343" s="12">
        <v>-0.48976632518072921</v>
      </c>
      <c r="G343" s="12" t="s">
        <v>37</v>
      </c>
      <c r="H343" s="12">
        <v>0.40831137518398486</v>
      </c>
      <c r="I343" s="12">
        <v>5.587536282837393E-2</v>
      </c>
      <c r="J343" s="12">
        <v>-5.0496957342450764E-2</v>
      </c>
      <c r="K343" s="12">
        <v>-0.26555620273575192</v>
      </c>
      <c r="L343" s="12">
        <v>-0.57655777782201756</v>
      </c>
      <c r="M343" s="12">
        <v>5556.2574189345551</v>
      </c>
      <c r="N343" s="12">
        <v>2.690371955381341</v>
      </c>
      <c r="O343" s="12">
        <v>11.931945211031955</v>
      </c>
      <c r="P343" s="12">
        <v>4.5501994894113373</v>
      </c>
      <c r="Q343" s="12">
        <v>6.8666666666666654</v>
      </c>
      <c r="R343" s="12">
        <v>1.9815516291466395</v>
      </c>
      <c r="S343" s="12">
        <v>11035.582482748438</v>
      </c>
      <c r="T343" s="15">
        <v>2.5740527229999999</v>
      </c>
      <c r="U343" s="12">
        <v>66.632202051745693</v>
      </c>
      <c r="V343" s="12">
        <v>1059440000</v>
      </c>
      <c r="W343" s="12">
        <v>4.6048848421677295</v>
      </c>
      <c r="X343" s="12">
        <v>4.6200217629999996</v>
      </c>
      <c r="Y343" s="15">
        <v>1.0546218979999999</v>
      </c>
      <c r="Z343" s="15">
        <v>2.8501599999999998</v>
      </c>
      <c r="AA343" s="15">
        <v>0.2161680785</v>
      </c>
      <c r="AB343" s="12">
        <v>13.596388492578948</v>
      </c>
      <c r="AC343" s="12" t="s">
        <v>37</v>
      </c>
      <c r="AD343" s="12" t="s">
        <v>37</v>
      </c>
      <c r="AE343">
        <v>0</v>
      </c>
    </row>
    <row r="344" spans="1:31" ht="15" customHeight="1" x14ac:dyDescent="0.3">
      <c r="A344" s="12" t="s">
        <v>278</v>
      </c>
      <c r="B344" s="12">
        <v>66.906310154841492</v>
      </c>
      <c r="C344" s="12">
        <v>28.095628218217314</v>
      </c>
      <c r="D344" s="12">
        <v>3.7357564449310319</v>
      </c>
      <c r="E344" s="12">
        <v>54.690000000000012</v>
      </c>
      <c r="F344" s="12">
        <v>-0.71097622811794281</v>
      </c>
      <c r="G344" s="12">
        <v>19.199720526861341</v>
      </c>
      <c r="H344" s="12">
        <v>-0.82132871480037706</v>
      </c>
      <c r="I344" s="12">
        <v>-0.94120738655328851</v>
      </c>
      <c r="J344" s="12">
        <v>-0.52579739938179648</v>
      </c>
      <c r="K344" s="12">
        <v>-0.51561841461807489</v>
      </c>
      <c r="L344" s="12">
        <v>-0.10770120956779772</v>
      </c>
      <c r="M344" s="12">
        <v>494.59023221281018</v>
      </c>
      <c r="N344" s="12">
        <v>3.0124919002417845</v>
      </c>
      <c r="O344" s="12">
        <v>13.01432061529184</v>
      </c>
      <c r="P344" s="12">
        <v>25.954483924846734</v>
      </c>
      <c r="Q344" s="12">
        <v>11.353333333333332</v>
      </c>
      <c r="R344" s="12">
        <v>19.799610734602613</v>
      </c>
      <c r="S344" s="12">
        <v>748.974818109328</v>
      </c>
      <c r="T344" s="15">
        <v>1.5488190230000001</v>
      </c>
      <c r="U344" s="12">
        <v>14.002766356972209</v>
      </c>
      <c r="V344" s="12">
        <v>99962254280.689911</v>
      </c>
      <c r="W344" s="12">
        <v>3.4578362962473994</v>
      </c>
      <c r="X344" s="12">
        <v>1.052560725</v>
      </c>
      <c r="Y344" s="15">
        <v>7.145157277</v>
      </c>
      <c r="Z344" s="15">
        <v>1.8962000000000001</v>
      </c>
      <c r="AA344" s="15">
        <v>4.0435634030000003</v>
      </c>
      <c r="AB344" s="12" t="s">
        <v>37</v>
      </c>
      <c r="AC344" s="12">
        <v>22.219129532468436</v>
      </c>
      <c r="AD344" s="12">
        <v>18.516627594543479</v>
      </c>
      <c r="AE344">
        <v>1</v>
      </c>
    </row>
    <row r="345" spans="1:31" ht="15" customHeight="1" x14ac:dyDescent="0.3">
      <c r="A345" s="12" t="s">
        <v>280</v>
      </c>
      <c r="B345" s="12">
        <v>102.00766782407398</v>
      </c>
      <c r="C345" s="12">
        <v>96.308841705322266</v>
      </c>
      <c r="D345" s="12">
        <v>37.466014438205306</v>
      </c>
      <c r="E345" s="12">
        <v>80.129539295392973</v>
      </c>
      <c r="F345" s="12">
        <v>0.71783161908388138</v>
      </c>
      <c r="G345" s="12">
        <v>21.008086010382005</v>
      </c>
      <c r="H345" s="12">
        <v>1.2166075656811393</v>
      </c>
      <c r="I345" s="12">
        <v>1.0028365204731622</v>
      </c>
      <c r="J345" s="12">
        <v>1.1363954097032545</v>
      </c>
      <c r="K345" s="12">
        <v>1.2440032263596852</v>
      </c>
      <c r="L345" s="12">
        <v>1.1790666778882331</v>
      </c>
      <c r="M345" s="12">
        <v>12344.826345576965</v>
      </c>
      <c r="N345" s="12">
        <v>1.202314482396954</v>
      </c>
      <c r="O345" s="12">
        <v>38.125107673361789</v>
      </c>
      <c r="P345" s="12">
        <v>44.448227222033204</v>
      </c>
      <c r="Q345" s="12">
        <v>31.155555555555559</v>
      </c>
      <c r="R345" s="12">
        <v>29.044912907621981</v>
      </c>
      <c r="S345" s="12">
        <v>30379.596801529828</v>
      </c>
      <c r="T345" s="15">
        <v>3.3915568349999998</v>
      </c>
      <c r="U345" s="12">
        <v>3.7091630102188411</v>
      </c>
      <c r="V345" s="12">
        <v>68567202.954976529</v>
      </c>
      <c r="W345" s="12">
        <v>5.5415093276811698</v>
      </c>
      <c r="X345" s="12">
        <v>5.5327537869999999</v>
      </c>
      <c r="Y345" s="15">
        <v>16.371276200000001</v>
      </c>
      <c r="Z345" s="15">
        <v>0.94001999999999997</v>
      </c>
      <c r="AA345" s="15">
        <v>14.230186290000001</v>
      </c>
      <c r="AB345" s="12">
        <v>50.795167688453603</v>
      </c>
      <c r="AC345" s="12">
        <v>23.91625096606478</v>
      </c>
      <c r="AD345" s="12">
        <v>25.260229631419804</v>
      </c>
      <c r="AE345">
        <v>0</v>
      </c>
    </row>
    <row r="346" spans="1:31" ht="15" customHeight="1" x14ac:dyDescent="0.3">
      <c r="A346" s="12" t="s">
        <v>282</v>
      </c>
      <c r="B346" s="12">
        <v>98.690522670745878</v>
      </c>
      <c r="C346" s="12">
        <v>85.967757161458309</v>
      </c>
      <c r="D346" s="12">
        <v>34.920427560806274</v>
      </c>
      <c r="E346" s="12">
        <v>63.683000000000007</v>
      </c>
      <c r="F346" s="12">
        <v>-2.149370716910606E-2</v>
      </c>
      <c r="G346" s="12">
        <v>24.132673544909462</v>
      </c>
      <c r="H346" s="12">
        <v>1.0602001160383225</v>
      </c>
      <c r="I346" s="12">
        <v>-0.77484837526248562</v>
      </c>
      <c r="J346" s="12">
        <v>-0.88367852403057945</v>
      </c>
      <c r="K346" s="12">
        <v>0.41434115051621728</v>
      </c>
      <c r="L346" s="12">
        <v>1.1658515085776653</v>
      </c>
      <c r="M346" s="12">
        <v>3573.0667907014558</v>
      </c>
      <c r="N346" s="12">
        <v>-0.6294758817045959</v>
      </c>
      <c r="O346" s="12">
        <v>17.55523050035427</v>
      </c>
      <c r="P346" s="12">
        <v>38.578456372900519</v>
      </c>
      <c r="Q346" s="12">
        <v>0</v>
      </c>
      <c r="R346" s="12">
        <v>11.027611128186049</v>
      </c>
      <c r="S346" s="12">
        <v>5306.9015554789021</v>
      </c>
      <c r="T346" s="15">
        <v>1.4759110609999999</v>
      </c>
      <c r="U346" s="12">
        <v>24.282610170502736</v>
      </c>
      <c r="V346" s="12">
        <v>7987947.076923077</v>
      </c>
      <c r="W346" s="12">
        <v>12.197589079538989</v>
      </c>
      <c r="X346" s="12">
        <v>6.3714903659999997</v>
      </c>
      <c r="Y346" s="15">
        <v>6.8797321800000004</v>
      </c>
      <c r="Z346" s="15">
        <v>4.8442699999999999</v>
      </c>
      <c r="AA346" s="15">
        <v>7.7887442030000003</v>
      </c>
      <c r="AB346" s="12" t="s">
        <v>37</v>
      </c>
      <c r="AC346" s="12" t="s">
        <v>37</v>
      </c>
      <c r="AD346" s="12">
        <v>19.839117995094533</v>
      </c>
      <c r="AE346">
        <v>1</v>
      </c>
    </row>
    <row r="347" spans="1:31" ht="15" customHeight="1" x14ac:dyDescent="0.3">
      <c r="A347" s="12" t="s">
        <v>284</v>
      </c>
      <c r="B347" s="12">
        <v>86.612302633432222</v>
      </c>
      <c r="C347" s="12">
        <v>23.798520927429209</v>
      </c>
      <c r="D347" s="12">
        <v>4.3389491538206739</v>
      </c>
      <c r="E347" s="12">
        <v>62.663740740740728</v>
      </c>
      <c r="F347" s="12">
        <v>-0.66120855851719773</v>
      </c>
      <c r="G347" s="12">
        <v>33.995818673239178</v>
      </c>
      <c r="H347" s="12">
        <v>-0.43373166645566613</v>
      </c>
      <c r="I347" s="12">
        <v>-0.69913384815057122</v>
      </c>
      <c r="J347" s="12">
        <v>-0.62857529769341181</v>
      </c>
      <c r="K347" s="12">
        <v>-0.73299504692355777</v>
      </c>
      <c r="L347" s="12">
        <v>-0.83802055815855636</v>
      </c>
      <c r="M347" s="12">
        <v>1377.9265915212209</v>
      </c>
      <c r="N347" s="12">
        <v>2.5548668318583188</v>
      </c>
      <c r="O347" s="12" t="s">
        <v>37</v>
      </c>
      <c r="P347" s="12" t="s">
        <v>37</v>
      </c>
      <c r="Q347" s="12">
        <v>0</v>
      </c>
      <c r="R347" s="12" t="s">
        <v>37</v>
      </c>
      <c r="S347" s="12">
        <v>1616.8157140065398</v>
      </c>
      <c r="T347" s="15">
        <v>0.59389999299999996</v>
      </c>
      <c r="U347" s="12" t="s">
        <v>37</v>
      </c>
      <c r="V347" s="12" t="s">
        <v>37</v>
      </c>
      <c r="W347" s="12">
        <v>2.0389923768884994</v>
      </c>
      <c r="X347" s="12">
        <v>0.94746021899999999</v>
      </c>
      <c r="Y347" s="15" t="s">
        <v>37</v>
      </c>
      <c r="Z347" s="15" t="s">
        <v>37</v>
      </c>
      <c r="AA347" s="15" t="s">
        <v>37</v>
      </c>
      <c r="AB347" s="12" t="s">
        <v>37</v>
      </c>
      <c r="AC347" s="12">
        <v>38.824567301944292</v>
      </c>
      <c r="AD347" s="12">
        <v>25.846047912118379</v>
      </c>
      <c r="AE347">
        <v>1</v>
      </c>
    </row>
    <row r="348" spans="1:31" ht="15" customHeight="1" x14ac:dyDescent="0.3">
      <c r="A348" s="12" t="s">
        <v>286</v>
      </c>
      <c r="B348" s="12">
        <v>101.81775665283205</v>
      </c>
      <c r="C348" s="12">
        <v>85.46284164428711</v>
      </c>
      <c r="D348" s="12">
        <v>27.905694908565948</v>
      </c>
      <c r="E348" s="12">
        <v>72.717389340560104</v>
      </c>
      <c r="F348" s="12">
        <v>0.28451364161446696</v>
      </c>
      <c r="G348" s="12">
        <v>21.628325091571519</v>
      </c>
      <c r="H348" s="12">
        <v>0.89676856497923485</v>
      </c>
      <c r="I348" s="12">
        <v>0.77617426899572217</v>
      </c>
      <c r="J348" s="12">
        <v>0.74148426329096118</v>
      </c>
      <c r="K348" s="12">
        <v>0.87686134129762661</v>
      </c>
      <c r="L348" s="12">
        <v>0.82767797758181871</v>
      </c>
      <c r="M348" s="12">
        <v>4562.7469277578357</v>
      </c>
      <c r="N348" s="12">
        <v>0.47853857056046761</v>
      </c>
      <c r="O348" s="12">
        <v>16.910070956490038</v>
      </c>
      <c r="P348" s="12">
        <v>21.364649411077544</v>
      </c>
      <c r="Q348" s="12">
        <v>10.580000000000002</v>
      </c>
      <c r="R348" s="12">
        <v>17.153614814242953</v>
      </c>
      <c r="S348" s="12">
        <v>10570.495457234118</v>
      </c>
      <c r="T348" s="15">
        <v>3.1605538879999999</v>
      </c>
      <c r="U348" s="12">
        <v>15.621444086325512</v>
      </c>
      <c r="V348" s="12">
        <v>3819849212.5714288</v>
      </c>
      <c r="W348" s="12">
        <v>3.9990233381589246</v>
      </c>
      <c r="X348" s="12">
        <v>2.037244303</v>
      </c>
      <c r="Y348" s="15">
        <v>11.45981267</v>
      </c>
      <c r="Z348" s="15">
        <v>1.32731</v>
      </c>
      <c r="AA348" s="15">
        <v>4.1924668860000001</v>
      </c>
      <c r="AB348" s="12">
        <v>16.114216608413727</v>
      </c>
      <c r="AC348" s="12">
        <v>23.487418011500942</v>
      </c>
      <c r="AD348" s="12">
        <v>19.717502372791294</v>
      </c>
      <c r="AE348">
        <v>0</v>
      </c>
    </row>
    <row r="349" spans="1:31" ht="15" customHeight="1" x14ac:dyDescent="0.3">
      <c r="A349" s="12" t="s">
        <v>288</v>
      </c>
      <c r="B349" s="12">
        <v>108.832356205693</v>
      </c>
      <c r="C349" s="12">
        <v>85.209613800048814</v>
      </c>
      <c r="D349" s="12">
        <v>27.973166677686908</v>
      </c>
      <c r="E349" s="12">
        <v>73.631925925925927</v>
      </c>
      <c r="F349" s="12">
        <v>-0.57865326044460141</v>
      </c>
      <c r="G349" s="12">
        <v>21.403276208712281</v>
      </c>
      <c r="H349" s="12">
        <v>-0.61653756086404121</v>
      </c>
      <c r="I349" s="12">
        <v>6.2585452571511213E-2</v>
      </c>
      <c r="J349" s="12">
        <v>0.20547971463141335</v>
      </c>
      <c r="K349" s="12">
        <v>-0.55441980933149659</v>
      </c>
      <c r="L349" s="12">
        <v>9.0176891001950213E-2</v>
      </c>
      <c r="M349" s="12">
        <v>8049.7432308201205</v>
      </c>
      <c r="N349" s="12">
        <v>1.3368858981973193</v>
      </c>
      <c r="O349" s="12">
        <v>10.427152676182008</v>
      </c>
      <c r="P349" s="12">
        <v>49.557239665901072</v>
      </c>
      <c r="Q349" s="12">
        <v>26.900000000000002</v>
      </c>
      <c r="R349" s="12">
        <v>32.358639188636793</v>
      </c>
      <c r="S349" s="12">
        <v>10077.383310476129</v>
      </c>
      <c r="T349" s="15">
        <v>0.83552094219999995</v>
      </c>
      <c r="U349" s="12">
        <v>3.0955611061388146</v>
      </c>
      <c r="V349" s="12">
        <v>38666801159.475502</v>
      </c>
      <c r="W349" s="12">
        <v>4.6165634652842646</v>
      </c>
      <c r="X349" s="12">
        <v>2.6780344870000001</v>
      </c>
      <c r="Y349" s="15">
        <v>5.5244620070000003</v>
      </c>
      <c r="Z349" s="15">
        <v>0.27587</v>
      </c>
      <c r="AA349" s="15">
        <v>6.3071151150000002</v>
      </c>
      <c r="AB349" s="12">
        <v>8.0316183057589523</v>
      </c>
      <c r="AC349" s="12">
        <v>16.213630091317867</v>
      </c>
      <c r="AD349" s="12">
        <v>22.43624466006607</v>
      </c>
      <c r="AE349">
        <v>0</v>
      </c>
    </row>
    <row r="350" spans="1:31" ht="15" customHeight="1" x14ac:dyDescent="0.3">
      <c r="A350" s="12" t="s">
        <v>290</v>
      </c>
      <c r="B350" s="12">
        <v>98.398497361403216</v>
      </c>
      <c r="C350" s="12">
        <v>86.345623016357393</v>
      </c>
      <c r="D350" s="12">
        <v>13.37636518478395</v>
      </c>
      <c r="E350" s="12">
        <v>70.649888888888881</v>
      </c>
      <c r="F350" s="12">
        <v>0.25215176806638112</v>
      </c>
      <c r="G350" s="12" t="s">
        <v>37</v>
      </c>
      <c r="H350" s="12">
        <v>1.1075412690639492</v>
      </c>
      <c r="I350" s="12">
        <v>-0.14919422331609225</v>
      </c>
      <c r="J350" s="12">
        <v>-0.61890733791025021</v>
      </c>
      <c r="K350" s="12">
        <v>0.44988407633112137</v>
      </c>
      <c r="L350" s="12">
        <v>1.0578025753299398</v>
      </c>
      <c r="M350" s="12">
        <v>2834.6301232021337</v>
      </c>
      <c r="N350" s="12">
        <v>0.14307694390174755</v>
      </c>
      <c r="O350" s="12">
        <v>8.7326498531883345</v>
      </c>
      <c r="P350" s="12">
        <v>53.753469083611925</v>
      </c>
      <c r="Q350" s="12">
        <v>0</v>
      </c>
      <c r="R350" s="12">
        <v>14.024964279200324</v>
      </c>
      <c r="S350" s="12">
        <v>2751.2686605950289</v>
      </c>
      <c r="T350" s="15">
        <v>-0.1104919654</v>
      </c>
      <c r="U350" s="12">
        <v>23.312132524098597</v>
      </c>
      <c r="V350" s="12">
        <v>4934931.615384615</v>
      </c>
      <c r="W350" s="12">
        <v>10.86008188941261</v>
      </c>
      <c r="X350" s="12">
        <v>2.6415591869999999</v>
      </c>
      <c r="Y350" s="15">
        <v>1.5703452149999999</v>
      </c>
      <c r="Z350" s="15">
        <v>1.6778200000000001</v>
      </c>
      <c r="AA350" s="15">
        <v>7.3301906920000004</v>
      </c>
      <c r="AB350" s="12" t="s">
        <v>37</v>
      </c>
      <c r="AC350" s="12" t="s">
        <v>37</v>
      </c>
      <c r="AD350" s="12" t="s">
        <v>37</v>
      </c>
      <c r="AE350">
        <v>1</v>
      </c>
    </row>
    <row r="351" spans="1:31" ht="15" customHeight="1" x14ac:dyDescent="0.3">
      <c r="A351" s="12" t="s">
        <v>292</v>
      </c>
      <c r="B351" s="12">
        <v>100.0153901473336</v>
      </c>
      <c r="C351" s="12">
        <v>91.49601015837294</v>
      </c>
      <c r="D351" s="12">
        <v>44.219581604003899</v>
      </c>
      <c r="E351" s="12">
        <v>68.203555555555553</v>
      </c>
      <c r="F351" s="12">
        <v>-0.69596190253893553</v>
      </c>
      <c r="G351" s="12">
        <v>22.61835919157582</v>
      </c>
      <c r="H351" s="12">
        <v>-0.23603545891334454</v>
      </c>
      <c r="I351" s="12">
        <v>-0.57129593628148234</v>
      </c>
      <c r="J351" s="12">
        <v>-0.15266512643817501</v>
      </c>
      <c r="K351" s="12">
        <v>-0.39122872178753215</v>
      </c>
      <c r="L351" s="12">
        <v>-0.14877297220906868</v>
      </c>
      <c r="M351" s="12">
        <v>1512.1571960963408</v>
      </c>
      <c r="N351" s="12">
        <v>-0.49574173824502304</v>
      </c>
      <c r="O351" s="12">
        <v>16.693528614949617</v>
      </c>
      <c r="P351" s="12">
        <v>9.3321634074999658</v>
      </c>
      <c r="Q351" s="12">
        <v>7.2066666666666679</v>
      </c>
      <c r="R351" s="12">
        <v>5.5146719687342189</v>
      </c>
      <c r="S351" s="12">
        <v>3582.1908544796747</v>
      </c>
      <c r="T351" s="15">
        <v>3.2457748959999999</v>
      </c>
      <c r="U351" s="12">
        <v>6.2762059565905925</v>
      </c>
      <c r="V351" s="12">
        <v>827292592.5925926</v>
      </c>
      <c r="W351" s="12">
        <v>6.5375848770141598</v>
      </c>
      <c r="X351" s="12">
        <v>4.2617517749999996</v>
      </c>
      <c r="Y351" s="15">
        <v>14.346902930000001</v>
      </c>
      <c r="Z351" s="15">
        <v>1.1183799999999999</v>
      </c>
      <c r="AA351" s="15">
        <v>2.4597473769999998</v>
      </c>
      <c r="AB351" s="12" t="s">
        <v>37</v>
      </c>
      <c r="AC351" s="12">
        <v>15.954266507091743</v>
      </c>
      <c r="AD351" s="12">
        <v>22.535766244671521</v>
      </c>
      <c r="AE351">
        <v>1</v>
      </c>
    </row>
    <row r="352" spans="1:31" ht="15" customHeight="1" x14ac:dyDescent="0.3">
      <c r="A352" s="12" t="s">
        <v>294</v>
      </c>
      <c r="B352" s="12">
        <v>133.85924720764163</v>
      </c>
      <c r="C352" s="12">
        <v>149.70509147644023</v>
      </c>
      <c r="D352" s="12">
        <v>49.079029083252003</v>
      </c>
      <c r="E352" s="12" t="s">
        <v>37</v>
      </c>
      <c r="F352" s="12">
        <v>1.5764596611261377</v>
      </c>
      <c r="G352" s="12" t="s">
        <v>37</v>
      </c>
      <c r="H352" s="12">
        <v>1.1726336628198637</v>
      </c>
      <c r="I352" s="12">
        <v>1.9070416837930675</v>
      </c>
      <c r="J352" s="12">
        <v>1.2755247354507449</v>
      </c>
      <c r="K352" s="12">
        <v>1.0883759648903555</v>
      </c>
      <c r="L352" s="12">
        <v>0.89728799959023764</v>
      </c>
      <c r="M352" s="12">
        <v>108168.98123274521</v>
      </c>
      <c r="N352" s="12">
        <v>0.59362903450908766</v>
      </c>
      <c r="O352" s="12" t="s">
        <v>37</v>
      </c>
      <c r="P352" s="12" t="s">
        <v>37</v>
      </c>
      <c r="Q352" s="12" t="s">
        <v>37</v>
      </c>
      <c r="R352" s="12" t="s">
        <v>37</v>
      </c>
      <c r="S352" s="12">
        <v>228667.93528255887</v>
      </c>
      <c r="T352" s="15">
        <v>2.811296177</v>
      </c>
      <c r="U352" s="12" t="s">
        <v>37</v>
      </c>
      <c r="V352" s="12" t="s">
        <v>37</v>
      </c>
      <c r="W352" s="12">
        <v>1.2983688256319823</v>
      </c>
      <c r="X352" s="12">
        <v>1.5866103279999999</v>
      </c>
      <c r="Y352" s="15" t="s">
        <v>37</v>
      </c>
      <c r="Z352" s="15" t="s">
        <v>37</v>
      </c>
      <c r="AA352" s="15" t="s">
        <v>37</v>
      </c>
      <c r="AB352" s="12" t="s">
        <v>37</v>
      </c>
      <c r="AC352" s="12" t="s">
        <v>37</v>
      </c>
      <c r="AD352" s="12" t="s">
        <v>37</v>
      </c>
      <c r="AE352">
        <v>0</v>
      </c>
    </row>
    <row r="353" spans="1:31" ht="15" customHeight="1" x14ac:dyDescent="0.3">
      <c r="A353" s="12" t="s">
        <v>296</v>
      </c>
      <c r="B353" s="12">
        <v>99.995069776262554</v>
      </c>
      <c r="C353" s="12">
        <v>80.556658493845092</v>
      </c>
      <c r="D353" s="12">
        <v>46.937562772205887</v>
      </c>
      <c r="E353" s="12">
        <v>66.308148148148177</v>
      </c>
      <c r="F353" s="12">
        <v>-0.44469043930682051</v>
      </c>
      <c r="G353" s="12">
        <v>28.817868690234796</v>
      </c>
      <c r="H353" s="12">
        <v>0.70171484972039877</v>
      </c>
      <c r="I353" s="12">
        <v>-0.40337893304725497</v>
      </c>
      <c r="J353" s="12">
        <v>-0.24856195436829384</v>
      </c>
      <c r="K353" s="12">
        <v>-0.1738347883462362</v>
      </c>
      <c r="L353" s="12">
        <v>0.26446050591766834</v>
      </c>
      <c r="M353" s="12">
        <v>1431.4609231411066</v>
      </c>
      <c r="N353" s="12">
        <v>1.3878985472168115</v>
      </c>
      <c r="O353" s="12">
        <v>15.274620579951129</v>
      </c>
      <c r="P353" s="12">
        <v>29.546873467282389</v>
      </c>
      <c r="Q353" s="12">
        <v>11.306666666666668</v>
      </c>
      <c r="R353" s="12">
        <v>17.03071469001797</v>
      </c>
      <c r="S353" s="12">
        <v>4249.6750140620452</v>
      </c>
      <c r="T353" s="15">
        <v>4.1124875259999998</v>
      </c>
      <c r="U353" s="12">
        <v>11.027480727920178</v>
      </c>
      <c r="V353" s="12">
        <v>258402660996.77121</v>
      </c>
      <c r="W353" s="12">
        <v>4.825106339021163</v>
      </c>
      <c r="X353" s="12">
        <v>2.7400802660000001</v>
      </c>
      <c r="Y353" s="15">
        <v>8.8039668639999995</v>
      </c>
      <c r="Z353" s="15">
        <v>1.8435900000000001</v>
      </c>
      <c r="AA353" s="15">
        <v>4.1954682339999998</v>
      </c>
      <c r="AB353" s="12">
        <v>9.7739563560805092</v>
      </c>
      <c r="AC353" s="12">
        <v>22.894846795448391</v>
      </c>
      <c r="AD353" s="12">
        <v>29.813559943485004</v>
      </c>
      <c r="AE353">
        <v>1</v>
      </c>
    </row>
    <row r="354" spans="1:31" ht="15" customHeight="1" x14ac:dyDescent="0.3">
      <c r="A354" s="12" t="s">
        <v>298</v>
      </c>
      <c r="B354" s="12">
        <v>103.65990024142792</v>
      </c>
      <c r="C354" s="12">
        <v>91.955124325222442</v>
      </c>
      <c r="D354" s="12">
        <v>43.126821600872546</v>
      </c>
      <c r="E354" s="12">
        <v>74.944392050587197</v>
      </c>
      <c r="F354" s="12">
        <v>-0.16528295211332</v>
      </c>
      <c r="G354" s="12">
        <v>22.59175055160642</v>
      </c>
      <c r="H354" s="12">
        <v>0.26334129558766589</v>
      </c>
      <c r="I354" s="12">
        <v>8.2108971093677763E-2</v>
      </c>
      <c r="J354" s="12">
        <v>0.13359567090042723</v>
      </c>
      <c r="K354" s="12">
        <v>-8.6354913048284201E-2</v>
      </c>
      <c r="L354" s="12">
        <v>9.2027731118318717E-2</v>
      </c>
      <c r="M354" s="12" t="s">
        <v>37</v>
      </c>
      <c r="N354" s="12">
        <v>4.708395990981306E-2</v>
      </c>
      <c r="O354" s="12" t="s">
        <v>37</v>
      </c>
      <c r="P354" s="12" t="s">
        <v>37</v>
      </c>
      <c r="Q354" s="12">
        <v>8.4214285714285708</v>
      </c>
      <c r="R354" s="12" t="s">
        <v>37</v>
      </c>
      <c r="S354" s="12">
        <v>7889.2376331061369</v>
      </c>
      <c r="T354" s="15" t="s">
        <v>37</v>
      </c>
      <c r="U354" s="12" t="s">
        <v>37</v>
      </c>
      <c r="V354" s="12" t="s">
        <v>37</v>
      </c>
      <c r="W354" s="12" t="s">
        <v>37</v>
      </c>
      <c r="X354" s="12">
        <v>5.2254666319999998</v>
      </c>
      <c r="Y354" s="15" t="s">
        <v>37</v>
      </c>
      <c r="Z354" s="15" t="s">
        <v>37</v>
      </c>
      <c r="AA354" s="15" t="s">
        <v>37</v>
      </c>
      <c r="AB354" s="12" t="s">
        <v>37</v>
      </c>
      <c r="AC354" s="12" t="s">
        <v>37</v>
      </c>
      <c r="AD354" s="12">
        <v>21.51396231409155</v>
      </c>
      <c r="AE354">
        <v>0</v>
      </c>
    </row>
    <row r="355" spans="1:31" ht="15" customHeight="1" x14ac:dyDescent="0.3">
      <c r="A355" s="12" t="s">
        <v>300</v>
      </c>
      <c r="B355" s="12">
        <v>102.11706542968751</v>
      </c>
      <c r="C355" s="12">
        <v>56.863376935323082</v>
      </c>
      <c r="D355" s="12">
        <v>20.367757938526292</v>
      </c>
      <c r="E355" s="12">
        <v>69.93140740740742</v>
      </c>
      <c r="F355" s="12">
        <v>-0.3136577932164073</v>
      </c>
      <c r="G355" s="12">
        <v>26.249164712169346</v>
      </c>
      <c r="H355" s="12">
        <v>-0.35160301936169475</v>
      </c>
      <c r="I355" s="12">
        <v>-0.205961789470166</v>
      </c>
      <c r="J355" s="12">
        <v>-0.14353036267372474</v>
      </c>
      <c r="K355" s="12">
        <v>-0.18476045178249481</v>
      </c>
      <c r="L355" s="12">
        <v>-0.61816391659279668</v>
      </c>
      <c r="M355" s="12">
        <v>1692.84704589844</v>
      </c>
      <c r="N355" s="12">
        <v>1.2858037178920616</v>
      </c>
      <c r="O355" s="12">
        <v>19.865891279206924</v>
      </c>
      <c r="P355" s="12">
        <v>36.333467172246472</v>
      </c>
      <c r="Q355" s="12">
        <v>26.286666666666672</v>
      </c>
      <c r="R355" s="12">
        <v>30.138735589390237</v>
      </c>
      <c r="S355" s="12">
        <v>3300.7998046875</v>
      </c>
      <c r="T355" s="15">
        <v>2.5039957180000001</v>
      </c>
      <c r="U355" s="12">
        <v>8.8905792264753263</v>
      </c>
      <c r="V355" s="12">
        <v>11553125360</v>
      </c>
      <c r="W355" s="12">
        <v>5.1501120567321772</v>
      </c>
      <c r="X355" s="12">
        <v>1.9164946920000001</v>
      </c>
      <c r="Y355" s="15">
        <v>11.203395499999999</v>
      </c>
      <c r="Z355" s="15">
        <v>1.5426</v>
      </c>
      <c r="AA355" s="15">
        <v>7.9985254499999998</v>
      </c>
      <c r="AB355" s="12">
        <v>18.351209036906962</v>
      </c>
      <c r="AC355" s="12">
        <v>23.957303258858662</v>
      </c>
      <c r="AD355" s="12">
        <v>27.126476704271223</v>
      </c>
      <c r="AE355">
        <v>1</v>
      </c>
    </row>
    <row r="356" spans="1:31" ht="15" customHeight="1" x14ac:dyDescent="0.3">
      <c r="A356" s="12" t="s">
        <v>302</v>
      </c>
      <c r="B356" s="12">
        <v>104.20842987060549</v>
      </c>
      <c r="C356" s="12">
        <v>23.410772105058033</v>
      </c>
      <c r="D356" s="12">
        <v>3.6354862905066945</v>
      </c>
      <c r="E356" s="12">
        <v>53.698000000000008</v>
      </c>
      <c r="F356" s="12">
        <v>-0.62904308984676993</v>
      </c>
      <c r="G356" s="12" t="s">
        <v>37</v>
      </c>
      <c r="H356" s="12">
        <v>-0.20915529365690136</v>
      </c>
      <c r="I356" s="12">
        <v>-0.65476873144507397</v>
      </c>
      <c r="J356" s="12">
        <v>-0.56982450808087981</v>
      </c>
      <c r="K356" s="12">
        <v>-0.79701083774367942</v>
      </c>
      <c r="L356" s="12">
        <v>-0.26048363430891192</v>
      </c>
      <c r="M356" s="12">
        <v>217.05968923831603</v>
      </c>
      <c r="N356" s="12">
        <v>2.8367285456584055</v>
      </c>
      <c r="O356" s="12">
        <v>20.802186575292314</v>
      </c>
      <c r="P356" s="12">
        <v>44.177587872674913</v>
      </c>
      <c r="Q356" s="12">
        <v>30.58666666666667</v>
      </c>
      <c r="R356" s="12">
        <v>34.742694423952052</v>
      </c>
      <c r="S356" s="12">
        <v>590.36904429433127</v>
      </c>
      <c r="T356" s="15">
        <v>3.7753572329999998</v>
      </c>
      <c r="U356" s="12">
        <v>7.3908097393149017</v>
      </c>
      <c r="V356" s="12">
        <v>11338947962.942999</v>
      </c>
      <c r="W356" s="12">
        <v>5.1744468702989463</v>
      </c>
      <c r="X356" s="12">
        <v>1.476801622</v>
      </c>
      <c r="Y356" s="15">
        <v>14.51648565</v>
      </c>
      <c r="Z356" s="15">
        <v>2.6709200000000002</v>
      </c>
      <c r="AA356" s="15">
        <v>16.365702160000001</v>
      </c>
      <c r="AB356" s="12" t="s">
        <v>37</v>
      </c>
      <c r="AC356" s="12" t="s">
        <v>37</v>
      </c>
      <c r="AD356" s="12" t="s">
        <v>37</v>
      </c>
      <c r="AE356">
        <v>1</v>
      </c>
    </row>
    <row r="357" spans="1:31" ht="15" customHeight="1" x14ac:dyDescent="0.3">
      <c r="A357" s="12" t="s">
        <v>304</v>
      </c>
      <c r="B357" s="12">
        <v>107.6594828555457</v>
      </c>
      <c r="C357" s="12">
        <v>48.997181948493505</v>
      </c>
      <c r="D357" s="12">
        <v>11.944324357169007</v>
      </c>
      <c r="E357" s="12">
        <v>62.557148148148144</v>
      </c>
      <c r="F357" s="12">
        <v>-1.2156529525915785</v>
      </c>
      <c r="G357" s="12" t="s">
        <v>37</v>
      </c>
      <c r="H357" s="12">
        <v>-1.2583780189355218</v>
      </c>
      <c r="I357" s="12">
        <v>-1.3657058576742804</v>
      </c>
      <c r="J357" s="12">
        <v>-1.6447365532318747</v>
      </c>
      <c r="K357" s="12">
        <v>-1.4089782784382499</v>
      </c>
      <c r="L357" s="12">
        <v>-1.6852499718467406</v>
      </c>
      <c r="M357" s="12">
        <v>210.5420354334484</v>
      </c>
      <c r="N357" s="12">
        <v>0.88731063096632834</v>
      </c>
      <c r="O357" s="12">
        <v>4.1528516997248017</v>
      </c>
      <c r="P357" s="12">
        <v>36.702254165502112</v>
      </c>
      <c r="Q357" s="12">
        <v>28.137500000000006</v>
      </c>
      <c r="R357" s="12">
        <v>16.105977068862593</v>
      </c>
      <c r="S357" s="12">
        <v>1169.1068332012032</v>
      </c>
      <c r="T357" s="15">
        <v>6.5551988210000003</v>
      </c>
      <c r="U357" s="12">
        <v>10.550913122303756</v>
      </c>
      <c r="V357" s="12">
        <v>183551969578.94736</v>
      </c>
      <c r="W357" s="12">
        <v>1.8684731483459474</v>
      </c>
      <c r="X357" s="12">
        <v>0.46362888299999999</v>
      </c>
      <c r="Y357" s="15">
        <v>2.3443876810000002</v>
      </c>
      <c r="Z357" s="15">
        <v>0.42382999999999998</v>
      </c>
      <c r="AA357" s="15">
        <v>1.5225137980000001</v>
      </c>
      <c r="AB357" s="12">
        <v>3.744487200051593</v>
      </c>
      <c r="AC357" s="12" t="s">
        <v>37</v>
      </c>
      <c r="AD357" s="12" t="s">
        <v>37</v>
      </c>
      <c r="AE357">
        <v>1</v>
      </c>
    </row>
    <row r="358" spans="1:31" ht="15" customHeight="1" x14ac:dyDescent="0.3">
      <c r="A358" s="12" t="s">
        <v>306</v>
      </c>
      <c r="B358" s="12">
        <v>122.45193426949639</v>
      </c>
      <c r="C358" s="12">
        <v>62.701430394099312</v>
      </c>
      <c r="D358" s="12">
        <v>14.573719554477272</v>
      </c>
      <c r="E358" s="12">
        <v>56.463296296296285</v>
      </c>
      <c r="F358" s="12">
        <v>0.33205129454533266</v>
      </c>
      <c r="G358" s="12">
        <v>21.302372781763751</v>
      </c>
      <c r="H358" s="12">
        <v>0.67129462709029486</v>
      </c>
      <c r="I358" s="12">
        <v>0.19189138392296926</v>
      </c>
      <c r="J358" s="12">
        <v>0.15663204333638234</v>
      </c>
      <c r="K358" s="12">
        <v>0.25086792162619531</v>
      </c>
      <c r="L358" s="12">
        <v>0.43158974436422182</v>
      </c>
      <c r="M358" s="12">
        <v>2939.4912496335169</v>
      </c>
      <c r="N358" s="12">
        <v>1.7947699586515786</v>
      </c>
      <c r="O358" s="12">
        <v>28.524457551588291</v>
      </c>
      <c r="P358" s="12">
        <v>39.209870112641227</v>
      </c>
      <c r="Q358" s="12">
        <v>17.733333333333331</v>
      </c>
      <c r="R358" s="12">
        <v>35.494563511908318</v>
      </c>
      <c r="S358" s="12">
        <v>4483.2830178104568</v>
      </c>
      <c r="T358" s="15">
        <v>1.5756890699999999</v>
      </c>
      <c r="U358" s="12">
        <v>35.483095173183123</v>
      </c>
      <c r="V358" s="12">
        <v>10690820200.617273</v>
      </c>
      <c r="W358" s="12">
        <v>8.316926956176756</v>
      </c>
      <c r="X358" s="12">
        <v>4.3401555329999999</v>
      </c>
      <c r="Y358" s="15">
        <v>8.1272355340000004</v>
      </c>
      <c r="Z358" s="15">
        <v>10.02604</v>
      </c>
      <c r="AA358" s="15">
        <v>11.47385805</v>
      </c>
      <c r="AB358" s="12">
        <v>25.018694549562738</v>
      </c>
      <c r="AC358" s="12">
        <v>19.687985701749884</v>
      </c>
      <c r="AD358" s="12">
        <v>16.11045789202991</v>
      </c>
      <c r="AE358">
        <v>1</v>
      </c>
    </row>
    <row r="359" spans="1:31" ht="15" customHeight="1" x14ac:dyDescent="0.3">
      <c r="A359" s="12" t="s">
        <v>308</v>
      </c>
      <c r="B359" s="12">
        <v>96.604146172018645</v>
      </c>
      <c r="C359" s="12">
        <v>57.790940798245934</v>
      </c>
      <c r="D359" s="12" t="s">
        <v>37</v>
      </c>
      <c r="E359" s="12">
        <v>60.342370370370361</v>
      </c>
      <c r="F359" s="12">
        <v>0.13914363447111094</v>
      </c>
      <c r="G359" s="12" t="s">
        <v>37</v>
      </c>
      <c r="H359" s="12">
        <v>1.0203319519758218</v>
      </c>
      <c r="I359" s="12">
        <v>-0.23799372366920576</v>
      </c>
      <c r="J359" s="12">
        <v>-0.69792375573888421</v>
      </c>
      <c r="K359" s="12">
        <v>0.32760321659346431</v>
      </c>
      <c r="L359" s="12">
        <v>0.86286999285221111</v>
      </c>
      <c r="M359" s="12" t="s">
        <v>37</v>
      </c>
      <c r="N359" s="12">
        <v>0.72959935292661726</v>
      </c>
      <c r="O359" s="12">
        <v>27.448581314596392</v>
      </c>
      <c r="P359" s="12">
        <v>51.927272723929057</v>
      </c>
      <c r="Q359" s="12" t="s">
        <v>37</v>
      </c>
      <c r="R359" s="12">
        <v>12.689211585847554</v>
      </c>
      <c r="S359" s="12">
        <v>8641.7617894267132</v>
      </c>
      <c r="T359" s="15" t="s">
        <v>37</v>
      </c>
      <c r="U359" s="12">
        <v>47.187004350936846</v>
      </c>
      <c r="V359" s="12">
        <v>16563767.851428572</v>
      </c>
      <c r="W359" s="12">
        <v>6.3597572326660163</v>
      </c>
      <c r="X359" s="12">
        <v>9.0594635229999998</v>
      </c>
      <c r="Y359" s="15">
        <v>2.683517132</v>
      </c>
      <c r="Z359" s="15">
        <v>15.846500000000001</v>
      </c>
      <c r="AA359" s="15">
        <v>25.652735679999999</v>
      </c>
      <c r="AB359" s="12" t="s">
        <v>37</v>
      </c>
      <c r="AC359" s="12" t="s">
        <v>37</v>
      </c>
      <c r="AD359" s="12" t="s">
        <v>37</v>
      </c>
      <c r="AE359">
        <v>0</v>
      </c>
    </row>
    <row r="360" spans="1:31" ht="15" customHeight="1" x14ac:dyDescent="0.3">
      <c r="A360" s="12" t="s">
        <v>310</v>
      </c>
      <c r="B360" s="12">
        <v>126.9989236684945</v>
      </c>
      <c r="C360" s="12">
        <v>56.742110411326088</v>
      </c>
      <c r="D360" s="12">
        <v>10.197038650512694</v>
      </c>
      <c r="E360" s="12">
        <v>65.622925925925927</v>
      </c>
      <c r="F360" s="12">
        <v>-0.68354033430417382</v>
      </c>
      <c r="G360" s="12">
        <v>23.996356843120697</v>
      </c>
      <c r="H360" s="12">
        <v>-1.1390149528160696</v>
      </c>
      <c r="I360" s="12">
        <v>-0.84286196778217937</v>
      </c>
      <c r="J360" s="12">
        <v>-0.66445433100064599</v>
      </c>
      <c r="K360" s="12">
        <v>-0.59626196256916353</v>
      </c>
      <c r="L360" s="12">
        <v>-0.45112864580005407</v>
      </c>
      <c r="M360" s="12">
        <v>476.45319240920605</v>
      </c>
      <c r="N360" s="12">
        <v>1.1877549669490934</v>
      </c>
      <c r="O360" s="12">
        <v>11.946936791992394</v>
      </c>
      <c r="P360" s="12">
        <v>21.434465462328152</v>
      </c>
      <c r="Q360" s="12">
        <v>17.873333333333328</v>
      </c>
      <c r="R360" s="12">
        <v>16.088876286178099</v>
      </c>
      <c r="S360" s="12">
        <v>1083.0345499781595</v>
      </c>
      <c r="T360" s="15">
        <v>3.088026304</v>
      </c>
      <c r="U360" s="12">
        <v>24.976206597855715</v>
      </c>
      <c r="V360" s="12">
        <v>44913216580.048882</v>
      </c>
      <c r="W360" s="12">
        <v>3.5129510974884033</v>
      </c>
      <c r="X360" s="12">
        <v>0.84043417099999995</v>
      </c>
      <c r="Y360" s="15">
        <v>7.0931288419999996</v>
      </c>
      <c r="Z360" s="15">
        <v>2.9540799999999998</v>
      </c>
      <c r="AA360" s="15">
        <v>3.5265053289999999</v>
      </c>
      <c r="AB360" s="12">
        <v>8.9855138587886394</v>
      </c>
      <c r="AC360" s="12">
        <v>22.069122847040038</v>
      </c>
      <c r="AD360" s="12">
        <v>28.453382626341124</v>
      </c>
      <c r="AE360">
        <v>1</v>
      </c>
    </row>
    <row r="361" spans="1:31" ht="15" customHeight="1" x14ac:dyDescent="0.3">
      <c r="A361" s="12" t="s">
        <v>312</v>
      </c>
      <c r="B361" s="12">
        <v>106.60194061279299</v>
      </c>
      <c r="C361" s="12">
        <v>120.99095916748047</v>
      </c>
      <c r="D361" s="12">
        <v>64.001449267069503</v>
      </c>
      <c r="E361" s="12">
        <v>79.924227642276421</v>
      </c>
      <c r="F361" s="12">
        <v>2.0038597434759131</v>
      </c>
      <c r="G361" s="12">
        <v>20.928028253012432</v>
      </c>
      <c r="H361" s="12">
        <v>1.0452498098214469</v>
      </c>
      <c r="I361" s="12">
        <v>1.8327309439579647</v>
      </c>
      <c r="J361" s="12">
        <v>1.8041615635156638</v>
      </c>
      <c r="K361" s="12">
        <v>1.7715782572825745</v>
      </c>
      <c r="L361" s="12">
        <v>1.5363506873448702</v>
      </c>
      <c r="M361" s="12">
        <v>33696.743828198312</v>
      </c>
      <c r="N361" s="12">
        <v>0.48457354305874201</v>
      </c>
      <c r="O361" s="12">
        <v>21.425838248617374</v>
      </c>
      <c r="P361" s="12">
        <v>47.056514947252744</v>
      </c>
      <c r="Q361" s="12">
        <v>22.226666666666667</v>
      </c>
      <c r="R361" s="12">
        <v>26.264780105081442</v>
      </c>
      <c r="S361" s="12">
        <v>50546.789372816937</v>
      </c>
      <c r="T361" s="15">
        <v>1.5131796230000001</v>
      </c>
      <c r="U361" s="12" t="s">
        <v>37</v>
      </c>
      <c r="V361" s="12" t="s">
        <v>37</v>
      </c>
      <c r="W361" s="12">
        <v>5.0862838671757622</v>
      </c>
      <c r="X361" s="12">
        <v>6.5426162769999996</v>
      </c>
      <c r="Y361" s="15">
        <v>10.228156589999999</v>
      </c>
      <c r="Z361" s="15">
        <v>1.2070000000000001E-2</v>
      </c>
      <c r="AA361" s="15">
        <v>10.01682274</v>
      </c>
      <c r="AB361" s="12">
        <v>20.870164195092052</v>
      </c>
      <c r="AC361" s="12">
        <v>20.929336331388239</v>
      </c>
      <c r="AD361" s="12">
        <v>20.851098900525692</v>
      </c>
      <c r="AE361">
        <v>0</v>
      </c>
    </row>
    <row r="362" spans="1:31" ht="15" customHeight="1" x14ac:dyDescent="0.3">
      <c r="A362" s="12" t="s">
        <v>314</v>
      </c>
      <c r="B362" s="12" t="s">
        <v>37</v>
      </c>
      <c r="C362" s="12">
        <v>98.497108459472699</v>
      </c>
      <c r="D362" s="12" t="s">
        <v>37</v>
      </c>
      <c r="E362" s="12">
        <v>76.270902439024411</v>
      </c>
      <c r="F362" s="12" t="s">
        <v>37</v>
      </c>
      <c r="G362" s="12">
        <v>31.897875777698907</v>
      </c>
      <c r="H362" s="12" t="s">
        <v>37</v>
      </c>
      <c r="I362" s="12" t="s">
        <v>37</v>
      </c>
      <c r="J362" s="12" t="s">
        <v>37</v>
      </c>
      <c r="K362" s="12" t="s">
        <v>37</v>
      </c>
      <c r="L362" s="12" t="s">
        <v>37</v>
      </c>
      <c r="M362" s="12" t="s">
        <v>37</v>
      </c>
      <c r="N362" s="12">
        <v>1.3169308445661752</v>
      </c>
      <c r="O362" s="12" t="s">
        <v>37</v>
      </c>
      <c r="P362" s="12" t="s">
        <v>37</v>
      </c>
      <c r="Q362" s="12" t="s">
        <v>37</v>
      </c>
      <c r="R362" s="12" t="s">
        <v>37</v>
      </c>
      <c r="S362" s="12" t="s">
        <v>37</v>
      </c>
      <c r="T362" s="15" t="s">
        <v>37</v>
      </c>
      <c r="U362" s="12" t="s">
        <v>37</v>
      </c>
      <c r="V362" s="12" t="s">
        <v>37</v>
      </c>
      <c r="W362" s="12" t="s">
        <v>37</v>
      </c>
      <c r="X362" s="12" t="s">
        <v>37</v>
      </c>
      <c r="Y362" s="15" t="s">
        <v>37</v>
      </c>
      <c r="Z362" s="15" t="s">
        <v>37</v>
      </c>
      <c r="AA362" s="15" t="s">
        <v>37</v>
      </c>
      <c r="AB362" s="12" t="s">
        <v>37</v>
      </c>
      <c r="AC362" s="12" t="s">
        <v>37</v>
      </c>
      <c r="AD362" s="12" t="s">
        <v>37</v>
      </c>
      <c r="AE362">
        <v>0</v>
      </c>
    </row>
    <row r="363" spans="1:31" ht="15" customHeight="1" x14ac:dyDescent="0.3">
      <c r="A363" s="12" t="s">
        <v>316</v>
      </c>
      <c r="B363" s="12">
        <v>99.279371190954123</v>
      </c>
      <c r="C363" s="12">
        <v>116.20500211362486</v>
      </c>
      <c r="D363" s="12">
        <v>76.092525135387078</v>
      </c>
      <c r="E363" s="12">
        <v>80.092357723577251</v>
      </c>
      <c r="F363" s="12">
        <v>2.2392921249071764</v>
      </c>
      <c r="G363" s="12">
        <v>22.492010570685032</v>
      </c>
      <c r="H363" s="12">
        <v>1.3578141381343201</v>
      </c>
      <c r="I363" s="12">
        <v>1.7022625605265296</v>
      </c>
      <c r="J363" s="12">
        <v>1.8320835282405217</v>
      </c>
      <c r="K363" s="12">
        <v>1.8558569451173141</v>
      </c>
      <c r="L363" s="12">
        <v>1.5685249070326492</v>
      </c>
      <c r="M363" s="12">
        <v>27994.037011908866</v>
      </c>
      <c r="N363" s="12">
        <v>1.2777752350260481</v>
      </c>
      <c r="O363" s="12">
        <v>28.402112754068298</v>
      </c>
      <c r="P363" s="12">
        <v>63.294106189680654</v>
      </c>
      <c r="Q363" s="12">
        <v>30.459999999999994</v>
      </c>
      <c r="R363" s="12">
        <v>53.340621716183165</v>
      </c>
      <c r="S363" s="12">
        <v>42558.936285898839</v>
      </c>
      <c r="T363" s="15">
        <v>1.5635731500000001</v>
      </c>
      <c r="U363" s="12">
        <v>2.8778805256660736</v>
      </c>
      <c r="V363" s="12">
        <v>1961878518.1818182</v>
      </c>
      <c r="W363" s="12">
        <v>5.884700369834901</v>
      </c>
      <c r="X363" s="12">
        <v>6.7858493900000001</v>
      </c>
      <c r="Y363" s="15">
        <v>10.681283499999999</v>
      </c>
      <c r="Z363" s="15">
        <v>1.04047</v>
      </c>
      <c r="AA363" s="15">
        <v>20.230822530000001</v>
      </c>
      <c r="AB363" s="12" t="s">
        <v>37</v>
      </c>
      <c r="AC363" s="12">
        <v>22.425080011638059</v>
      </c>
      <c r="AD363" s="12">
        <v>25.832229915212363</v>
      </c>
      <c r="AE363">
        <v>0</v>
      </c>
    </row>
    <row r="364" spans="1:31" ht="15" customHeight="1" x14ac:dyDescent="0.3">
      <c r="A364" s="12" t="s">
        <v>318</v>
      </c>
      <c r="B364" s="12">
        <v>108.42587309617271</v>
      </c>
      <c r="C364" s="12">
        <v>59.357054392496742</v>
      </c>
      <c r="D364" s="12">
        <v>16.425549779619491</v>
      </c>
      <c r="E364" s="12">
        <v>70.033222222222221</v>
      </c>
      <c r="F364" s="12">
        <v>-0.82749600956837321</v>
      </c>
      <c r="G364" s="12">
        <v>24.244227241007611</v>
      </c>
      <c r="H364" s="12">
        <v>-0.33891331994285195</v>
      </c>
      <c r="I364" s="12">
        <v>-0.8252131169040996</v>
      </c>
      <c r="J364" s="12">
        <v>-0.48856252245604997</v>
      </c>
      <c r="K364" s="12">
        <v>-0.81979748855034451</v>
      </c>
      <c r="L364" s="12">
        <v>-0.48059868048100446</v>
      </c>
      <c r="M364" s="12">
        <v>1214.096251934913</v>
      </c>
      <c r="N364" s="12">
        <v>1.4547959099381547</v>
      </c>
      <c r="O364" s="12">
        <v>13.698931470481812</v>
      </c>
      <c r="P364" s="12">
        <v>30.664065522299325</v>
      </c>
      <c r="Q364" s="12">
        <v>21.013333333333335</v>
      </c>
      <c r="R364" s="12">
        <v>25.687066627091919</v>
      </c>
      <c r="S364" s="12">
        <v>2119.7262056800892</v>
      </c>
      <c r="T364" s="15">
        <v>2.0854740930000002</v>
      </c>
      <c r="U364" s="12">
        <v>6.3837815435144503</v>
      </c>
      <c r="V364" s="12">
        <v>1453040562.3360715</v>
      </c>
      <c r="W364" s="12">
        <v>3.6993445839200705</v>
      </c>
      <c r="X364" s="12">
        <v>3.641215007</v>
      </c>
      <c r="Y364" s="15">
        <v>8.8102982040000004</v>
      </c>
      <c r="Z364" s="15">
        <v>0.68345999999999996</v>
      </c>
      <c r="AA364" s="15">
        <v>6.1085823340000003</v>
      </c>
      <c r="AB364" s="12">
        <v>9.4027344016102834</v>
      </c>
      <c r="AC364" s="12" t="s">
        <v>37</v>
      </c>
      <c r="AD364" s="12">
        <v>21.448073581177105</v>
      </c>
      <c r="AE364">
        <v>1</v>
      </c>
    </row>
    <row r="365" spans="1:31" ht="15" customHeight="1" x14ac:dyDescent="0.3">
      <c r="A365" s="12" t="s">
        <v>320</v>
      </c>
      <c r="B365" s="12">
        <v>52.141441557142471</v>
      </c>
      <c r="C365" s="12">
        <v>11.378821806474162</v>
      </c>
      <c r="D365" s="12">
        <v>2.1270225246747327</v>
      </c>
      <c r="E365" s="12">
        <v>55.539296296296293</v>
      </c>
      <c r="F365" s="12">
        <v>-0.736807068188985</v>
      </c>
      <c r="G365" s="12">
        <v>21.74897238905718</v>
      </c>
      <c r="H365" s="12">
        <v>-0.84567557733195609</v>
      </c>
      <c r="I365" s="12">
        <v>-0.78309322396914138</v>
      </c>
      <c r="J365" s="12">
        <v>-0.67421452949444449</v>
      </c>
      <c r="K365" s="12">
        <v>-0.60649732376138366</v>
      </c>
      <c r="L365" s="12">
        <v>-0.45123506585756962</v>
      </c>
      <c r="M365" s="12">
        <v>418.24411328061507</v>
      </c>
      <c r="N365" s="12">
        <v>3.6235005080082829</v>
      </c>
      <c r="O365" s="12" t="s">
        <v>37</v>
      </c>
      <c r="P365" s="12" t="s">
        <v>37</v>
      </c>
      <c r="Q365" s="12">
        <v>19.059999999999999</v>
      </c>
      <c r="R365" s="12" t="s">
        <v>37</v>
      </c>
      <c r="S365" s="12">
        <v>545.41289823570628</v>
      </c>
      <c r="T365" s="15">
        <v>0.98810110949999996</v>
      </c>
      <c r="U365" s="12" t="s">
        <v>37</v>
      </c>
      <c r="V365" s="12" t="s">
        <v>37</v>
      </c>
      <c r="W365" s="12">
        <v>3.099443251887958</v>
      </c>
      <c r="X365" s="12">
        <v>1.4652212010000001</v>
      </c>
      <c r="Y365" s="15" t="s">
        <v>37</v>
      </c>
      <c r="Z365" s="15" t="s">
        <v>37</v>
      </c>
      <c r="AA365" s="15" t="s">
        <v>37</v>
      </c>
      <c r="AB365" s="12" t="s">
        <v>37</v>
      </c>
      <c r="AC365" s="12">
        <v>9.6928074371708881</v>
      </c>
      <c r="AD365" s="12">
        <v>28.378220572152372</v>
      </c>
      <c r="AE365">
        <v>1</v>
      </c>
    </row>
    <row r="366" spans="1:31" ht="15" customHeight="1" x14ac:dyDescent="0.3">
      <c r="A366" s="12" t="s">
        <v>322</v>
      </c>
      <c r="B366" s="12">
        <v>89.419020080566426</v>
      </c>
      <c r="C366" s="12">
        <v>38.528485298156745</v>
      </c>
      <c r="D366" s="12">
        <v>9.8702456951141286</v>
      </c>
      <c r="E366" s="12">
        <v>49.776074074074074</v>
      </c>
      <c r="F366" s="12">
        <v>-1.1660804127653448</v>
      </c>
      <c r="G366" s="12" t="s">
        <v>37</v>
      </c>
      <c r="H366" s="12">
        <v>-1.808971529205639</v>
      </c>
      <c r="I366" s="12">
        <v>-1.0467441553870842</v>
      </c>
      <c r="J366" s="12">
        <v>-0.91903460025787309</v>
      </c>
      <c r="K366" s="12">
        <v>-1.1173807208736737</v>
      </c>
      <c r="L366" s="12">
        <v>-0.67587431271870946</v>
      </c>
      <c r="M366" s="12">
        <v>1429.0120719466261</v>
      </c>
      <c r="N366" s="12">
        <v>2.6106651361699225</v>
      </c>
      <c r="O366" s="12" t="s">
        <v>37</v>
      </c>
      <c r="P366" s="12" t="s">
        <v>37</v>
      </c>
      <c r="Q366" s="12">
        <v>21.271428571428572</v>
      </c>
      <c r="R366" s="12" t="s">
        <v>37</v>
      </c>
      <c r="S366" s="12">
        <v>2449.5879808747291</v>
      </c>
      <c r="T366" s="15">
        <v>2.016115594</v>
      </c>
      <c r="U366" s="12" t="s">
        <v>37</v>
      </c>
      <c r="V366" s="12" t="s">
        <v>37</v>
      </c>
      <c r="W366" s="12" t="s">
        <v>37</v>
      </c>
      <c r="X366" s="12">
        <v>0.64935102899999997</v>
      </c>
      <c r="Y366" s="15" t="s">
        <v>37</v>
      </c>
      <c r="Z366" s="15" t="s">
        <v>37</v>
      </c>
      <c r="AA366" s="15" t="s">
        <v>37</v>
      </c>
      <c r="AB366" s="12" t="s">
        <v>37</v>
      </c>
      <c r="AC366" s="12" t="s">
        <v>37</v>
      </c>
      <c r="AD366" s="12" t="s">
        <v>37</v>
      </c>
      <c r="AE366">
        <v>1</v>
      </c>
    </row>
    <row r="367" spans="1:31" ht="15" customHeight="1" x14ac:dyDescent="0.3">
      <c r="A367" s="12" t="s">
        <v>324</v>
      </c>
      <c r="B367" s="12">
        <v>92.875354919433576</v>
      </c>
      <c r="C367" s="12">
        <v>79.245432535807296</v>
      </c>
      <c r="D367" s="12">
        <v>32.226462402343742</v>
      </c>
      <c r="E367" s="12">
        <v>74.191427280939493</v>
      </c>
      <c r="F367" s="12">
        <v>-0.3682212014682591</v>
      </c>
      <c r="G367" s="12">
        <v>21.246830539309077</v>
      </c>
      <c r="H367" s="12">
        <v>-0.42522214582034729</v>
      </c>
      <c r="I367" s="12">
        <v>-0.22377081882829472</v>
      </c>
      <c r="J367" s="12">
        <v>0.1486521606178334</v>
      </c>
      <c r="K367" s="12">
        <v>-0.30389347501720004</v>
      </c>
      <c r="L367" s="12">
        <v>-3.8645854607845261E-2</v>
      </c>
      <c r="M367" s="12">
        <v>2897.1937674655428</v>
      </c>
      <c r="N367" s="12">
        <v>0.15124921684535475</v>
      </c>
      <c r="O367" s="12">
        <v>17.207710441685119</v>
      </c>
      <c r="P367" s="12">
        <v>28.893294288586553</v>
      </c>
      <c r="Q367" s="12">
        <v>10.166666666666666</v>
      </c>
      <c r="R367" s="12">
        <v>17.047455575056585</v>
      </c>
      <c r="S367" s="12">
        <v>5500.3990588356519</v>
      </c>
      <c r="T367" s="15">
        <v>2.402775552</v>
      </c>
      <c r="U367" s="12">
        <v>6.0618580367568793</v>
      </c>
      <c r="V367" s="12">
        <v>5165819625.7058821</v>
      </c>
      <c r="W367" s="12">
        <v>3.9581634203592935</v>
      </c>
      <c r="X367" s="12">
        <v>4.2873856239999997</v>
      </c>
      <c r="Y367" s="15">
        <v>14.525957480000001</v>
      </c>
      <c r="Z367" s="15">
        <v>1.23942</v>
      </c>
      <c r="AA367" s="15">
        <v>5.9232548280000001</v>
      </c>
      <c r="AB367" s="12" t="s">
        <v>37</v>
      </c>
      <c r="AC367" s="12">
        <v>15.718043194194415</v>
      </c>
      <c r="AD367" s="12" t="s">
        <v>37</v>
      </c>
      <c r="AE367">
        <v>1</v>
      </c>
    </row>
    <row r="368" spans="1:31" ht="15" customHeight="1" x14ac:dyDescent="0.3">
      <c r="A368" s="12" t="s">
        <v>326</v>
      </c>
      <c r="B368" s="12" t="s">
        <v>37</v>
      </c>
      <c r="C368" s="12" t="s">
        <v>37</v>
      </c>
      <c r="D368" s="12" t="s">
        <v>37</v>
      </c>
      <c r="E368" s="12" t="s">
        <v>37</v>
      </c>
      <c r="F368" s="12" t="s">
        <v>37</v>
      </c>
      <c r="G368" s="12" t="s">
        <v>37</v>
      </c>
      <c r="H368" s="12" t="s">
        <v>37</v>
      </c>
      <c r="I368" s="12" t="s">
        <v>37</v>
      </c>
      <c r="J368" s="12" t="s">
        <v>37</v>
      </c>
      <c r="K368" s="12" t="s">
        <v>37</v>
      </c>
      <c r="L368" s="12" t="s">
        <v>37</v>
      </c>
      <c r="M368" s="12" t="s">
        <v>37</v>
      </c>
      <c r="N368" s="12">
        <v>0.12956153929013042</v>
      </c>
      <c r="O368" s="12" t="s">
        <v>37</v>
      </c>
      <c r="P368" s="12" t="s">
        <v>37</v>
      </c>
      <c r="Q368" s="12" t="s">
        <v>37</v>
      </c>
      <c r="R368" s="12" t="s">
        <v>37</v>
      </c>
      <c r="S368" s="12" t="s">
        <v>37</v>
      </c>
      <c r="T368" s="15" t="s">
        <v>37</v>
      </c>
      <c r="U368" s="12" t="s">
        <v>37</v>
      </c>
      <c r="V368" s="12" t="s">
        <v>37</v>
      </c>
      <c r="W368" s="12" t="s">
        <v>37</v>
      </c>
      <c r="X368" s="12" t="s">
        <v>37</v>
      </c>
      <c r="Y368" s="15" t="s">
        <v>37</v>
      </c>
      <c r="Z368" s="15" t="s">
        <v>37</v>
      </c>
      <c r="AA368" s="15" t="s">
        <v>37</v>
      </c>
      <c r="AB368" s="12" t="s">
        <v>37</v>
      </c>
      <c r="AC368" s="12" t="s">
        <v>37</v>
      </c>
      <c r="AD368" s="12" t="s">
        <v>37</v>
      </c>
      <c r="AE368">
        <v>0</v>
      </c>
    </row>
    <row r="369" spans="1:31" ht="15" customHeight="1" x14ac:dyDescent="0.3">
      <c r="A369" s="12" t="s">
        <v>328</v>
      </c>
      <c r="B369" s="12">
        <v>98.758071051703581</v>
      </c>
      <c r="C369" s="12">
        <v>115.01374534324371</v>
      </c>
      <c r="D369" s="12">
        <v>75.011300546151617</v>
      </c>
      <c r="E369" s="12">
        <v>80.572466124661233</v>
      </c>
      <c r="F369" s="12">
        <v>2.0954481462637582</v>
      </c>
      <c r="G369" s="12">
        <v>22.480768435949006</v>
      </c>
      <c r="H369" s="12">
        <v>1.2531713992357261</v>
      </c>
      <c r="I369" s="12">
        <v>1.8769155194362011</v>
      </c>
      <c r="J369" s="12">
        <v>1.514164720972379</v>
      </c>
      <c r="K369" s="12">
        <v>1.9229007711013153</v>
      </c>
      <c r="L369" s="12">
        <v>1.6310738821824389</v>
      </c>
      <c r="M369" s="12">
        <v>58380.568466728</v>
      </c>
      <c r="N369" s="12">
        <v>0.81794399964471931</v>
      </c>
      <c r="O369" s="12">
        <v>25.1714097182529</v>
      </c>
      <c r="P369" s="12">
        <v>48.60574908977992</v>
      </c>
      <c r="Q369" s="12">
        <v>23.913333333333341</v>
      </c>
      <c r="R369" s="12">
        <v>26.484159915064865</v>
      </c>
      <c r="S369" s="12">
        <v>79442.533445360983</v>
      </c>
      <c r="T369" s="15">
        <v>1.156587705</v>
      </c>
      <c r="U369" s="12">
        <v>0.47778660986208477</v>
      </c>
      <c r="V369" s="12">
        <v>2471333333.3333335</v>
      </c>
      <c r="W369" s="12">
        <v>7.134290871796785</v>
      </c>
      <c r="X369" s="12">
        <v>7.7494328460000004</v>
      </c>
      <c r="Y369" s="15">
        <v>11.47868261</v>
      </c>
      <c r="Z369" s="15">
        <v>0.10324</v>
      </c>
      <c r="AA369" s="15">
        <v>11.990362790000001</v>
      </c>
      <c r="AB369" s="12">
        <v>23.004906877311456</v>
      </c>
      <c r="AC369" s="12">
        <v>21.439087648914278</v>
      </c>
      <c r="AD369" s="12">
        <v>19.665160203523314</v>
      </c>
      <c r="AE369">
        <v>0</v>
      </c>
    </row>
    <row r="370" spans="1:31" ht="15" customHeight="1" x14ac:dyDescent="0.3">
      <c r="A370" s="12" t="s">
        <v>330</v>
      </c>
      <c r="B370" s="12">
        <v>96.318406911996718</v>
      </c>
      <c r="C370" s="12">
        <v>89.731719818115195</v>
      </c>
      <c r="D370" s="12">
        <v>27.486757863651622</v>
      </c>
      <c r="E370" s="12">
        <v>75.052407407407387</v>
      </c>
      <c r="F370" s="12">
        <v>0.36397220256427931</v>
      </c>
      <c r="G370" s="12">
        <v>25.796572990553518</v>
      </c>
      <c r="H370" s="12">
        <v>0.75008849551280354</v>
      </c>
      <c r="I370" s="12">
        <v>0.24826113328648114</v>
      </c>
      <c r="J370" s="12">
        <v>0.4445642192537585</v>
      </c>
      <c r="K370" s="12">
        <v>0.46415914470950764</v>
      </c>
      <c r="L370" s="12">
        <v>-1.0008915265401201</v>
      </c>
      <c r="M370" s="12">
        <v>17957.155909569137</v>
      </c>
      <c r="N370" s="12">
        <v>2.7806309141899166</v>
      </c>
      <c r="O370" s="12" t="s">
        <v>37</v>
      </c>
      <c r="P370" s="12" t="s">
        <v>37</v>
      </c>
      <c r="Q370" s="12">
        <v>10.713333333333335</v>
      </c>
      <c r="R370" s="12" t="s">
        <v>37</v>
      </c>
      <c r="S370" s="12">
        <v>18856.875237347755</v>
      </c>
      <c r="T370" s="15">
        <v>0.18123398639999999</v>
      </c>
      <c r="U370" s="12" t="s">
        <v>37</v>
      </c>
      <c r="V370" s="12" t="s">
        <v>37</v>
      </c>
      <c r="W370" s="12">
        <v>3.8227106843675878</v>
      </c>
      <c r="X370" s="12">
        <v>2.8232168799999999</v>
      </c>
      <c r="Y370" s="15" t="s">
        <v>37</v>
      </c>
      <c r="Z370" s="15" t="s">
        <v>37</v>
      </c>
      <c r="AA370" s="15" t="s">
        <v>37</v>
      </c>
      <c r="AB370" s="12" t="s">
        <v>37</v>
      </c>
      <c r="AC370" s="12">
        <v>14.979932543196849</v>
      </c>
      <c r="AD370" s="12" t="s">
        <v>37</v>
      </c>
      <c r="AE370">
        <v>0</v>
      </c>
    </row>
    <row r="371" spans="1:31" ht="15" customHeight="1" x14ac:dyDescent="0.3">
      <c r="A371" s="12" t="s">
        <v>332</v>
      </c>
      <c r="B371" s="12">
        <v>73.122050694056924</v>
      </c>
      <c r="C371" s="12">
        <v>31.355923016866043</v>
      </c>
      <c r="D371" s="12">
        <v>7.1953903506783865</v>
      </c>
      <c r="E371" s="12">
        <v>63.803555555555569</v>
      </c>
      <c r="F371" s="12">
        <v>-0.93923326581716537</v>
      </c>
      <c r="G371" s="12">
        <v>14.559640591391334</v>
      </c>
      <c r="H371" s="12">
        <v>-2.0822696387767796</v>
      </c>
      <c r="I371" s="12">
        <v>-0.63259316980838787</v>
      </c>
      <c r="J371" s="12">
        <v>-0.69106852635741234</v>
      </c>
      <c r="K371" s="12">
        <v>-0.81618610521157564</v>
      </c>
      <c r="L371" s="12">
        <v>-0.86041963100433339</v>
      </c>
      <c r="M371" s="12">
        <v>1040.2882967377277</v>
      </c>
      <c r="N371" s="12">
        <v>2.157207629559617</v>
      </c>
      <c r="O371" s="12">
        <v>11.559143400118376</v>
      </c>
      <c r="P371" s="12">
        <v>27.526803600109595</v>
      </c>
      <c r="Q371" s="12">
        <v>18.38571428571429</v>
      </c>
      <c r="R371" s="12">
        <v>21.369620908452635</v>
      </c>
      <c r="S371" s="12">
        <v>1695.9565213880849</v>
      </c>
      <c r="T371" s="15">
        <v>1.8266646419999999</v>
      </c>
      <c r="U371" s="12">
        <v>20.590246587171428</v>
      </c>
      <c r="V371" s="12">
        <v>71885250000</v>
      </c>
      <c r="W371" s="12">
        <v>2.3473720153172812</v>
      </c>
      <c r="X371" s="12">
        <v>0.69408719200000002</v>
      </c>
      <c r="Y371" s="15">
        <v>0.66714124640000005</v>
      </c>
      <c r="Z371" s="15">
        <v>0.35741000000000001</v>
      </c>
      <c r="AA371" s="15">
        <v>0.48853312659999998</v>
      </c>
      <c r="AB371" s="12" t="s">
        <v>37</v>
      </c>
      <c r="AC371" s="12">
        <v>17.034206145808881</v>
      </c>
      <c r="AD371" s="12">
        <v>14.009936495332486</v>
      </c>
      <c r="AE371">
        <v>1</v>
      </c>
    </row>
    <row r="372" spans="1:31" ht="15" customHeight="1" x14ac:dyDescent="0.3">
      <c r="A372" s="12" t="s">
        <v>334</v>
      </c>
      <c r="B372" s="12">
        <v>105.5830431851473</v>
      </c>
      <c r="C372" s="12">
        <v>105.07082089510835</v>
      </c>
      <c r="D372" s="12">
        <v>46.476617813110352</v>
      </c>
      <c r="E372" s="12">
        <v>70.489186991869914</v>
      </c>
      <c r="F372" s="12">
        <v>7.8171513477961224E-2</v>
      </c>
      <c r="G372" s="12" t="s">
        <v>37</v>
      </c>
      <c r="H372" s="12">
        <v>1.1084386587142936</v>
      </c>
      <c r="I372" s="12">
        <v>-0.13759889503320058</v>
      </c>
      <c r="J372" s="12">
        <v>-0.26479258388280863</v>
      </c>
      <c r="K372" s="12">
        <v>0.82853340605894743</v>
      </c>
      <c r="L372" s="12">
        <v>1.1597413718700407</v>
      </c>
      <c r="M372" s="12" t="s">
        <v>37</v>
      </c>
      <c r="N372" s="12">
        <v>0.26708380479565175</v>
      </c>
      <c r="O372" s="12">
        <v>18.50638406307257</v>
      </c>
      <c r="P372" s="12">
        <v>19.592678371517064</v>
      </c>
      <c r="Q372" s="12">
        <v>65.846666666666636</v>
      </c>
      <c r="R372" s="12">
        <v>8.3205655185420202</v>
      </c>
      <c r="S372" s="12" t="s">
        <v>37</v>
      </c>
      <c r="T372" s="15" t="s">
        <v>37</v>
      </c>
      <c r="U372" s="12">
        <v>24.189479472002581</v>
      </c>
      <c r="V372" s="12">
        <v>11063259.472611368</v>
      </c>
      <c r="W372" s="12">
        <v>7.7490564982096366</v>
      </c>
      <c r="X372" s="12">
        <v>4.9251394380000004</v>
      </c>
      <c r="Y372" s="15">
        <v>10.660498690000001</v>
      </c>
      <c r="Z372" s="15">
        <v>5.4461199999999996</v>
      </c>
      <c r="AA372" s="15">
        <v>4.0471006200000001</v>
      </c>
      <c r="AB372" s="12" t="s">
        <v>37</v>
      </c>
      <c r="AC372" s="12" t="s">
        <v>37</v>
      </c>
      <c r="AD372" s="12" t="s">
        <v>37</v>
      </c>
      <c r="AE372">
        <v>0</v>
      </c>
    </row>
    <row r="373" spans="1:31" ht="15" customHeight="1" x14ac:dyDescent="0.3">
      <c r="A373" s="12" t="s">
        <v>336</v>
      </c>
      <c r="B373" s="12">
        <v>102.81250234750601</v>
      </c>
      <c r="C373" s="12">
        <v>70.982598114013669</v>
      </c>
      <c r="D373" s="12">
        <v>42.374039043079726</v>
      </c>
      <c r="E373" s="12">
        <v>75.746074074074073</v>
      </c>
      <c r="F373" s="12">
        <v>-0.40657020453363674</v>
      </c>
      <c r="G373" s="12">
        <v>28.495191807513368</v>
      </c>
      <c r="H373" s="12">
        <v>0.13385353361566862</v>
      </c>
      <c r="I373" s="12">
        <v>0.12432613464382791</v>
      </c>
      <c r="J373" s="12">
        <v>0.42893905875583488</v>
      </c>
      <c r="K373" s="12">
        <v>-0.14640811956875649</v>
      </c>
      <c r="L373" s="12">
        <v>0.52658742604156339</v>
      </c>
      <c r="M373" s="12">
        <v>6112.4727965178463</v>
      </c>
      <c r="N373" s="12">
        <v>1.8208163076996844</v>
      </c>
      <c r="O373" s="12">
        <v>9.3113009559906867</v>
      </c>
      <c r="P373" s="12">
        <v>43.262692661669874</v>
      </c>
      <c r="Q373" s="12">
        <v>12.373333333333335</v>
      </c>
      <c r="R373" s="12">
        <v>31.314690430630201</v>
      </c>
      <c r="S373" s="12">
        <v>15388.05586489037</v>
      </c>
      <c r="T373" s="15">
        <v>3.4786186859999999</v>
      </c>
      <c r="U373" s="12">
        <v>5.9016777541084009</v>
      </c>
      <c r="V373" s="12">
        <v>330760606.255</v>
      </c>
      <c r="W373" s="12">
        <v>3.6303843140602119</v>
      </c>
      <c r="X373" s="12">
        <v>4.5672135129999996</v>
      </c>
      <c r="Y373" s="15">
        <v>7.9641855780000004</v>
      </c>
      <c r="Z373" s="15">
        <v>0.98448000000000002</v>
      </c>
      <c r="AA373" s="15">
        <v>7.24183763</v>
      </c>
      <c r="AB373" s="12" t="s">
        <v>37</v>
      </c>
      <c r="AC373" s="12">
        <v>23.233448756162865</v>
      </c>
      <c r="AD373" s="12" t="s">
        <v>37</v>
      </c>
      <c r="AE373">
        <v>0</v>
      </c>
    </row>
    <row r="374" spans="1:31" ht="15" customHeight="1" x14ac:dyDescent="0.3">
      <c r="A374" s="12" t="s">
        <v>338</v>
      </c>
      <c r="B374" s="12">
        <v>71.663102467854813</v>
      </c>
      <c r="C374" s="12">
        <v>28.598367929458625</v>
      </c>
      <c r="D374" s="12">
        <v>2.6742274761199951</v>
      </c>
      <c r="E374" s="12">
        <v>62.98696296296297</v>
      </c>
      <c r="F374" s="12">
        <v>-0.92193516219655658</v>
      </c>
      <c r="G374" s="12">
        <v>17.540983435420056</v>
      </c>
      <c r="H374" s="12">
        <v>-0.60472798844178521</v>
      </c>
      <c r="I374" s="12">
        <v>-0.66961745048562682</v>
      </c>
      <c r="J374" s="12">
        <v>-0.60019237423936522</v>
      </c>
      <c r="K374" s="12">
        <v>-0.80393451700607954</v>
      </c>
      <c r="L374" s="12">
        <v>-2.1180029143579315E-2</v>
      </c>
      <c r="M374" s="12">
        <v>2411.8577503146603</v>
      </c>
      <c r="N374" s="12">
        <v>2.9786343287319519</v>
      </c>
      <c r="O374" s="12">
        <v>17.976832830387568</v>
      </c>
      <c r="P374" s="12">
        <v>57.70331841389465</v>
      </c>
      <c r="Q374" s="12">
        <v>22.639999999999993</v>
      </c>
      <c r="R374" s="12">
        <v>46.674512006519578</v>
      </c>
      <c r="S374" s="12">
        <v>2462.5490906187974</v>
      </c>
      <c r="T374" s="15">
        <v>7.7065709400000001E-2</v>
      </c>
      <c r="U374" s="12">
        <v>13.855452985782962</v>
      </c>
      <c r="V374" s="12">
        <v>380605921.24526674</v>
      </c>
      <c r="W374" s="12">
        <v>1.919880032539365</v>
      </c>
      <c r="X374" s="12">
        <v>1.631424137</v>
      </c>
      <c r="Y374" s="15">
        <v>4.0620079420000001</v>
      </c>
      <c r="Z374" s="15">
        <v>1.5391300000000001</v>
      </c>
      <c r="AA374" s="15">
        <v>8.3524268100000008</v>
      </c>
      <c r="AB374" s="12">
        <v>19.72715385732965</v>
      </c>
      <c r="AC374" s="12">
        <v>19.535517458472565</v>
      </c>
      <c r="AD374" s="12" t="s">
        <v>37</v>
      </c>
      <c r="AE374">
        <v>1</v>
      </c>
    </row>
    <row r="375" spans="1:31" ht="15" customHeight="1" x14ac:dyDescent="0.3">
      <c r="A375" s="12" t="s">
        <v>340</v>
      </c>
      <c r="B375" s="12">
        <v>110.21330085167521</v>
      </c>
      <c r="C375" s="12">
        <v>69.2754807472229</v>
      </c>
      <c r="D375" s="12">
        <v>25.162846271808341</v>
      </c>
      <c r="E375" s="12">
        <v>71.320111111111117</v>
      </c>
      <c r="F375" s="12">
        <v>-1.0488943159580233</v>
      </c>
      <c r="G375" s="12">
        <v>18.889891845971814</v>
      </c>
      <c r="H375" s="12">
        <v>-0.48307092871012475</v>
      </c>
      <c r="I375" s="12">
        <v>-0.8584938173492751</v>
      </c>
      <c r="J375" s="12">
        <v>-0.40653314751883346</v>
      </c>
      <c r="K375" s="12">
        <v>-0.78724943970640515</v>
      </c>
      <c r="L375" s="12">
        <v>-0.15842279793772229</v>
      </c>
      <c r="M375" s="12">
        <v>4421.910046213814</v>
      </c>
      <c r="N375" s="12">
        <v>1.4801546357625226</v>
      </c>
      <c r="O375" s="12">
        <v>9.1637086797538547</v>
      </c>
      <c r="P375" s="12">
        <v>21.182588563405769</v>
      </c>
      <c r="Q375" s="12">
        <v>11.566666666666663</v>
      </c>
      <c r="R375" s="12">
        <v>12.004221271305614</v>
      </c>
      <c r="S375" s="12">
        <v>6193.3746122161847</v>
      </c>
      <c r="T375" s="15">
        <v>1.255626393</v>
      </c>
      <c r="U375" s="12">
        <v>11.169841668269667</v>
      </c>
      <c r="V375" s="12">
        <v>1634617163503.353</v>
      </c>
      <c r="W375" s="12">
        <v>3.4251503490266346</v>
      </c>
      <c r="X375" s="12">
        <v>2.4300986990000002</v>
      </c>
      <c r="Y375" s="15">
        <v>8.3225957420000007</v>
      </c>
      <c r="Z375" s="15">
        <v>1.3373900000000001</v>
      </c>
      <c r="AA375" s="15">
        <v>2.832285964</v>
      </c>
      <c r="AB375" s="12" t="s">
        <v>37</v>
      </c>
      <c r="AC375" s="12">
        <v>20.028392465106357</v>
      </c>
      <c r="AD375" s="12">
        <v>21.795309558394756</v>
      </c>
      <c r="AE375">
        <v>0</v>
      </c>
    </row>
    <row r="376" spans="1:31" ht="15" customHeight="1" x14ac:dyDescent="0.3">
      <c r="A376" s="12" t="s">
        <v>342</v>
      </c>
      <c r="B376" s="12">
        <v>109.39461326599121</v>
      </c>
      <c r="C376" s="12">
        <v>89.031561170305523</v>
      </c>
      <c r="D376" s="12">
        <v>37.057502746582038</v>
      </c>
      <c r="E376" s="12">
        <v>72.801481481481488</v>
      </c>
      <c r="F376" s="12">
        <v>-0.42404774265984696</v>
      </c>
      <c r="G376" s="12">
        <v>21.365092853039297</v>
      </c>
      <c r="H376" s="12">
        <v>-0.70371187850832906</v>
      </c>
      <c r="I376" s="12">
        <v>-0.33660640831415845</v>
      </c>
      <c r="J376" s="12">
        <v>0.32347635137072456</v>
      </c>
      <c r="K376" s="12">
        <v>-0.59402179718017578</v>
      </c>
      <c r="L376" s="12">
        <v>5.880308616906401E-2</v>
      </c>
      <c r="M376" s="12">
        <v>3146.0451374896165</v>
      </c>
      <c r="N376" s="12">
        <v>1.261484476080839</v>
      </c>
      <c r="O376" s="12">
        <v>14.550239832900298</v>
      </c>
      <c r="P376" s="12">
        <v>35.180903132276541</v>
      </c>
      <c r="Q376" s="12">
        <v>23.546666666666663</v>
      </c>
      <c r="R376" s="12">
        <v>26.515832531893235</v>
      </c>
      <c r="S376" s="12">
        <v>6554.9610592813524</v>
      </c>
      <c r="T376" s="15">
        <v>2.7560967000000001</v>
      </c>
      <c r="U376" s="12">
        <v>5.4792274371795262</v>
      </c>
      <c r="V376" s="12">
        <v>1944733970.3716846</v>
      </c>
      <c r="W376" s="12">
        <v>3.298510780701271</v>
      </c>
      <c r="X376" s="12">
        <v>2.68506519</v>
      </c>
      <c r="Y376" s="15">
        <v>7.0192287440000003</v>
      </c>
      <c r="Z376" s="15">
        <v>0.46310000000000001</v>
      </c>
      <c r="AA376" s="15">
        <v>5.4640166309999998</v>
      </c>
      <c r="AB376" s="12">
        <v>13.684757572985873</v>
      </c>
      <c r="AC376" s="12">
        <v>23.958324671761059</v>
      </c>
      <c r="AD376" s="12">
        <v>23.583612025757198</v>
      </c>
      <c r="AE376">
        <v>0</v>
      </c>
    </row>
    <row r="377" spans="1:31" ht="15" customHeight="1" x14ac:dyDescent="0.3">
      <c r="A377" s="12" t="s">
        <v>344</v>
      </c>
      <c r="B377" s="12">
        <v>105.07999897003168</v>
      </c>
      <c r="C377" s="12">
        <v>82.557346509850547</v>
      </c>
      <c r="D377" s="12">
        <v>31.277169068654377</v>
      </c>
      <c r="E377" s="12">
        <v>70.318851851851861</v>
      </c>
      <c r="F377" s="12">
        <v>-0.59058612833420432</v>
      </c>
      <c r="G377" s="12">
        <v>20.949699348848764</v>
      </c>
      <c r="H377" s="12">
        <v>-1.1723083158334096</v>
      </c>
      <c r="I377" s="12">
        <v>1.4733579164991665E-2</v>
      </c>
      <c r="J377" s="12">
        <v>-2.733333346744389E-2</v>
      </c>
      <c r="K377" s="12">
        <v>-0.45516228792257607</v>
      </c>
      <c r="L377" s="12">
        <v>4.4139215179408581E-2</v>
      </c>
      <c r="M377" s="12">
        <v>1725.5023808074038</v>
      </c>
      <c r="N377" s="12">
        <v>1.9288763138002281</v>
      </c>
      <c r="O377" s="12">
        <v>13.041536570574793</v>
      </c>
      <c r="P377" s="12">
        <v>43.585616173953987</v>
      </c>
      <c r="Q377" s="12">
        <v>20.673333333333336</v>
      </c>
      <c r="R377" s="12">
        <v>38.820470593154248</v>
      </c>
      <c r="S377" s="12">
        <v>3527.9811524254701</v>
      </c>
      <c r="T377" s="15">
        <v>2.6843125059999999</v>
      </c>
      <c r="U377" s="12">
        <v>22.124397359482025</v>
      </c>
      <c r="V377" s="12">
        <v>285240785714.28571</v>
      </c>
      <c r="W377" s="12">
        <v>3.0932140557662309</v>
      </c>
      <c r="X377" s="12">
        <v>1.3657113750000001</v>
      </c>
      <c r="Y377" s="15">
        <v>3.8508835750000001</v>
      </c>
      <c r="Z377" s="15">
        <v>2.9518900000000001</v>
      </c>
      <c r="AA377" s="15">
        <v>5.7402281200000003</v>
      </c>
      <c r="AB377" s="12">
        <v>14.26625523510088</v>
      </c>
      <c r="AC377" s="12" t="s">
        <v>37</v>
      </c>
      <c r="AD377" s="12">
        <v>23.336461857464901</v>
      </c>
      <c r="AE377">
        <v>1</v>
      </c>
    </row>
    <row r="378" spans="1:31" ht="15" customHeight="1" x14ac:dyDescent="0.3">
      <c r="A378" s="12" t="s">
        <v>346</v>
      </c>
      <c r="B378" s="12">
        <v>98.440761413574236</v>
      </c>
      <c r="C378" s="12">
        <v>103.26630881980601</v>
      </c>
      <c r="D378" s="12">
        <v>62.222405468976056</v>
      </c>
      <c r="E378" s="12">
        <v>75.418337850045162</v>
      </c>
      <c r="F378" s="12">
        <v>0.53664755200346315</v>
      </c>
      <c r="G378" s="12">
        <v>19.905418280454576</v>
      </c>
      <c r="H378" s="12">
        <v>0.66840423084795442</v>
      </c>
      <c r="I378" s="12">
        <v>0.52294698233405745</v>
      </c>
      <c r="J378" s="12">
        <v>0.84583858400583256</v>
      </c>
      <c r="K378" s="12">
        <v>0.59308206165830291</v>
      </c>
      <c r="L378" s="12">
        <v>0.91669475038846315</v>
      </c>
      <c r="M378" s="12">
        <v>5628.4462389587625</v>
      </c>
      <c r="N378" s="12">
        <v>-7.7245129188083642E-2</v>
      </c>
      <c r="O378" s="12">
        <v>17.504442661604728</v>
      </c>
      <c r="P378" s="12">
        <v>28.636344265012443</v>
      </c>
      <c r="Q378" s="12">
        <v>15.046666666666665</v>
      </c>
      <c r="R378" s="12">
        <v>14.599116814803395</v>
      </c>
      <c r="S378" s="12">
        <v>17117.328100859304</v>
      </c>
      <c r="T378" s="15">
        <v>4.2055011120000003</v>
      </c>
      <c r="U378" s="12">
        <v>4.4101992709981781</v>
      </c>
      <c r="V378" s="12">
        <v>4908800000</v>
      </c>
      <c r="W378" s="12">
        <v>4.9989361579601583</v>
      </c>
      <c r="X378" s="12">
        <v>4.3220516260000004</v>
      </c>
      <c r="Y378" s="15">
        <v>11.53368562</v>
      </c>
      <c r="Z378" s="15">
        <v>0.35583999999999999</v>
      </c>
      <c r="AA378" s="15">
        <v>4.4478118100000001</v>
      </c>
      <c r="AB378" s="12">
        <v>22.369153190749437</v>
      </c>
      <c r="AC378" s="12">
        <v>17.416391352228597</v>
      </c>
      <c r="AD378" s="12">
        <v>16.807655758200095</v>
      </c>
      <c r="AE378">
        <v>0</v>
      </c>
    </row>
    <row r="379" spans="1:31" ht="15" customHeight="1" x14ac:dyDescent="0.3">
      <c r="A379" s="12" t="s">
        <v>348</v>
      </c>
      <c r="B379" s="12">
        <v>112.70514561579775</v>
      </c>
      <c r="C379" s="12">
        <v>109.49672933725212</v>
      </c>
      <c r="D379" s="12">
        <v>56.775136427445858</v>
      </c>
      <c r="E379" s="12">
        <v>78.712827461607972</v>
      </c>
      <c r="F379" s="12">
        <v>0.98829601953426971</v>
      </c>
      <c r="G379" s="12">
        <v>21.292889198251636</v>
      </c>
      <c r="H379" s="12">
        <v>1.0018491446971887</v>
      </c>
      <c r="I379" s="12">
        <v>1.0683539807796463</v>
      </c>
      <c r="J379" s="12">
        <v>0.95476246128479625</v>
      </c>
      <c r="K379" s="12">
        <v>1.1195836290717123</v>
      </c>
      <c r="L379" s="12">
        <v>1.2385563900073369</v>
      </c>
      <c r="M379" s="12">
        <v>15788.983105781952</v>
      </c>
      <c r="N379" s="12">
        <v>0.13478416668135826</v>
      </c>
      <c r="O379" s="12">
        <v>21.121891955914226</v>
      </c>
      <c r="P379" s="12">
        <v>39.521716894940567</v>
      </c>
      <c r="Q379" s="12">
        <v>14.173333333333334</v>
      </c>
      <c r="R379" s="12">
        <v>22.834857049917382</v>
      </c>
      <c r="S379" s="12">
        <v>22125.939194710907</v>
      </c>
      <c r="T379" s="15">
        <v>1.2576134400000001</v>
      </c>
      <c r="U379" s="12">
        <v>2.9886166532763999E-3</v>
      </c>
      <c r="V379" s="12">
        <v>634375</v>
      </c>
      <c r="W379" s="12">
        <v>5.0168449211120612</v>
      </c>
      <c r="X379" s="12">
        <v>6.1252053809999998</v>
      </c>
      <c r="Y379" s="15">
        <v>11.62576337</v>
      </c>
      <c r="Z379" s="15">
        <v>3.8999999999999999E-4</v>
      </c>
      <c r="AA379" s="15">
        <v>8.2953195100000006</v>
      </c>
      <c r="AB379" s="12">
        <v>19.694930021161635</v>
      </c>
      <c r="AC379" s="12">
        <v>23.281527521556932</v>
      </c>
      <c r="AD379" s="12">
        <v>20.081449673781936</v>
      </c>
      <c r="AE379">
        <v>0</v>
      </c>
    </row>
    <row r="380" spans="1:31" ht="15" customHeight="1" x14ac:dyDescent="0.3">
      <c r="A380" s="12" t="s">
        <v>350</v>
      </c>
      <c r="B380" s="12">
        <v>98.485616895887546</v>
      </c>
      <c r="C380" s="12">
        <v>89.305031670464416</v>
      </c>
      <c r="D380" s="12">
        <v>91.786279158158735</v>
      </c>
      <c r="E380" s="12">
        <v>77.574814814814815</v>
      </c>
      <c r="F380" s="12">
        <v>0.48495499354127464</v>
      </c>
      <c r="G380" s="12">
        <v>13.153895626103793</v>
      </c>
      <c r="H380" s="12">
        <v>0.42177616370220977</v>
      </c>
      <c r="I380" s="12">
        <v>0.43936406448483439</v>
      </c>
      <c r="J380" s="12">
        <v>0.97171323001384691</v>
      </c>
      <c r="K380" s="12">
        <v>0.69953271001577377</v>
      </c>
      <c r="L380" s="12">
        <v>0.78410469368100222</v>
      </c>
      <c r="M380" s="12">
        <v>21936.451978275123</v>
      </c>
      <c r="N380" s="12">
        <v>-0.41468583947833865</v>
      </c>
      <c r="O380" s="12" t="s">
        <v>37</v>
      </c>
      <c r="P380" s="12" t="s">
        <v>37</v>
      </c>
      <c r="Q380" s="12">
        <v>27.786666666666672</v>
      </c>
      <c r="R380" s="12" t="s">
        <v>37</v>
      </c>
      <c r="S380" s="12">
        <v>29752.12810607798</v>
      </c>
      <c r="T380" s="15">
        <v>1.1351011010000001</v>
      </c>
      <c r="U380" s="12" t="s">
        <v>37</v>
      </c>
      <c r="V380" s="12" t="s">
        <v>37</v>
      </c>
      <c r="W380" s="12">
        <v>6.2768700122833252</v>
      </c>
      <c r="X380" s="12" t="s">
        <v>37</v>
      </c>
      <c r="Y380" s="15" t="s">
        <v>37</v>
      </c>
      <c r="Z380" s="15" t="s">
        <v>37</v>
      </c>
      <c r="AA380" s="15" t="s">
        <v>37</v>
      </c>
      <c r="AB380" s="12" t="s">
        <v>37</v>
      </c>
      <c r="AC380" s="12">
        <v>15.379337572144902</v>
      </c>
      <c r="AD380" s="12">
        <v>12.586613631795535</v>
      </c>
      <c r="AE380">
        <v>0</v>
      </c>
    </row>
    <row r="381" spans="1:31" ht="15" customHeight="1" x14ac:dyDescent="0.3">
      <c r="A381" s="12" t="s">
        <v>352</v>
      </c>
      <c r="B381" s="12">
        <v>100.38424183772158</v>
      </c>
      <c r="C381" s="12">
        <v>95.313741455078159</v>
      </c>
      <c r="D381" s="12">
        <v>17.761412126046643</v>
      </c>
      <c r="E381" s="12">
        <v>77.50500000000001</v>
      </c>
      <c r="F381" s="12">
        <v>0.80014939482013414</v>
      </c>
      <c r="G381" s="12" t="s">
        <v>37</v>
      </c>
      <c r="H381" s="12">
        <v>0.9590646860500186</v>
      </c>
      <c r="I381" s="12">
        <v>0.7174532599747182</v>
      </c>
      <c r="J381" s="12">
        <v>0.49511115012379986</v>
      </c>
      <c r="K381" s="12">
        <v>0.66620292576650775</v>
      </c>
      <c r="L381" s="12">
        <v>-0.95923518513639727</v>
      </c>
      <c r="M381" s="12" t="s">
        <v>37</v>
      </c>
      <c r="N381" s="12">
        <v>6.2246924337923337</v>
      </c>
      <c r="O381" s="12" t="s">
        <v>37</v>
      </c>
      <c r="P381" s="12" t="s">
        <v>37</v>
      </c>
      <c r="Q381" s="12">
        <v>0</v>
      </c>
      <c r="R381" s="12" t="s">
        <v>37</v>
      </c>
      <c r="S381" s="12">
        <v>63428.364090724368</v>
      </c>
      <c r="T381" s="15" t="s">
        <v>37</v>
      </c>
      <c r="U381" s="12" t="s">
        <v>37</v>
      </c>
      <c r="V381" s="12" t="s">
        <v>37</v>
      </c>
      <c r="W381" s="12">
        <v>3.6604583660761514</v>
      </c>
      <c r="X381" s="12">
        <v>2.02500546</v>
      </c>
      <c r="Y381" s="15" t="s">
        <v>37</v>
      </c>
      <c r="Z381" s="15" t="s">
        <v>37</v>
      </c>
      <c r="AA381" s="15" t="s">
        <v>37</v>
      </c>
      <c r="AB381" s="12" t="s">
        <v>37</v>
      </c>
      <c r="AC381" s="12" t="s">
        <v>37</v>
      </c>
      <c r="AD381" s="12" t="s">
        <v>37</v>
      </c>
      <c r="AE381">
        <v>0</v>
      </c>
    </row>
    <row r="382" spans="1:31" ht="15" customHeight="1" x14ac:dyDescent="0.3">
      <c r="A382" s="12" t="s">
        <v>354</v>
      </c>
      <c r="B382" s="12">
        <v>98.121235046386744</v>
      </c>
      <c r="C382" s="12">
        <v>87.79650228994862</v>
      </c>
      <c r="D382" s="12">
        <v>45.75949870215522</v>
      </c>
      <c r="E382" s="12">
        <v>72.684191508581748</v>
      </c>
      <c r="F382" s="12">
        <v>-0.27763789589516813</v>
      </c>
      <c r="G382" s="12">
        <v>24.081875759157757</v>
      </c>
      <c r="H382" s="12">
        <v>0.24832279824962225</v>
      </c>
      <c r="I382" s="12">
        <v>-0.17892438727524973</v>
      </c>
      <c r="J382" s="12">
        <v>0.38724524186303216</v>
      </c>
      <c r="K382" s="12">
        <v>0.10143100520751132</v>
      </c>
      <c r="L382" s="12">
        <v>0.4535883901019892</v>
      </c>
      <c r="M382" s="12">
        <v>4570.1851312701874</v>
      </c>
      <c r="N382" s="12">
        <v>-0.64019381702819589</v>
      </c>
      <c r="O382" s="12">
        <v>16.765153616713611</v>
      </c>
      <c r="P382" s="12">
        <v>34.735805600465419</v>
      </c>
      <c r="Q382" s="12">
        <v>11.606666666666667</v>
      </c>
      <c r="R382" s="12">
        <v>19.329155453764137</v>
      </c>
      <c r="S382" s="12">
        <v>12188.642461532037</v>
      </c>
      <c r="T382" s="15">
        <v>3.6999568630000002</v>
      </c>
      <c r="U382" s="12">
        <v>2.8442334741360491</v>
      </c>
      <c r="V382" s="12">
        <v>478444444.44444442</v>
      </c>
      <c r="W382" s="12">
        <v>3.3964853079422652</v>
      </c>
      <c r="X382" s="12">
        <v>4.0695815990000002</v>
      </c>
      <c r="Y382" s="15">
        <v>10.04293603</v>
      </c>
      <c r="Z382" s="15">
        <v>9.9989999999999996E-2</v>
      </c>
      <c r="AA382" s="15">
        <v>4.9918651059999997</v>
      </c>
      <c r="AB382" s="12">
        <v>17.402044516858066</v>
      </c>
      <c r="AC382" s="12">
        <v>21.161275063726904</v>
      </c>
      <c r="AD382" s="12">
        <v>24.938871837024099</v>
      </c>
      <c r="AE382">
        <v>0</v>
      </c>
    </row>
    <row r="383" spans="1:31" ht="15" customHeight="1" x14ac:dyDescent="0.3">
      <c r="A383" s="12" t="s">
        <v>356</v>
      </c>
      <c r="B383" s="12">
        <v>104.11264336627461</v>
      </c>
      <c r="C383" s="12">
        <v>93.00761159261063</v>
      </c>
      <c r="D383" s="12">
        <v>69.619874636332199</v>
      </c>
      <c r="E383" s="12">
        <v>68.328888888888898</v>
      </c>
      <c r="F383" s="12">
        <v>-0.95822818328936898</v>
      </c>
      <c r="G383" s="12">
        <v>19.919892420254175</v>
      </c>
      <c r="H383" s="12">
        <v>-0.92876798411210382</v>
      </c>
      <c r="I383" s="12">
        <v>-0.40812169046451663</v>
      </c>
      <c r="J383" s="12">
        <v>-0.40999449137598259</v>
      </c>
      <c r="K383" s="12">
        <v>-0.88526584953069687</v>
      </c>
      <c r="L383" s="12">
        <v>-0.85556064111491059</v>
      </c>
      <c r="M383" s="12">
        <v>4862.646484375</v>
      </c>
      <c r="N383" s="12">
        <v>-0.10831714956806922</v>
      </c>
      <c r="O383" s="12">
        <v>13.102632278119676</v>
      </c>
      <c r="P383" s="12">
        <v>8.1584376545367068</v>
      </c>
      <c r="Q383" s="12">
        <v>8.3142857142857132</v>
      </c>
      <c r="R383" s="12">
        <v>4.0904037216314544</v>
      </c>
      <c r="S383" s="12">
        <v>10030.0390625</v>
      </c>
      <c r="T383" s="15">
        <v>2.7177630339999999</v>
      </c>
      <c r="U383" s="12">
        <v>7.848206355243633</v>
      </c>
      <c r="V383" s="12">
        <v>465678677414.33746</v>
      </c>
      <c r="W383" s="12">
        <v>3.8338901042938227</v>
      </c>
      <c r="X383" s="12">
        <v>3.1985691159999998</v>
      </c>
      <c r="Y383" s="15">
        <v>7.375229525</v>
      </c>
      <c r="Z383" s="15">
        <v>4.7820999999999998</v>
      </c>
      <c r="AA383" s="15">
        <v>0.77898829560000005</v>
      </c>
      <c r="AB383" s="12" t="s">
        <v>37</v>
      </c>
      <c r="AC383" s="12">
        <v>21.077727813941415</v>
      </c>
      <c r="AD383" s="12">
        <v>20.714738208703089</v>
      </c>
      <c r="AE383">
        <v>0</v>
      </c>
    </row>
    <row r="384" spans="1:31" ht="15" customHeight="1" x14ac:dyDescent="0.3">
      <c r="A384" s="12" t="s">
        <v>358</v>
      </c>
      <c r="B384" s="12">
        <v>126.37303253173827</v>
      </c>
      <c r="C384" s="12">
        <v>27.452257653941277</v>
      </c>
      <c r="D384" s="12">
        <v>4.9512881562113771</v>
      </c>
      <c r="E384" s="12">
        <v>57.20066666666667</v>
      </c>
      <c r="F384" s="12">
        <v>0.11230743577471002</v>
      </c>
      <c r="G384" s="12">
        <v>18.933293596455126</v>
      </c>
      <c r="H384" s="12">
        <v>-0.5484876636473931</v>
      </c>
      <c r="I384" s="12">
        <v>-0.32501085886421305</v>
      </c>
      <c r="J384" s="12">
        <v>-0.40392403265771754</v>
      </c>
      <c r="K384" s="12">
        <v>-0.43543397852530075</v>
      </c>
      <c r="L384" s="12">
        <v>-1.2446884885430334</v>
      </c>
      <c r="M384" s="12">
        <v>304.73232308935712</v>
      </c>
      <c r="N384" s="12">
        <v>2.5662649201933254</v>
      </c>
      <c r="O384" s="12">
        <v>14.006341173056166</v>
      </c>
      <c r="P384" s="12">
        <v>40.760573791760571</v>
      </c>
      <c r="Q384" s="12">
        <v>25.646666666666665</v>
      </c>
      <c r="R384" s="12">
        <v>22.392588014277866</v>
      </c>
      <c r="S384" s="12">
        <v>940.36507025095295</v>
      </c>
      <c r="T384" s="15">
        <v>4.2617739410000004</v>
      </c>
      <c r="U384" s="12">
        <v>7.8448090358272253</v>
      </c>
      <c r="V384" s="12">
        <v>85293425785.143677</v>
      </c>
      <c r="W384" s="12">
        <v>4.0097313324610395</v>
      </c>
      <c r="X384" s="12">
        <v>1.899177372</v>
      </c>
      <c r="Y384" s="15">
        <v>13.306876839999999</v>
      </c>
      <c r="Z384" s="15">
        <v>2.0879599999999998</v>
      </c>
      <c r="AA384" s="15">
        <v>10.76517497</v>
      </c>
      <c r="AB384" s="12" t="s">
        <v>37</v>
      </c>
      <c r="AC384" s="12">
        <v>13.409132990084943</v>
      </c>
      <c r="AD384" s="12">
        <v>24.559392767126294</v>
      </c>
      <c r="AE384">
        <v>1</v>
      </c>
    </row>
    <row r="385" spans="1:31" ht="15" customHeight="1" x14ac:dyDescent="0.3">
      <c r="A385" s="12" t="s">
        <v>360</v>
      </c>
      <c r="B385" s="12">
        <v>100.37949488713187</v>
      </c>
      <c r="C385" s="12">
        <v>79.391341018676755</v>
      </c>
      <c r="D385" s="12">
        <v>12.360908687114708</v>
      </c>
      <c r="E385" s="12">
        <v>71.600740740740733</v>
      </c>
      <c r="F385" s="12">
        <v>0.25561514248450606</v>
      </c>
      <c r="G385" s="12">
        <v>34.012099739634444</v>
      </c>
      <c r="H385" s="12">
        <v>1.1151707495252292</v>
      </c>
      <c r="I385" s="12">
        <v>0.34317145666379173</v>
      </c>
      <c r="J385" s="12">
        <v>-0.14726696710567927</v>
      </c>
      <c r="K385" s="12">
        <v>0.92235015581051538</v>
      </c>
      <c r="L385" s="12">
        <v>0.66729067638516426</v>
      </c>
      <c r="M385" s="12">
        <v>2584.5048212886777</v>
      </c>
      <c r="N385" s="12">
        <v>0.86697638063968174</v>
      </c>
      <c r="O385" s="12">
        <v>23.355441739989818</v>
      </c>
      <c r="P385" s="12">
        <v>23.215980542728857</v>
      </c>
      <c r="Q385" s="12">
        <v>11.573333333333332</v>
      </c>
      <c r="R385" s="12">
        <v>16.175594057245267</v>
      </c>
      <c r="S385" s="12">
        <v>3591.8049476326291</v>
      </c>
      <c r="T385" s="15">
        <v>1.2264260300000001</v>
      </c>
      <c r="U385" s="12">
        <v>10.724909795462919</v>
      </c>
      <c r="V385" s="12">
        <v>52936081.191999994</v>
      </c>
      <c r="W385" s="12">
        <v>4.3520721472226658</v>
      </c>
      <c r="X385" s="12">
        <v>3.8027419469999999</v>
      </c>
      <c r="Y385" s="15">
        <v>21.31928044</v>
      </c>
      <c r="Z385" s="15">
        <v>3.4754999999999998</v>
      </c>
      <c r="AA385" s="15">
        <v>7.4867521410000002</v>
      </c>
      <c r="AB385" s="12" t="s">
        <v>37</v>
      </c>
      <c r="AC385" s="12" t="s">
        <v>37</v>
      </c>
      <c r="AD385" s="12">
        <v>32.236082518600803</v>
      </c>
      <c r="AE385">
        <v>1</v>
      </c>
    </row>
    <row r="386" spans="1:31" ht="15" customHeight="1" x14ac:dyDescent="0.3">
      <c r="A386" s="12" t="s">
        <v>362</v>
      </c>
      <c r="B386" s="12">
        <v>94.747672137092138</v>
      </c>
      <c r="C386" s="12">
        <v>75.658456563949585</v>
      </c>
      <c r="D386" s="12">
        <v>58.080292628361626</v>
      </c>
      <c r="E386" s="12" t="s">
        <v>37</v>
      </c>
      <c r="F386" s="12">
        <v>1.2068704515695576</v>
      </c>
      <c r="G386" s="12">
        <v>19.568223999790124</v>
      </c>
      <c r="H386" s="12">
        <v>1.1899041593074791</v>
      </c>
      <c r="I386" s="12">
        <v>1.634770691394805</v>
      </c>
      <c r="J386" s="12">
        <v>0.49670694023370754</v>
      </c>
      <c r="K386" s="12">
        <v>1.121609436429065</v>
      </c>
      <c r="L386" s="12">
        <v>1.1920321285724642</v>
      </c>
      <c r="M386" s="12" t="s">
        <v>37</v>
      </c>
      <c r="N386" s="12">
        <v>1.1804873653833448</v>
      </c>
      <c r="O386" s="12">
        <v>17.092912416998139</v>
      </c>
      <c r="P386" s="12">
        <v>41.091525304208581</v>
      </c>
      <c r="Q386" s="12">
        <v>7.6750000000000007</v>
      </c>
      <c r="R386" s="12">
        <v>18.336035284794033</v>
      </c>
      <c r="S386" s="12" t="s">
        <v>37</v>
      </c>
      <c r="T386" s="15" t="s">
        <v>37</v>
      </c>
      <c r="U386" s="12">
        <v>1.8487396939316165</v>
      </c>
      <c r="V386" s="12">
        <v>289926044.96380949</v>
      </c>
      <c r="W386" s="12">
        <v>3.1818191011746717</v>
      </c>
      <c r="X386" s="12">
        <v>5.79732409</v>
      </c>
      <c r="Y386" s="15">
        <v>509.24294120000002</v>
      </c>
      <c r="Z386" s="15">
        <v>22.037849999999999</v>
      </c>
      <c r="AA386" s="15" t="s">
        <v>37</v>
      </c>
      <c r="AB386" s="12" t="s">
        <v>37</v>
      </c>
      <c r="AC386" s="12" t="s">
        <v>37</v>
      </c>
      <c r="AD386" s="12" t="s">
        <v>37</v>
      </c>
      <c r="AE386">
        <v>0</v>
      </c>
    </row>
    <row r="387" spans="1:31" ht="15" customHeight="1" x14ac:dyDescent="0.3">
      <c r="A387" s="12" t="s">
        <v>364</v>
      </c>
      <c r="B387" s="12">
        <v>117.20955276489248</v>
      </c>
      <c r="C387" s="12">
        <v>57.645801544189467</v>
      </c>
      <c r="D387" s="12">
        <v>8.5158013956887419</v>
      </c>
      <c r="E387" s="12">
        <v>64.683555555555557</v>
      </c>
      <c r="F387" s="12">
        <v>-2.4756728671491129E-2</v>
      </c>
      <c r="G387" s="12" t="s">
        <v>37</v>
      </c>
      <c r="H387" s="12">
        <v>0.41582438384648407</v>
      </c>
      <c r="I387" s="12">
        <v>-0.70454381778836239</v>
      </c>
      <c r="J387" s="12">
        <v>-0.78983720391988754</v>
      </c>
      <c r="K387" s="12">
        <v>-0.49616626588006812</v>
      </c>
      <c r="L387" s="12">
        <v>0.27290075412020093</v>
      </c>
      <c r="M387" s="12" t="s">
        <v>37</v>
      </c>
      <c r="N387" s="12">
        <v>1.9815075108973801</v>
      </c>
      <c r="O387" s="12" t="s">
        <v>37</v>
      </c>
      <c r="P387" s="12" t="s">
        <v>37</v>
      </c>
      <c r="Q387" s="12">
        <v>23.813333333333329</v>
      </c>
      <c r="R387" s="12" t="s">
        <v>37</v>
      </c>
      <c r="S387" s="12">
        <v>1395.1575280269165</v>
      </c>
      <c r="T387" s="15" t="s">
        <v>37</v>
      </c>
      <c r="U387" s="12" t="s">
        <v>37</v>
      </c>
      <c r="V387" s="12" t="s">
        <v>37</v>
      </c>
      <c r="W387" s="12">
        <v>5.371231293678286</v>
      </c>
      <c r="X387" s="12">
        <v>2.7893250620000001</v>
      </c>
      <c r="Y387" s="15" t="s">
        <v>37</v>
      </c>
      <c r="Z387" s="15" t="s">
        <v>37</v>
      </c>
      <c r="AA387" s="15" t="s">
        <v>37</v>
      </c>
      <c r="AB387" s="12" t="s">
        <v>37</v>
      </c>
      <c r="AC387" s="12" t="s">
        <v>37</v>
      </c>
      <c r="AD387" s="12" t="s">
        <v>37</v>
      </c>
      <c r="AE387">
        <v>1</v>
      </c>
    </row>
    <row r="388" spans="1:31" ht="15" customHeight="1" x14ac:dyDescent="0.3">
      <c r="A388" s="12" t="s">
        <v>366</v>
      </c>
      <c r="B388" s="12">
        <v>92.687428792317732</v>
      </c>
      <c r="C388" s="12">
        <v>92.838573455810547</v>
      </c>
      <c r="D388" s="12">
        <v>33.061560133229129</v>
      </c>
      <c r="E388" s="12">
        <v>74.820888888888902</v>
      </c>
      <c r="F388" s="12">
        <v>1.3892694531629578E-2</v>
      </c>
      <c r="G388" s="12">
        <v>21.771846941685425</v>
      </c>
      <c r="H388" s="12">
        <v>-0.37322932907651801</v>
      </c>
      <c r="I388" s="12">
        <v>-1.922331610694528E-2</v>
      </c>
      <c r="J388" s="12">
        <v>3.815130245250966E-2</v>
      </c>
      <c r="K388" s="12">
        <v>9.8165167379192994E-2</v>
      </c>
      <c r="L388" s="12">
        <v>-1.691575000683466</v>
      </c>
      <c r="M388" s="12">
        <v>17887.242684597692</v>
      </c>
      <c r="N388" s="12">
        <v>2.4872436165279259</v>
      </c>
      <c r="O388" s="12">
        <v>4.1938464448804531</v>
      </c>
      <c r="P388" s="12">
        <v>14.167217808442711</v>
      </c>
      <c r="Q388" s="12">
        <v>2.2199999999999998</v>
      </c>
      <c r="R388" s="12">
        <v>1.6785408750480715</v>
      </c>
      <c r="S388" s="12">
        <v>21138.646414238952</v>
      </c>
      <c r="T388" s="15">
        <v>0.62049189959999995</v>
      </c>
      <c r="U388" s="12">
        <v>20.442960037933322</v>
      </c>
      <c r="V388" s="12">
        <v>18213541542.400913</v>
      </c>
      <c r="W388" s="12">
        <v>6.2673015961280223</v>
      </c>
      <c r="X388" s="12">
        <v>3.0740710689999999</v>
      </c>
      <c r="Y388" s="15">
        <v>3.7323769480000002</v>
      </c>
      <c r="Z388" s="15">
        <v>0.98541000000000001</v>
      </c>
      <c r="AA388" s="15">
        <v>0.74059696559999999</v>
      </c>
      <c r="AB388" s="12" t="s">
        <v>37</v>
      </c>
      <c r="AC388" s="12">
        <v>19.245948756236668</v>
      </c>
      <c r="AD388" s="12">
        <v>24.638641846085775</v>
      </c>
      <c r="AE388">
        <v>0</v>
      </c>
    </row>
    <row r="389" spans="1:31" ht="15" customHeight="1" x14ac:dyDescent="0.3">
      <c r="A389" s="12" t="s">
        <v>368</v>
      </c>
      <c r="B389" s="12">
        <v>78.61243615831647</v>
      </c>
      <c r="C389" s="12">
        <v>31.784757977440254</v>
      </c>
      <c r="D389" s="12">
        <v>9.5427343164171443</v>
      </c>
      <c r="E389" s="12">
        <v>62.559074074074083</v>
      </c>
      <c r="F389" s="12">
        <v>-0.15952984932422021</v>
      </c>
      <c r="G389" s="12">
        <v>22.076623655549064</v>
      </c>
      <c r="H389" s="12">
        <v>-0.23972944084865336</v>
      </c>
      <c r="I389" s="12">
        <v>-0.2973809289493754</v>
      </c>
      <c r="J389" s="12">
        <v>-0.2488811764245232</v>
      </c>
      <c r="K389" s="12">
        <v>-0.18309299162744239</v>
      </c>
      <c r="L389" s="12">
        <v>0.10369427387680245</v>
      </c>
      <c r="M389" s="12">
        <v>984.82407989385365</v>
      </c>
      <c r="N389" s="12">
        <v>2.5766001617873253</v>
      </c>
      <c r="O389" s="12">
        <v>17.059587184522794</v>
      </c>
      <c r="P389" s="12">
        <v>28.640876403960405</v>
      </c>
      <c r="Q389" s="12">
        <v>16.026666666666664</v>
      </c>
      <c r="R389" s="12">
        <v>21.440804993554831</v>
      </c>
      <c r="S389" s="12">
        <v>1465.1057496852072</v>
      </c>
      <c r="T389" s="15">
        <v>1.482059166</v>
      </c>
      <c r="U389" s="12">
        <v>14.412131344054856</v>
      </c>
      <c r="V389" s="12">
        <v>334277406612</v>
      </c>
      <c r="W389" s="12">
        <v>4.3271051843961086</v>
      </c>
      <c r="X389" s="12">
        <v>1.3163031860000001</v>
      </c>
      <c r="Y389" s="15">
        <v>15.019962769999999</v>
      </c>
      <c r="Z389" s="15">
        <v>4.1154200000000003</v>
      </c>
      <c r="AA389" s="15">
        <v>8.1922878170000004</v>
      </c>
      <c r="AB389" s="12" t="s">
        <v>37</v>
      </c>
      <c r="AC389" s="12">
        <v>15.299541973942882</v>
      </c>
      <c r="AD389" s="12">
        <v>35.851268944652034</v>
      </c>
      <c r="AE389">
        <v>1</v>
      </c>
    </row>
    <row r="390" spans="1:31" ht="15" customHeight="1" x14ac:dyDescent="0.3">
      <c r="A390" s="12" t="s">
        <v>370</v>
      </c>
      <c r="B390" s="12">
        <v>99.388308317764924</v>
      </c>
      <c r="C390" s="12">
        <v>91.105416339376703</v>
      </c>
      <c r="D390" s="12">
        <v>53.494314020330258</v>
      </c>
      <c r="E390" s="12">
        <v>73.495840108401097</v>
      </c>
      <c r="F390" s="12">
        <v>-0.49668551671008282</v>
      </c>
      <c r="G390" s="12">
        <v>17.527200172627584</v>
      </c>
      <c r="H390" s="12">
        <v>-0.42494338607260346</v>
      </c>
      <c r="I390" s="12">
        <v>-0.24412804143018266</v>
      </c>
      <c r="J390" s="12">
        <v>-0.23938077773588398</v>
      </c>
      <c r="K390" s="12">
        <v>-0.49152272877593828</v>
      </c>
      <c r="L390" s="12">
        <v>-3.3015789405908401E-2</v>
      </c>
      <c r="M390" s="12">
        <v>2781.2463483413476</v>
      </c>
      <c r="N390" s="12">
        <v>-0.45833687681964463</v>
      </c>
      <c r="O390" s="12">
        <v>21.63759174159911</v>
      </c>
      <c r="P390" s="12">
        <v>21.569865572585641</v>
      </c>
      <c r="Q390" s="12">
        <v>9.8266666666666644</v>
      </c>
      <c r="R390" s="12">
        <v>12.37090506587106</v>
      </c>
      <c r="S390" s="12">
        <v>7493.1618016002767</v>
      </c>
      <c r="T390" s="15">
        <v>3.7389124709999999</v>
      </c>
      <c r="U390" s="12">
        <v>5.2952621441333587</v>
      </c>
      <c r="V390" s="12">
        <v>43843379834.134666</v>
      </c>
      <c r="W390" s="12">
        <v>3.9275071280343186</v>
      </c>
      <c r="X390" s="12">
        <v>5.3460810519999997</v>
      </c>
      <c r="Y390" s="15">
        <v>23.28123853</v>
      </c>
      <c r="Z390" s="15">
        <v>1.5266200000000001</v>
      </c>
      <c r="AA390" s="15">
        <v>7.3109611790000004</v>
      </c>
      <c r="AB390" s="12" t="s">
        <v>37</v>
      </c>
      <c r="AC390" s="12">
        <v>11.142120649667547</v>
      </c>
      <c r="AD390" s="12">
        <v>24.155253137202489</v>
      </c>
      <c r="AE390">
        <v>0</v>
      </c>
    </row>
    <row r="391" spans="1:31" ht="15" customHeight="1" x14ac:dyDescent="0.3">
      <c r="A391" s="12" t="s">
        <v>372</v>
      </c>
      <c r="B391" s="12">
        <v>101.35917718069894</v>
      </c>
      <c r="C391" s="12">
        <v>79.549130475079551</v>
      </c>
      <c r="D391" s="12">
        <v>10.958900878826775</v>
      </c>
      <c r="E391" s="12">
        <v>73.007136404697377</v>
      </c>
      <c r="F391" s="12">
        <v>0.77952598904569925</v>
      </c>
      <c r="G391" s="12">
        <v>37.576547560255982</v>
      </c>
      <c r="H391" s="12">
        <v>0.79306045547127724</v>
      </c>
      <c r="I391" s="12">
        <v>0.60595805818835891</v>
      </c>
      <c r="J391" s="12">
        <v>9.6079889781928329E-2</v>
      </c>
      <c r="K391" s="12">
        <v>0.33847530873026699</v>
      </c>
      <c r="L391" s="12">
        <v>0.16465287936928988</v>
      </c>
      <c r="M391" s="12">
        <v>9533.337849050793</v>
      </c>
      <c r="N391" s="12">
        <v>1.0773740277968606</v>
      </c>
      <c r="O391" s="12">
        <v>27.43154300078265</v>
      </c>
      <c r="P391" s="12">
        <v>28.53625666692443</v>
      </c>
      <c r="Q391" s="12">
        <v>20.40666666666667</v>
      </c>
      <c r="R391" s="12">
        <v>22.055641269295972</v>
      </c>
      <c r="S391" s="12">
        <v>14461.545692325426</v>
      </c>
      <c r="T391" s="15">
        <v>1.5552974660000001</v>
      </c>
      <c r="U391" s="12">
        <v>27.88848668337911</v>
      </c>
      <c r="V391" s="12">
        <v>476428816.63454539</v>
      </c>
      <c r="W391" s="12">
        <v>4.629114974628795</v>
      </c>
      <c r="X391" s="12">
        <v>3.4885396950000001</v>
      </c>
      <c r="Y391" s="15">
        <v>15.12788606</v>
      </c>
      <c r="Z391" s="15">
        <v>4.2764600000000002</v>
      </c>
      <c r="AA391" s="15">
        <v>9.8870552459999992</v>
      </c>
      <c r="AB391" s="12">
        <v>25.973655769136144</v>
      </c>
      <c r="AC391" s="12">
        <v>30.008349396312511</v>
      </c>
      <c r="AD391" s="12">
        <v>46.639477863686409</v>
      </c>
      <c r="AE391">
        <v>0</v>
      </c>
    </row>
    <row r="392" spans="1:31" ht="15" customHeight="1" x14ac:dyDescent="0.3">
      <c r="A392" s="12" t="s">
        <v>374</v>
      </c>
      <c r="B392" s="12">
        <v>114.30331103006993</v>
      </c>
      <c r="C392" s="12">
        <v>37.742160797119141</v>
      </c>
      <c r="D392" s="12">
        <v>1.8582933346430466</v>
      </c>
      <c r="E392" s="12">
        <v>51.45366666666667</v>
      </c>
      <c r="F392" s="12">
        <v>-0.78514684488375952</v>
      </c>
      <c r="G392" s="12">
        <v>12.387765055014793</v>
      </c>
      <c r="H392" s="12">
        <v>-0.47133636319388889</v>
      </c>
      <c r="I392" s="12">
        <v>-1.2559093336264286</v>
      </c>
      <c r="J392" s="12">
        <v>-1.0282900507251413</v>
      </c>
      <c r="K392" s="12">
        <v>-0.98774503916501921</v>
      </c>
      <c r="L392" s="12">
        <v>-0.34632595659544102</v>
      </c>
      <c r="M392" s="12">
        <v>416.71613484602778</v>
      </c>
      <c r="N392" s="12">
        <v>2.4762945236406413</v>
      </c>
      <c r="O392" s="12" t="s">
        <v>37</v>
      </c>
      <c r="P392" s="12" t="s">
        <v>37</v>
      </c>
      <c r="Q392" s="12">
        <v>11.1</v>
      </c>
      <c r="R392" s="12" t="s">
        <v>37</v>
      </c>
      <c r="S392" s="12">
        <v>626.9020435102716</v>
      </c>
      <c r="T392" s="15">
        <v>1.5240339190000001</v>
      </c>
      <c r="U392" s="12" t="s">
        <v>37</v>
      </c>
      <c r="V392" s="12" t="s">
        <v>37</v>
      </c>
      <c r="W392" s="12">
        <v>4.0412107706069946</v>
      </c>
      <c r="X392" s="12">
        <v>1.433301645</v>
      </c>
      <c r="Y392" s="15" t="s">
        <v>37</v>
      </c>
      <c r="Z392" s="15" t="s">
        <v>37</v>
      </c>
      <c r="AA392" s="15" t="s">
        <v>37</v>
      </c>
      <c r="AB392" s="12" t="s">
        <v>37</v>
      </c>
      <c r="AC392" s="12">
        <v>5.5728660562624226</v>
      </c>
      <c r="AD392" s="12">
        <v>11.321476381717344</v>
      </c>
      <c r="AE392">
        <v>1</v>
      </c>
    </row>
    <row r="393" spans="1:31" ht="15" customHeight="1" x14ac:dyDescent="0.3">
      <c r="A393" s="12" t="s">
        <v>376</v>
      </c>
      <c r="B393" s="12">
        <v>101.62461916605646</v>
      </c>
      <c r="C393" s="12">
        <v>107.12529945373535</v>
      </c>
      <c r="D393" s="12">
        <v>89.823834737141922</v>
      </c>
      <c r="E393" s="12">
        <v>80.519783197831956</v>
      </c>
      <c r="F393" s="12">
        <v>2.1397637029488878</v>
      </c>
      <c r="G393" s="12">
        <v>27.434078029685484</v>
      </c>
      <c r="H393" s="12">
        <v>1.2695075497031203</v>
      </c>
      <c r="I393" s="12">
        <v>2.174927969773611</v>
      </c>
      <c r="J393" s="12">
        <v>1.9981325666109726</v>
      </c>
      <c r="K393" s="12">
        <v>1.6361315747102101</v>
      </c>
      <c r="L393" s="12">
        <v>-9.0346254408359528E-2</v>
      </c>
      <c r="M393" s="12">
        <v>30379.899114459811</v>
      </c>
      <c r="N393" s="12">
        <v>1.7292872477099166</v>
      </c>
      <c r="O393" s="12">
        <v>13.461567567149016</v>
      </c>
      <c r="P393" s="12">
        <v>46.582734279670085</v>
      </c>
      <c r="Q393" s="12">
        <v>4.28</v>
      </c>
      <c r="R393" s="12">
        <v>31.031616316394363</v>
      </c>
      <c r="S393" s="12">
        <v>67359.789878486219</v>
      </c>
      <c r="T393" s="15">
        <v>2.9930550340000002</v>
      </c>
      <c r="U393" s="12">
        <v>1.5022084892844494</v>
      </c>
      <c r="V393" s="12">
        <v>329461538.46153843</v>
      </c>
      <c r="W393" s="12">
        <v>3.0480014033939535</v>
      </c>
      <c r="X393" s="12">
        <v>1.494766786</v>
      </c>
      <c r="Y393" s="15">
        <v>3.9955347419999998</v>
      </c>
      <c r="Z393" s="15">
        <v>0.10581</v>
      </c>
      <c r="AA393" s="15">
        <v>5.9715657320000002</v>
      </c>
      <c r="AB393" s="12">
        <v>15.768503647259873</v>
      </c>
      <c r="AC393" s="12">
        <v>33.18616813148936</v>
      </c>
      <c r="AD393" s="12">
        <v>20.640380218470849</v>
      </c>
      <c r="AE393">
        <v>0</v>
      </c>
    </row>
    <row r="394" spans="1:31" ht="15" customHeight="1" x14ac:dyDescent="0.3">
      <c r="A394" s="12" t="s">
        <v>378</v>
      </c>
      <c r="B394" s="12" t="s">
        <v>37</v>
      </c>
      <c r="C394" s="12" t="s">
        <v>37</v>
      </c>
      <c r="D394" s="12">
        <v>3.9243000348409005</v>
      </c>
      <c r="E394" s="12">
        <v>74.878074074074064</v>
      </c>
      <c r="F394" s="12" t="s">
        <v>37</v>
      </c>
      <c r="G394" s="12" t="s">
        <v>37</v>
      </c>
      <c r="H394" s="12" t="s">
        <v>37</v>
      </c>
      <c r="I394" s="12" t="s">
        <v>37</v>
      </c>
      <c r="J394" s="12" t="s">
        <v>37</v>
      </c>
      <c r="K394" s="12" t="s">
        <v>37</v>
      </c>
      <c r="L394" s="12" t="s">
        <v>37</v>
      </c>
      <c r="M394" s="12" t="s">
        <v>37</v>
      </c>
      <c r="N394" s="12">
        <v>1.0964038963140847</v>
      </c>
      <c r="O394" s="12" t="s">
        <v>37</v>
      </c>
      <c r="P394" s="12" t="s">
        <v>37</v>
      </c>
      <c r="Q394" s="12" t="s">
        <v>37</v>
      </c>
      <c r="R394" s="12" t="s">
        <v>37</v>
      </c>
      <c r="S394" s="12">
        <v>31782.129501271138</v>
      </c>
      <c r="T394" s="15" t="s">
        <v>37</v>
      </c>
      <c r="U394" s="12" t="s">
        <v>37</v>
      </c>
      <c r="V394" s="12" t="s">
        <v>37</v>
      </c>
      <c r="W394" s="12" t="s">
        <v>37</v>
      </c>
      <c r="X394" s="12" t="s">
        <v>37</v>
      </c>
      <c r="Y394" s="15" t="s">
        <v>37</v>
      </c>
      <c r="Z394" s="15" t="s">
        <v>37</v>
      </c>
      <c r="AA394" s="15" t="s">
        <v>37</v>
      </c>
      <c r="AB394" s="12" t="s">
        <v>37</v>
      </c>
      <c r="AC394" s="12" t="s">
        <v>37</v>
      </c>
      <c r="AD394" s="12" t="s">
        <v>37</v>
      </c>
      <c r="AE394">
        <v>0</v>
      </c>
    </row>
    <row r="395" spans="1:31" ht="15" customHeight="1" x14ac:dyDescent="0.3">
      <c r="A395" s="12" t="s">
        <v>380</v>
      </c>
      <c r="B395" s="12">
        <v>101.01747272632738</v>
      </c>
      <c r="C395" s="12">
        <v>91.805547926161026</v>
      </c>
      <c r="D395" s="12">
        <v>42.551019103438755</v>
      </c>
      <c r="E395" s="12">
        <v>74.830803974706427</v>
      </c>
      <c r="F395" s="12">
        <v>0.21278067476426557</v>
      </c>
      <c r="G395" s="12">
        <v>24.565212742467651</v>
      </c>
      <c r="H395" s="12">
        <v>0.86569283530116092</v>
      </c>
      <c r="I395" s="12">
        <v>0.68184783061345422</v>
      </c>
      <c r="J395" s="12">
        <v>0.89838030437628458</v>
      </c>
      <c r="K395" s="12">
        <v>0.46998659521341324</v>
      </c>
      <c r="L395" s="12">
        <v>0.90154992540677392</v>
      </c>
      <c r="M395" s="12">
        <v>7542.111028313916</v>
      </c>
      <c r="N395" s="12">
        <v>6.925856364681178E-2</v>
      </c>
      <c r="O395" s="12">
        <v>18.040069850520801</v>
      </c>
      <c r="P395" s="12">
        <v>36.229120988254252</v>
      </c>
      <c r="Q395" s="12">
        <v>8.3800000000000008</v>
      </c>
      <c r="R395" s="12">
        <v>17.886529390865707</v>
      </c>
      <c r="S395" s="12">
        <v>18877.959376166313</v>
      </c>
      <c r="T395" s="15">
        <v>3.4565177829999998</v>
      </c>
      <c r="U395" s="12">
        <v>1.8761630324573497</v>
      </c>
      <c r="V395" s="12">
        <v>101460370.37037037</v>
      </c>
      <c r="W395" s="12">
        <v>4.0543515590521002</v>
      </c>
      <c r="X395" s="12">
        <v>5.2183357639999999</v>
      </c>
      <c r="Y395" s="15">
        <v>10.726070529999999</v>
      </c>
      <c r="Z395" s="15">
        <v>0.16575000000000001</v>
      </c>
      <c r="AA395" s="15">
        <v>6.2940345979999996</v>
      </c>
      <c r="AB395" s="12">
        <v>23.241738851719411</v>
      </c>
      <c r="AC395" s="12">
        <v>26.074818370482127</v>
      </c>
      <c r="AD395" s="12">
        <v>20.082676864311704</v>
      </c>
      <c r="AE395">
        <v>0</v>
      </c>
    </row>
    <row r="396" spans="1:31" ht="15" customHeight="1" x14ac:dyDescent="0.3">
      <c r="A396" s="12" t="s">
        <v>382</v>
      </c>
      <c r="B396" s="12">
        <v>99.47005406132449</v>
      </c>
      <c r="C396" s="12">
        <v>103.43875856752759</v>
      </c>
      <c r="D396" s="12">
        <v>71.943007998996308</v>
      </c>
      <c r="E396" s="12">
        <v>78.310885275519439</v>
      </c>
      <c r="F396" s="12">
        <v>0.88003657509883204</v>
      </c>
      <c r="G396" s="12">
        <v>23.027423100514621</v>
      </c>
      <c r="H396" s="12">
        <v>0.98533149808645282</v>
      </c>
      <c r="I396" s="12">
        <v>0.97935543954372362</v>
      </c>
      <c r="J396" s="12">
        <v>0.78589191287756011</v>
      </c>
      <c r="K396" s="12">
        <v>0.9927286083499588</v>
      </c>
      <c r="L396" s="12">
        <v>1.0449198683102923</v>
      </c>
      <c r="M396" s="12">
        <v>13276.073086570934</v>
      </c>
      <c r="N396" s="12">
        <v>0.21452743036294264</v>
      </c>
      <c r="O396" s="12">
        <v>19.233225799950187</v>
      </c>
      <c r="P396" s="12">
        <v>25.221187318827134</v>
      </c>
      <c r="Q396" s="12">
        <v>13.739999999999993</v>
      </c>
      <c r="R396" s="12">
        <v>12.268567471368259</v>
      </c>
      <c r="S396" s="12">
        <v>25349.758553351479</v>
      </c>
      <c r="T396" s="15">
        <v>2.4245015159999999</v>
      </c>
      <c r="U396" s="12">
        <v>6.1704721724840059</v>
      </c>
      <c r="V396" s="12">
        <v>184808200</v>
      </c>
      <c r="W396" s="12">
        <v>5.3723245496335235</v>
      </c>
      <c r="X396" s="12">
        <v>5.9394874800000004</v>
      </c>
      <c r="Y396" s="15">
        <v>12.995470279999999</v>
      </c>
      <c r="Z396" s="15">
        <v>0.56698999999999999</v>
      </c>
      <c r="AA396" s="15">
        <v>4.6600455380000003</v>
      </c>
      <c r="AB396" s="12">
        <v>19.425470205410381</v>
      </c>
      <c r="AC396" s="12">
        <v>23.125962875953643</v>
      </c>
      <c r="AD396" s="12">
        <v>21.616331569313022</v>
      </c>
      <c r="AE396">
        <v>0</v>
      </c>
    </row>
    <row r="397" spans="1:31" ht="15" customHeight="1" x14ac:dyDescent="0.3">
      <c r="A397" s="12" t="s">
        <v>384</v>
      </c>
      <c r="B397" s="12">
        <v>103.19520167300573</v>
      </c>
      <c r="C397" s="12">
        <v>34.40507507324218</v>
      </c>
      <c r="D397" s="12" t="s">
        <v>37</v>
      </c>
      <c r="E397" s="12">
        <v>68.435296296296315</v>
      </c>
      <c r="F397" s="12">
        <v>-0.10805377271026377</v>
      </c>
      <c r="G397" s="12">
        <v>12.406318166424215</v>
      </c>
      <c r="H397" s="12">
        <v>0.30504501502340026</v>
      </c>
      <c r="I397" s="12">
        <v>-0.92262261478524421</v>
      </c>
      <c r="J397" s="12">
        <v>-0.99928217812588305</v>
      </c>
      <c r="K397" s="12">
        <v>-0.27244938723742956</v>
      </c>
      <c r="L397" s="12">
        <v>0.24472964736438974</v>
      </c>
      <c r="M397" s="12">
        <v>2358.500908556493</v>
      </c>
      <c r="N397" s="12">
        <v>2.4581235214534765</v>
      </c>
      <c r="O397" s="12">
        <v>24.305809665986008</v>
      </c>
      <c r="P397" s="12">
        <v>34.22586735215215</v>
      </c>
      <c r="Q397" s="12">
        <v>18.686666666666671</v>
      </c>
      <c r="R397" s="12">
        <v>22.417730252940014</v>
      </c>
      <c r="S397" s="12">
        <v>1893.1043007260416</v>
      </c>
      <c r="T397" s="15">
        <v>-0.8107997361</v>
      </c>
      <c r="U397" s="12">
        <v>20.081902971230686</v>
      </c>
      <c r="V397" s="12">
        <v>526599097.61199999</v>
      </c>
      <c r="W397" s="12">
        <v>6.1361760616302474</v>
      </c>
      <c r="X397" s="12">
        <v>3.9519485969999999</v>
      </c>
      <c r="Y397" s="15">
        <v>9.3932906749999994</v>
      </c>
      <c r="Z397" s="15">
        <v>15.662140000000001</v>
      </c>
      <c r="AA397" s="15">
        <v>13.24703188</v>
      </c>
      <c r="AB397" s="12" t="s">
        <v>37</v>
      </c>
      <c r="AC397" s="12">
        <v>6.3169352781821937</v>
      </c>
      <c r="AD397" s="12" t="s">
        <v>37</v>
      </c>
      <c r="AE397">
        <v>1</v>
      </c>
    </row>
    <row r="398" spans="1:31" ht="15" customHeight="1" x14ac:dyDescent="0.3">
      <c r="A398" s="12" t="s">
        <v>386</v>
      </c>
      <c r="B398" s="12">
        <v>15.919819831848134</v>
      </c>
      <c r="C398" s="12">
        <v>5.7686972618103045</v>
      </c>
      <c r="D398" s="12" t="s">
        <v>37</v>
      </c>
      <c r="E398" s="12">
        <v>52.365148148148151</v>
      </c>
      <c r="F398" s="12">
        <v>-1.6160893440246575</v>
      </c>
      <c r="G398" s="12">
        <v>15.07136984750079</v>
      </c>
      <c r="H398" s="12">
        <v>-2.6434101064999886</v>
      </c>
      <c r="I398" s="12">
        <v>-2.1065071026484179</v>
      </c>
      <c r="J398" s="12">
        <v>-2.1971065998077388</v>
      </c>
      <c r="K398" s="12">
        <v>-2.2982054104407625</v>
      </c>
      <c r="L398" s="12">
        <v>-1.8755163053671513</v>
      </c>
      <c r="M398" s="12" t="s">
        <v>37</v>
      </c>
      <c r="N398" s="12">
        <v>3.3218846913903834</v>
      </c>
      <c r="O398" s="12">
        <v>7.4358120524980399E-5</v>
      </c>
      <c r="P398" s="12">
        <v>5.6876539492075047</v>
      </c>
      <c r="Q398" s="12" t="s">
        <v>37</v>
      </c>
      <c r="R398" s="12">
        <v>2.5871397375232732</v>
      </c>
      <c r="S398" s="12">
        <v>509.05260646638948</v>
      </c>
      <c r="T398" s="15" t="s">
        <v>37</v>
      </c>
      <c r="U398" s="12">
        <v>60.334855397561569</v>
      </c>
      <c r="V398" s="12">
        <v>94902520.479999989</v>
      </c>
      <c r="W398" s="12">
        <v>0.21076224744319902</v>
      </c>
      <c r="X398" s="12" t="s">
        <v>37</v>
      </c>
      <c r="Y398" s="15">
        <v>2.4842291999999999E-5</v>
      </c>
      <c r="Z398" s="15">
        <v>5.0000000000000002E-5</v>
      </c>
      <c r="AA398" s="15">
        <v>4.5675915610000003E-6</v>
      </c>
      <c r="AB398" s="12" t="s">
        <v>37</v>
      </c>
      <c r="AC398" s="12" t="s">
        <v>37</v>
      </c>
      <c r="AD398" s="12">
        <v>25.902146808649285</v>
      </c>
      <c r="AE398">
        <v>1</v>
      </c>
    </row>
    <row r="399" spans="1:31" ht="15" customHeight="1" x14ac:dyDescent="0.3">
      <c r="A399" s="12" t="s">
        <v>388</v>
      </c>
      <c r="B399" s="12">
        <v>101.43924302321214</v>
      </c>
      <c r="C399" s="12">
        <v>92.050065040588336</v>
      </c>
      <c r="D399" s="12">
        <v>20.39239009221394</v>
      </c>
      <c r="E399" s="12">
        <v>60.041037037037036</v>
      </c>
      <c r="F399" s="12">
        <v>0.13003143906826162</v>
      </c>
      <c r="G399" s="12">
        <v>16.41479687496982</v>
      </c>
      <c r="H399" s="12">
        <v>-0.20591272553429005</v>
      </c>
      <c r="I399" s="12">
        <v>0.30284910602495058</v>
      </c>
      <c r="J399" s="12">
        <v>0.37729457323439419</v>
      </c>
      <c r="K399" s="12">
        <v>2.7635134676529564E-2</v>
      </c>
      <c r="L399" s="12">
        <v>0.66356337567170465</v>
      </c>
      <c r="M399" s="12">
        <v>4392.0700411200105</v>
      </c>
      <c r="N399" s="12">
        <v>1.1731515366886596</v>
      </c>
      <c r="O399" s="12">
        <v>22.993548134580323</v>
      </c>
      <c r="P399" s="12">
        <v>56.36783396556504</v>
      </c>
      <c r="Q399" s="12">
        <v>23.060000000000002</v>
      </c>
      <c r="R399" s="12">
        <v>49.950894993942249</v>
      </c>
      <c r="S399" s="12">
        <v>6022.4275082808372</v>
      </c>
      <c r="T399" s="15">
        <v>1.1760834710000001</v>
      </c>
      <c r="U399" s="12">
        <v>3.7178244591355156</v>
      </c>
      <c r="V399" s="12">
        <v>26245346239.722927</v>
      </c>
      <c r="W399" s="12">
        <v>5.1894983863830566</v>
      </c>
      <c r="X399" s="12">
        <v>3.7456302639999999</v>
      </c>
      <c r="Y399" s="15">
        <v>8.7606850269999992</v>
      </c>
      <c r="Z399" s="15">
        <v>0.89171</v>
      </c>
      <c r="AA399" s="15">
        <v>12.764043920000001</v>
      </c>
      <c r="AB399" s="12">
        <v>20.295526021468145</v>
      </c>
      <c r="AC399" s="12">
        <v>15.702423984794633</v>
      </c>
      <c r="AD399" s="12">
        <v>14.210406685012043</v>
      </c>
      <c r="AE399">
        <v>0</v>
      </c>
    </row>
    <row r="400" spans="1:31" ht="15" customHeight="1" x14ac:dyDescent="0.3">
      <c r="A400" s="12" t="s">
        <v>390</v>
      </c>
      <c r="B400" s="12">
        <v>78.326379776000948</v>
      </c>
      <c r="C400" s="12">
        <v>10.889630317687999</v>
      </c>
      <c r="D400" s="12">
        <v>0.83000257611274697</v>
      </c>
      <c r="E400" s="12">
        <v>49.132925925925925</v>
      </c>
      <c r="F400" s="12">
        <v>-1.5863598401729866</v>
      </c>
      <c r="G400" s="12">
        <v>9.923480314589991</v>
      </c>
      <c r="H400" s="12">
        <v>-2.1530322233835841</v>
      </c>
      <c r="I400" s="12">
        <v>-2.1421282490094513</v>
      </c>
      <c r="J400" s="12">
        <v>-1.8246348897616056</v>
      </c>
      <c r="K400" s="12">
        <v>-1.8343079487482699</v>
      </c>
      <c r="L400" s="12">
        <v>-1.6614078879356386</v>
      </c>
      <c r="M400" s="12" t="s">
        <v>37</v>
      </c>
      <c r="N400" s="12">
        <v>2.730129885843914</v>
      </c>
      <c r="O400" s="12" t="s">
        <v>37</v>
      </c>
      <c r="P400" s="12" t="s">
        <v>37</v>
      </c>
      <c r="Q400" s="12">
        <v>7.7875000000000014</v>
      </c>
      <c r="R400" s="12" t="s">
        <v>37</v>
      </c>
      <c r="S400" s="12" t="s">
        <v>37</v>
      </c>
      <c r="T400" s="15" t="s">
        <v>37</v>
      </c>
      <c r="U400" s="12" t="s">
        <v>37</v>
      </c>
      <c r="V400" s="12" t="s">
        <v>37</v>
      </c>
      <c r="W400" s="12">
        <v>1.2493883967399604</v>
      </c>
      <c r="X400" s="12">
        <v>0.64080702499999997</v>
      </c>
      <c r="Y400" s="15" t="s">
        <v>37</v>
      </c>
      <c r="Z400" s="15" t="s">
        <v>37</v>
      </c>
      <c r="AA400" s="15" t="s">
        <v>37</v>
      </c>
      <c r="AB400" s="12" t="s">
        <v>37</v>
      </c>
      <c r="AC400" s="12" t="s">
        <v>37</v>
      </c>
      <c r="AD400" s="12" t="s">
        <v>37</v>
      </c>
      <c r="AE400">
        <v>1</v>
      </c>
    </row>
    <row r="401" spans="1:31" ht="15" customHeight="1" x14ac:dyDescent="0.3">
      <c r="A401" s="12" t="s">
        <v>392</v>
      </c>
      <c r="B401" s="12">
        <v>103.62418224193436</v>
      </c>
      <c r="C401" s="12">
        <v>118.67587675871681</v>
      </c>
      <c r="D401" s="12">
        <v>72.715110637523509</v>
      </c>
      <c r="E401" s="12">
        <v>81.075989159891591</v>
      </c>
      <c r="F401" s="12">
        <v>0.99367788185675898</v>
      </c>
      <c r="G401" s="12">
        <v>22.736375173625468</v>
      </c>
      <c r="H401" s="12">
        <v>0.10715167647382857</v>
      </c>
      <c r="I401" s="12">
        <v>1.1751251568396883</v>
      </c>
      <c r="J401" s="12">
        <v>1.0660700549681987</v>
      </c>
      <c r="K401" s="12">
        <v>1.0912676031390827</v>
      </c>
      <c r="L401" s="12">
        <v>1.1211390097935994</v>
      </c>
      <c r="M401" s="12">
        <v>20001.790799896004</v>
      </c>
      <c r="N401" s="12">
        <v>0.6718971841525071</v>
      </c>
      <c r="O401" s="12">
        <v>13.778959872589322</v>
      </c>
      <c r="P401" s="12">
        <v>41.610001277726312</v>
      </c>
      <c r="Q401" s="12">
        <v>15.75333333333333</v>
      </c>
      <c r="R401" s="12">
        <v>19.401155272217018</v>
      </c>
      <c r="S401" s="12">
        <v>27702.745299340899</v>
      </c>
      <c r="T401" s="15">
        <v>1.2136377819999999</v>
      </c>
      <c r="U401" s="12" t="s">
        <v>37</v>
      </c>
      <c r="V401" s="12" t="s">
        <v>37</v>
      </c>
      <c r="W401" s="12">
        <v>4.3727192328526421</v>
      </c>
      <c r="X401" s="12">
        <v>6.1054986099999997</v>
      </c>
      <c r="Y401" s="15">
        <v>9.5718607569999996</v>
      </c>
      <c r="Z401" s="15" t="s">
        <v>37</v>
      </c>
      <c r="AA401" s="15">
        <v>6.8830612420000001</v>
      </c>
      <c r="AB401" s="12" t="s">
        <v>37</v>
      </c>
      <c r="AC401" s="12">
        <v>21.896792795296445</v>
      </c>
      <c r="AD401" s="12">
        <v>20.076843261582752</v>
      </c>
      <c r="AE401">
        <v>0</v>
      </c>
    </row>
    <row r="402" spans="1:31" ht="15" customHeight="1" x14ac:dyDescent="0.3">
      <c r="A402" s="12" t="s">
        <v>394</v>
      </c>
      <c r="B402" s="12">
        <v>99.131922721862779</v>
      </c>
      <c r="C402" s="12">
        <v>93.688332297585234</v>
      </c>
      <c r="D402" s="12">
        <v>18.617782372694748</v>
      </c>
      <c r="E402" s="12">
        <v>72.915962962962965</v>
      </c>
      <c r="F402" s="12">
        <v>-0.28524555312469596</v>
      </c>
      <c r="G402" s="12">
        <v>25.454369017683529</v>
      </c>
      <c r="H402" s="12">
        <v>-0.8412209382125484</v>
      </c>
      <c r="I402" s="12">
        <v>-0.18274584957786519</v>
      </c>
      <c r="J402" s="12">
        <v>-0.16923802532255652</v>
      </c>
      <c r="K402" s="12">
        <v>3.9143593664145306E-2</v>
      </c>
      <c r="L402" s="12">
        <v>-0.27476009637272603</v>
      </c>
      <c r="M402" s="12">
        <v>1625.5710675316905</v>
      </c>
      <c r="N402" s="12">
        <v>0.76697907622071149</v>
      </c>
      <c r="O402" s="12">
        <v>12.660769428659375</v>
      </c>
      <c r="P402" s="12">
        <v>18.178148378331347</v>
      </c>
      <c r="Q402" s="12">
        <v>12.679999999999996</v>
      </c>
      <c r="R402" s="12">
        <v>15.646977708413518</v>
      </c>
      <c r="S402" s="12">
        <v>3988.080159903534</v>
      </c>
      <c r="T402" s="15">
        <v>3.379750203</v>
      </c>
      <c r="U402" s="12">
        <v>17.163052150940068</v>
      </c>
      <c r="V402" s="12">
        <v>136492818860.17259</v>
      </c>
      <c r="W402" s="12">
        <v>2.1170509681105623</v>
      </c>
      <c r="X402" s="12">
        <v>1.828710227</v>
      </c>
      <c r="Y402" s="15">
        <v>5.4765906800000002</v>
      </c>
      <c r="Z402" s="15">
        <v>2.0617399999999999</v>
      </c>
      <c r="AA402" s="15">
        <v>1.910229417</v>
      </c>
      <c r="AB402" s="12">
        <v>17.752017155556089</v>
      </c>
      <c r="AC402" s="12">
        <v>25.588823730255239</v>
      </c>
      <c r="AD402" s="12">
        <v>23.372884055417888</v>
      </c>
      <c r="AE402">
        <v>1</v>
      </c>
    </row>
    <row r="403" spans="1:31" ht="15" customHeight="1" x14ac:dyDescent="0.3">
      <c r="A403" s="12" t="s">
        <v>396</v>
      </c>
      <c r="B403" s="12">
        <v>111.84397048950196</v>
      </c>
      <c r="C403" s="12">
        <v>103.84238344080312</v>
      </c>
      <c r="D403" s="12">
        <v>67.215861002604171</v>
      </c>
      <c r="E403" s="12">
        <v>70.577629629629627</v>
      </c>
      <c r="F403" s="12">
        <v>0.77031511734974989</v>
      </c>
      <c r="G403" s="12" t="s">
        <v>37</v>
      </c>
      <c r="H403" s="12">
        <v>0.91701200604438671</v>
      </c>
      <c r="I403" s="12">
        <v>0.7630927750938814</v>
      </c>
      <c r="J403" s="12">
        <v>0.82167423006735385</v>
      </c>
      <c r="K403" s="12">
        <v>0.69828848789135611</v>
      </c>
      <c r="L403" s="12">
        <v>0.98511880263686313</v>
      </c>
      <c r="M403" s="12">
        <v>11653.420261584484</v>
      </c>
      <c r="N403" s="12">
        <v>0.46394583774118642</v>
      </c>
      <c r="O403" s="12">
        <v>18.793943973375626</v>
      </c>
      <c r="P403" s="12">
        <v>27.283986279667836</v>
      </c>
      <c r="Q403" s="12">
        <v>31.806666666666668</v>
      </c>
      <c r="R403" s="12">
        <v>18.756007218594732</v>
      </c>
      <c r="S403" s="12">
        <v>20428.414740856933</v>
      </c>
      <c r="T403" s="15">
        <v>2.1007507460000001</v>
      </c>
      <c r="U403" s="12">
        <v>24.186273266566349</v>
      </c>
      <c r="V403" s="12">
        <v>93227456.534210533</v>
      </c>
      <c r="W403" s="12">
        <v>3.4467818140983586</v>
      </c>
      <c r="X403" s="12">
        <v>2.087539547</v>
      </c>
      <c r="Y403" s="15">
        <v>6.8580742299999997</v>
      </c>
      <c r="Z403" s="15">
        <v>6.8774100000000002</v>
      </c>
      <c r="AA403" s="15">
        <v>5.1829880700000004</v>
      </c>
      <c r="AB403" s="12" t="s">
        <v>37</v>
      </c>
      <c r="AC403" s="12" t="s">
        <v>37</v>
      </c>
      <c r="AD403" s="12" t="s">
        <v>37</v>
      </c>
      <c r="AE403">
        <v>0</v>
      </c>
    </row>
    <row r="404" spans="1:31" ht="15" customHeight="1" x14ac:dyDescent="0.3">
      <c r="A404" s="12" t="s">
        <v>398</v>
      </c>
      <c r="B404" s="12">
        <v>104.00592803955075</v>
      </c>
      <c r="C404" s="12">
        <v>85.980073293050125</v>
      </c>
      <c r="D404" s="12">
        <v>15.335152124103752</v>
      </c>
      <c r="E404" s="12">
        <v>72.179037037037034</v>
      </c>
      <c r="F404" s="12">
        <v>0.85812095278187805</v>
      </c>
      <c r="G404" s="12" t="s">
        <v>37</v>
      </c>
      <c r="H404" s="12">
        <v>0.86018029972910848</v>
      </c>
      <c r="I404" s="12">
        <v>0.48987219874796084</v>
      </c>
      <c r="J404" s="12">
        <v>0.45447548753336847</v>
      </c>
      <c r="K404" s="12">
        <v>0.75617387394110358</v>
      </c>
      <c r="L404" s="12">
        <v>1.0457420622309053</v>
      </c>
      <c r="M404" s="12">
        <v>8597.0993569575712</v>
      </c>
      <c r="N404" s="12">
        <v>0.65425097125089937</v>
      </c>
      <c r="O404" s="12">
        <v>17.820962743127055</v>
      </c>
      <c r="P404" s="12">
        <v>27.964901318296764</v>
      </c>
      <c r="Q404" s="12">
        <v>25.820000000000004</v>
      </c>
      <c r="R404" s="12">
        <v>25.001706101435161</v>
      </c>
      <c r="S404" s="12">
        <v>10802.655716709825</v>
      </c>
      <c r="T404" s="15">
        <v>0.84939125699999996</v>
      </c>
      <c r="U404" s="12">
        <v>11.884694313979399</v>
      </c>
      <c r="V404" s="12">
        <v>73204536</v>
      </c>
      <c r="W404" s="12">
        <v>4.0685192289806542</v>
      </c>
      <c r="X404" s="12">
        <v>1.862316546</v>
      </c>
      <c r="Y404" s="15">
        <v>4.8311746329999998</v>
      </c>
      <c r="Z404" s="15">
        <v>7.8977000000000004</v>
      </c>
      <c r="AA404" s="15">
        <v>4.9694624039999997</v>
      </c>
      <c r="AB404" s="12" t="s">
        <v>37</v>
      </c>
      <c r="AC404" s="12" t="s">
        <v>37</v>
      </c>
      <c r="AD404" s="12" t="s">
        <v>37</v>
      </c>
      <c r="AE404">
        <v>0</v>
      </c>
    </row>
    <row r="405" spans="1:31" ht="15" customHeight="1" x14ac:dyDescent="0.3">
      <c r="A405" s="12" t="s">
        <v>400</v>
      </c>
      <c r="B405" s="12" t="s">
        <v>37</v>
      </c>
      <c r="C405" s="12" t="s">
        <v>37</v>
      </c>
      <c r="D405" s="12" t="s">
        <v>37</v>
      </c>
      <c r="E405" s="12">
        <v>78.111814814814792</v>
      </c>
      <c r="F405" s="12" t="s">
        <v>37</v>
      </c>
      <c r="G405" s="12" t="s">
        <v>37</v>
      </c>
      <c r="H405" s="12" t="s">
        <v>37</v>
      </c>
      <c r="I405" s="12" t="s">
        <v>37</v>
      </c>
      <c r="J405" s="12" t="s">
        <v>37</v>
      </c>
      <c r="K405" s="12" t="s">
        <v>37</v>
      </c>
      <c r="L405" s="12" t="s">
        <v>37</v>
      </c>
      <c r="M405" s="12" t="s">
        <v>37</v>
      </c>
      <c r="N405" s="12">
        <v>0.31035337151633696</v>
      </c>
      <c r="O405" s="12" t="s">
        <v>37</v>
      </c>
      <c r="P405" s="12" t="s">
        <v>37</v>
      </c>
      <c r="Q405" s="12" t="s">
        <v>37</v>
      </c>
      <c r="R405" s="12" t="s">
        <v>37</v>
      </c>
      <c r="S405" s="12" t="s">
        <v>37</v>
      </c>
      <c r="T405" s="15" t="s">
        <v>37</v>
      </c>
      <c r="U405" s="12" t="s">
        <v>37</v>
      </c>
      <c r="V405" s="12" t="s">
        <v>37</v>
      </c>
      <c r="W405" s="12" t="s">
        <v>37</v>
      </c>
      <c r="X405" s="12" t="s">
        <v>37</v>
      </c>
      <c r="Y405" s="15" t="s">
        <v>37</v>
      </c>
      <c r="Z405" s="15" t="s">
        <v>37</v>
      </c>
      <c r="AA405" s="15" t="s">
        <v>37</v>
      </c>
      <c r="AB405" s="12" t="s">
        <v>37</v>
      </c>
      <c r="AC405" s="12" t="s">
        <v>37</v>
      </c>
      <c r="AD405" s="12" t="s">
        <v>37</v>
      </c>
      <c r="AE405">
        <v>0</v>
      </c>
    </row>
    <row r="406" spans="1:31" ht="15" customHeight="1" x14ac:dyDescent="0.3">
      <c r="A406" s="12" t="s">
        <v>402</v>
      </c>
      <c r="B406" s="12">
        <v>111.39019941247015</v>
      </c>
      <c r="C406" s="12">
        <v>100.74340711321145</v>
      </c>
      <c r="D406" s="12">
        <v>23.699975013732903</v>
      </c>
      <c r="E406" s="12">
        <v>73.087592592592571</v>
      </c>
      <c r="F406" s="12">
        <v>0.85349032439683636</v>
      </c>
      <c r="G406" s="12" t="s">
        <v>37</v>
      </c>
      <c r="H406" s="12">
        <v>0.91770357266068414</v>
      </c>
      <c r="I406" s="12">
        <v>0.57090945228150036</v>
      </c>
      <c r="J406" s="12">
        <v>0.42360607887569196</v>
      </c>
      <c r="K406" s="12">
        <v>0.74801400428016984</v>
      </c>
      <c r="L406" s="12">
        <v>0.9922397906581556</v>
      </c>
      <c r="M406" s="12">
        <v>4424.1581614057641</v>
      </c>
      <c r="N406" s="12">
        <v>-0.3264036199800604</v>
      </c>
      <c r="O406" s="12">
        <v>21.126052293928399</v>
      </c>
      <c r="P406" s="12">
        <v>28.8203158896759</v>
      </c>
      <c r="Q406" s="12">
        <v>31.886666666666667</v>
      </c>
      <c r="R406" s="12">
        <v>24.102847248543799</v>
      </c>
      <c r="S406" s="12">
        <v>8460.3654821613709</v>
      </c>
      <c r="T406" s="15">
        <v>2.4302167840000002</v>
      </c>
      <c r="U406" s="12">
        <v>28.334024372321611</v>
      </c>
      <c r="V406" s="12">
        <v>81138409.869565219</v>
      </c>
      <c r="W406" s="12">
        <v>5.7719621658325195</v>
      </c>
      <c r="X406" s="12">
        <v>2.5985524550000001</v>
      </c>
      <c r="Y406" s="15">
        <v>7.665824636</v>
      </c>
      <c r="Z406" s="15">
        <v>6.0668899999999999</v>
      </c>
      <c r="AA406" s="15">
        <v>5.5558391230000002</v>
      </c>
      <c r="AB406" s="12">
        <v>19.221302829282013</v>
      </c>
      <c r="AC406" s="12" t="s">
        <v>37</v>
      </c>
      <c r="AD406" s="12" t="s">
        <v>37</v>
      </c>
      <c r="AE406">
        <v>0</v>
      </c>
    </row>
    <row r="407" spans="1:31" ht="15" customHeight="1" x14ac:dyDescent="0.3">
      <c r="A407" s="12" t="s">
        <v>404</v>
      </c>
      <c r="B407" s="12">
        <v>71.730941560533296</v>
      </c>
      <c r="C407" s="12">
        <v>40.367302576700844</v>
      </c>
      <c r="D407" s="12">
        <v>12.175885396845198</v>
      </c>
      <c r="E407" s="12">
        <v>60.434962962962963</v>
      </c>
      <c r="F407" s="12">
        <v>-1.3233251571655285</v>
      </c>
      <c r="G407" s="12">
        <v>15.442457150394054</v>
      </c>
      <c r="H407" s="12">
        <v>-2.1494941363732023</v>
      </c>
      <c r="I407" s="12">
        <v>-1.3633026480674741</v>
      </c>
      <c r="J407" s="12">
        <v>-1.4221008072296772</v>
      </c>
      <c r="K407" s="12">
        <v>-1.3520616342624028</v>
      </c>
      <c r="L407" s="12">
        <v>-1.7022469391425465</v>
      </c>
      <c r="M407" s="12">
        <v>1507.84118652344</v>
      </c>
      <c r="N407" s="12">
        <v>2.5875425650454584</v>
      </c>
      <c r="O407" s="12">
        <v>6.6917399242237234</v>
      </c>
      <c r="P407" s="12">
        <v>11.277546195722653</v>
      </c>
      <c r="Q407" s="12">
        <v>13.633333333333333</v>
      </c>
      <c r="R407" s="12">
        <v>7.5062892773048491</v>
      </c>
      <c r="S407" s="12">
        <v>1684.63037109375</v>
      </c>
      <c r="T407" s="15">
        <v>0.41146354950000003</v>
      </c>
      <c r="U407" s="12">
        <v>32.039481677396786</v>
      </c>
      <c r="V407" s="12">
        <v>505945000</v>
      </c>
      <c r="W407" s="12">
        <v>1.442082847867693</v>
      </c>
      <c r="X407" s="12">
        <v>1.4647617749999999</v>
      </c>
      <c r="Y407" s="15">
        <v>0.67376592909999999</v>
      </c>
      <c r="Z407" s="15">
        <v>0.23966999999999999</v>
      </c>
      <c r="AA407" s="15">
        <v>8.5135587760000006E-2</v>
      </c>
      <c r="AB407" s="12" t="s">
        <v>37</v>
      </c>
      <c r="AC407" s="12">
        <v>5.5391670895105003</v>
      </c>
      <c r="AD407" s="12">
        <v>2.1782639767272802</v>
      </c>
      <c r="AE407">
        <v>1</v>
      </c>
    </row>
    <row r="408" spans="1:31" ht="15" customHeight="1" x14ac:dyDescent="0.3">
      <c r="A408" s="12" t="s">
        <v>406</v>
      </c>
      <c r="B408" s="12">
        <v>105.56086578369145</v>
      </c>
      <c r="C408" s="12">
        <v>71.131617069244385</v>
      </c>
      <c r="D408" s="12">
        <v>10.038929939270044</v>
      </c>
      <c r="E408" s="12">
        <v>68.475740740740719</v>
      </c>
      <c r="F408" s="12">
        <v>-0.12113777722697709</v>
      </c>
      <c r="G408" s="12">
        <v>42.080875445334989</v>
      </c>
      <c r="H408" s="12">
        <v>0.22808415353453401</v>
      </c>
      <c r="I408" s="12">
        <v>-0.33183242400021601</v>
      </c>
      <c r="J408" s="12">
        <v>-0.61109991744160641</v>
      </c>
      <c r="K408" s="12">
        <v>-0.12189672008389611</v>
      </c>
      <c r="L408" s="12">
        <v>0.36473332407573866</v>
      </c>
      <c r="M408" s="12">
        <v>6114.6441272418278</v>
      </c>
      <c r="N408" s="12">
        <v>1.3430205972394194</v>
      </c>
      <c r="O408" s="12" t="s">
        <v>37</v>
      </c>
      <c r="P408" s="12" t="s">
        <v>37</v>
      </c>
      <c r="Q408" s="12">
        <v>27.899999999999991</v>
      </c>
      <c r="R408" s="12" t="s">
        <v>37</v>
      </c>
      <c r="S408" s="12">
        <v>7141.816495889635</v>
      </c>
      <c r="T408" s="15">
        <v>0.57677022700000002</v>
      </c>
      <c r="U408" s="12" t="s">
        <v>37</v>
      </c>
      <c r="V408" s="12" t="s">
        <v>37</v>
      </c>
      <c r="W408" s="12">
        <v>5.111081838607789</v>
      </c>
      <c r="X408" s="12">
        <v>2.7684038370000001</v>
      </c>
      <c r="Y408" s="15" t="s">
        <v>37</v>
      </c>
      <c r="Z408" s="15" t="s">
        <v>37</v>
      </c>
      <c r="AA408" s="15" t="s">
        <v>37</v>
      </c>
      <c r="AB408" s="12" t="s">
        <v>37</v>
      </c>
      <c r="AC408" s="12" t="s">
        <v>37</v>
      </c>
      <c r="AD408" s="12" t="s">
        <v>37</v>
      </c>
      <c r="AE408">
        <v>0</v>
      </c>
    </row>
    <row r="409" spans="1:31" ht="15" customHeight="1" x14ac:dyDescent="0.3">
      <c r="A409" s="12" t="s">
        <v>408</v>
      </c>
      <c r="B409" s="12">
        <v>108.86607728181062</v>
      </c>
      <c r="C409" s="12">
        <v>127.8851971096462</v>
      </c>
      <c r="D409" s="12">
        <v>69.51586786905925</v>
      </c>
      <c r="E409" s="12">
        <v>81.017506775067758</v>
      </c>
      <c r="F409" s="12">
        <v>2.1566365957260123</v>
      </c>
      <c r="G409" s="12">
        <v>23.000841345116363</v>
      </c>
      <c r="H409" s="12">
        <v>1.1642981717983887</v>
      </c>
      <c r="I409" s="12">
        <v>1.83152977625529</v>
      </c>
      <c r="J409" s="12">
        <v>1.6601833154757824</v>
      </c>
      <c r="K409" s="12">
        <v>1.8568079372247059</v>
      </c>
      <c r="L409" s="12">
        <v>1.5640342930952718</v>
      </c>
      <c r="M409" s="12">
        <v>34648.118915457511</v>
      </c>
      <c r="N409" s="12">
        <v>0.63245808946953774</v>
      </c>
      <c r="O409" s="12">
        <v>27.647913514570522</v>
      </c>
      <c r="P409" s="12">
        <v>17.798837692497909</v>
      </c>
      <c r="Q409" s="12">
        <v>15.073333333333331</v>
      </c>
      <c r="R409" s="12">
        <v>14.306816691633413</v>
      </c>
      <c r="S409" s="12">
        <v>56029.495255646078</v>
      </c>
      <c r="T409" s="15">
        <v>1.793137816</v>
      </c>
      <c r="U409" s="12" t="s">
        <v>37</v>
      </c>
      <c r="V409" s="12" t="s">
        <v>37</v>
      </c>
      <c r="W409" s="12">
        <v>6.9576058387756339</v>
      </c>
      <c r="X409" s="12">
        <v>7.8919887769999999</v>
      </c>
      <c r="Y409" s="15">
        <v>12.207826239999999</v>
      </c>
      <c r="Z409" s="15" t="s">
        <v>37</v>
      </c>
      <c r="AA409" s="15">
        <v>4.8283495949999997</v>
      </c>
      <c r="AB409" s="12">
        <v>26.732390274038913</v>
      </c>
      <c r="AC409" s="12">
        <v>19.715351538961375</v>
      </c>
      <c r="AD409" s="12">
        <v>27.130562612155341</v>
      </c>
      <c r="AE409">
        <v>0</v>
      </c>
    </row>
    <row r="410" spans="1:31" ht="15" customHeight="1" x14ac:dyDescent="0.3">
      <c r="A410" s="12" t="s">
        <v>410</v>
      </c>
      <c r="B410" s="12">
        <v>102.53374833327085</v>
      </c>
      <c r="C410" s="12">
        <v>98.211111450195233</v>
      </c>
      <c r="D410" s="12">
        <v>50.570208916297332</v>
      </c>
      <c r="E410" s="12">
        <v>81.624751580849164</v>
      </c>
      <c r="F410" s="12">
        <v>2.0400519669055943</v>
      </c>
      <c r="G410" s="12">
        <v>26.548145058792262</v>
      </c>
      <c r="H410" s="12">
        <v>1.3101133406162266</v>
      </c>
      <c r="I410" s="12">
        <v>1.9509777029355366</v>
      </c>
      <c r="J410" s="12">
        <v>1.668000712990761</v>
      </c>
      <c r="K410" s="12">
        <v>1.850589071710905</v>
      </c>
      <c r="L410" s="12">
        <v>1.5385544449090949</v>
      </c>
      <c r="M410" s="12">
        <v>67264.911294191392</v>
      </c>
      <c r="N410" s="12">
        <v>0.81045218722895052</v>
      </c>
      <c r="O410" s="12">
        <v>9.2331175073644047</v>
      </c>
      <c r="P410" s="12">
        <v>38.040227869225284</v>
      </c>
      <c r="Q410" s="12">
        <v>9.2799999999999994</v>
      </c>
      <c r="R410" s="12">
        <v>20.136159186495256</v>
      </c>
      <c r="S410" s="12">
        <v>90057.03594222333</v>
      </c>
      <c r="T410" s="15">
        <v>1.086618608</v>
      </c>
      <c r="U410" s="12">
        <v>2.156488436909024</v>
      </c>
      <c r="V410" s="12">
        <v>1095283344.0277777</v>
      </c>
      <c r="W410" s="12">
        <v>4.9451766564295845</v>
      </c>
      <c r="X410" s="12">
        <v>3.2763471260000001</v>
      </c>
      <c r="Y410" s="15">
        <v>5.411653577</v>
      </c>
      <c r="Z410" s="15">
        <v>0.18742</v>
      </c>
      <c r="AA410" s="15">
        <v>3.5789231539999999</v>
      </c>
      <c r="AB410" s="12">
        <v>7.9154614857455243</v>
      </c>
      <c r="AC410" s="12">
        <v>26.726877836901302</v>
      </c>
      <c r="AD410" s="12">
        <v>26.250458934080502</v>
      </c>
      <c r="AE410">
        <v>0</v>
      </c>
    </row>
    <row r="411" spans="1:31" ht="15" customHeight="1" x14ac:dyDescent="0.3">
      <c r="A411" s="12" t="s">
        <v>412</v>
      </c>
      <c r="B411" s="12">
        <v>105.91936215487402</v>
      </c>
      <c r="C411" s="12">
        <v>55.683652531016968</v>
      </c>
      <c r="D411" s="12">
        <v>26.391553699970242</v>
      </c>
      <c r="E411" s="12">
        <v>70.549555555555571</v>
      </c>
      <c r="F411" s="12">
        <v>-1.2262094529966518</v>
      </c>
      <c r="G411" s="12">
        <v>16.769092348928769</v>
      </c>
      <c r="H411" s="12">
        <v>-1.4789292486384513</v>
      </c>
      <c r="I411" s="12">
        <v>-1.188465834905704</v>
      </c>
      <c r="J411" s="12">
        <v>-1.3806654537717502</v>
      </c>
      <c r="K411" s="12">
        <v>-1.1640930076440175</v>
      </c>
      <c r="L411" s="12">
        <v>-1.7683587570985166</v>
      </c>
      <c r="M411" s="12">
        <v>1213.470082592439</v>
      </c>
      <c r="N411" s="12">
        <v>1.5790189738058478</v>
      </c>
      <c r="O411" s="12" t="s">
        <v>37</v>
      </c>
      <c r="P411" s="12" t="s">
        <v>37</v>
      </c>
      <c r="Q411" s="12">
        <v>21.959999999999997</v>
      </c>
      <c r="R411" s="12" t="s">
        <v>37</v>
      </c>
      <c r="S411" s="12" t="s">
        <v>37</v>
      </c>
      <c r="T411" s="15" t="s">
        <v>37</v>
      </c>
      <c r="U411" s="12" t="s">
        <v>37</v>
      </c>
      <c r="V411" s="12" t="s">
        <v>37</v>
      </c>
      <c r="W411" s="12">
        <v>5.0263744460211859</v>
      </c>
      <c r="X411" s="12">
        <v>1.7810328289999999</v>
      </c>
      <c r="Y411" s="15" t="s">
        <v>37</v>
      </c>
      <c r="Z411" s="15" t="s">
        <v>37</v>
      </c>
      <c r="AA411" s="15" t="s">
        <v>37</v>
      </c>
      <c r="AB411" s="12" t="s">
        <v>37</v>
      </c>
      <c r="AC411" s="12">
        <v>27.23481763649897</v>
      </c>
      <c r="AD411" s="12" t="s">
        <v>37</v>
      </c>
      <c r="AE411">
        <v>1</v>
      </c>
    </row>
    <row r="412" spans="1:31" ht="15" customHeight="1" x14ac:dyDescent="0.3">
      <c r="A412" s="12" t="s">
        <v>414</v>
      </c>
      <c r="B412" s="12">
        <v>93.513737222422719</v>
      </c>
      <c r="C412" s="12">
        <v>80.430692195892334</v>
      </c>
      <c r="D412" s="12">
        <v>21.810807037353506</v>
      </c>
      <c r="E412" s="12">
        <v>66.483888888888885</v>
      </c>
      <c r="F412" s="12">
        <v>-1.2456894318262728</v>
      </c>
      <c r="G412" s="12">
        <v>21.693774092170912</v>
      </c>
      <c r="H412" s="12">
        <v>-1.0427131702502572</v>
      </c>
      <c r="I412" s="12">
        <v>-1.0481960376103718</v>
      </c>
      <c r="J412" s="12">
        <v>-1.1329127872983606</v>
      </c>
      <c r="K412" s="12">
        <v>-1.2439893384774519</v>
      </c>
      <c r="L412" s="12">
        <v>-1.4782085220019034</v>
      </c>
      <c r="M412" s="12">
        <v>455.38558899238404</v>
      </c>
      <c r="N412" s="12">
        <v>1.9212137782753511</v>
      </c>
      <c r="O412" s="12">
        <v>8.8103874979948085</v>
      </c>
      <c r="P412" s="12">
        <v>6.4663551356961841</v>
      </c>
      <c r="Q412" s="12">
        <v>14.159999999999997</v>
      </c>
      <c r="R412" s="12">
        <v>4.3832076978970438</v>
      </c>
      <c r="S412" s="12">
        <v>1356.3172812084083</v>
      </c>
      <c r="T412" s="15">
        <v>4.1249700139999996</v>
      </c>
      <c r="U412" s="12">
        <v>15.971454589417002</v>
      </c>
      <c r="V412" s="12">
        <v>184083909</v>
      </c>
      <c r="W412" s="12">
        <v>3.8150755310058613</v>
      </c>
      <c r="X412" s="12">
        <v>1.415661045</v>
      </c>
      <c r="Y412" s="15">
        <v>4.211982839</v>
      </c>
      <c r="Z412" s="15">
        <v>0.53130999999999995</v>
      </c>
      <c r="AA412" s="15">
        <v>0.68410345210000001</v>
      </c>
      <c r="AB412" s="12" t="s">
        <v>37</v>
      </c>
      <c r="AC412" s="12">
        <v>21.299426934097422</v>
      </c>
      <c r="AD412" s="12" t="s">
        <v>37</v>
      </c>
      <c r="AE412">
        <v>1</v>
      </c>
    </row>
    <row r="413" spans="1:31" ht="15" customHeight="1" x14ac:dyDescent="0.3">
      <c r="A413" s="12" t="s">
        <v>416</v>
      </c>
      <c r="B413" s="12">
        <v>89.574327741350444</v>
      </c>
      <c r="C413" s="12">
        <v>23.172368248303741</v>
      </c>
      <c r="D413" s="12">
        <v>2.2427409319650558</v>
      </c>
      <c r="E413" s="12">
        <v>58.688481481481489</v>
      </c>
      <c r="F413" s="12">
        <v>-0.57167017956574762</v>
      </c>
      <c r="G413" s="12">
        <v>29.6747256880385</v>
      </c>
      <c r="H413" s="12">
        <v>-0.38312481921942276</v>
      </c>
      <c r="I413" s="12">
        <v>-0.60865358635783195</v>
      </c>
      <c r="J413" s="12">
        <v>-0.50667604058980942</v>
      </c>
      <c r="K413" s="12">
        <v>-0.42136695173879457</v>
      </c>
      <c r="L413" s="12">
        <v>-0.35846228152513504</v>
      </c>
      <c r="M413" s="12">
        <v>505.900390625</v>
      </c>
      <c r="N413" s="12">
        <v>2.8322678575132474</v>
      </c>
      <c r="O413" s="12">
        <v>10.917377990788879</v>
      </c>
      <c r="P413" s="12">
        <v>34.164286328422634</v>
      </c>
      <c r="Q413" s="12">
        <v>20.493333333333336</v>
      </c>
      <c r="R413" s="12">
        <v>25.325779379038028</v>
      </c>
      <c r="S413" s="12">
        <v>1057.65832519531</v>
      </c>
      <c r="T413" s="15">
        <v>2.7690249850000002</v>
      </c>
      <c r="U413" s="12">
        <v>8.2656980811798597</v>
      </c>
      <c r="V413" s="12">
        <v>745787381000</v>
      </c>
      <c r="W413" s="12">
        <v>3.6565784866159614</v>
      </c>
      <c r="X413" s="12">
        <v>1.5466811629999999</v>
      </c>
      <c r="Y413" s="15">
        <v>7.866276751</v>
      </c>
      <c r="Z413" s="15">
        <v>1.36165</v>
      </c>
      <c r="AA413" s="15">
        <v>5.3136208610000004</v>
      </c>
      <c r="AB413" s="12" t="s">
        <v>37</v>
      </c>
      <c r="AC413" s="12">
        <v>19.595927826518789</v>
      </c>
      <c r="AD413" s="12">
        <v>42.68696141136266</v>
      </c>
      <c r="AE413">
        <v>1</v>
      </c>
    </row>
    <row r="414" spans="1:31" ht="15" customHeight="1" x14ac:dyDescent="0.3">
      <c r="A414" s="12" t="s">
        <v>418</v>
      </c>
      <c r="B414" s="12">
        <v>102.49238755967887</v>
      </c>
      <c r="C414" s="12">
        <v>90.818712310791</v>
      </c>
      <c r="D414" s="12">
        <v>44.724277001840107</v>
      </c>
      <c r="E414" s="12">
        <v>75.314333333333352</v>
      </c>
      <c r="F414" s="12">
        <v>-0.37778530580302089</v>
      </c>
      <c r="G414" s="12">
        <v>25.618381108798953</v>
      </c>
      <c r="H414" s="12">
        <v>-0.67410661031802499</v>
      </c>
      <c r="I414" s="12">
        <v>0.21464928224061927</v>
      </c>
      <c r="J414" s="12">
        <v>0.14474177178150663</v>
      </c>
      <c r="K414" s="12">
        <v>3.1483575818128932E-2</v>
      </c>
      <c r="L414" s="12">
        <v>-0.42544391161451761</v>
      </c>
      <c r="M414" s="12">
        <v>3595.0645821464886</v>
      </c>
      <c r="N414" s="12">
        <v>0.7414999176600191</v>
      </c>
      <c r="O414" s="12">
        <v>15.015343473551079</v>
      </c>
      <c r="P414" s="12">
        <v>40.061573638843484</v>
      </c>
      <c r="Q414" s="12">
        <v>25.58</v>
      </c>
      <c r="R414" s="12">
        <v>32.457787153611896</v>
      </c>
      <c r="S414" s="12">
        <v>6278.351439697838</v>
      </c>
      <c r="T414" s="15">
        <v>2.08645156</v>
      </c>
      <c r="U414" s="12">
        <v>8.1142194750913585</v>
      </c>
      <c r="V414" s="12">
        <v>96764870307.330276</v>
      </c>
      <c r="W414" s="12">
        <v>3.8235572917120799</v>
      </c>
      <c r="X414" s="12">
        <v>2.4624853020000002</v>
      </c>
      <c r="Y414" s="15">
        <v>7.5941205299999996</v>
      </c>
      <c r="Z414" s="15">
        <v>0.96794000000000002</v>
      </c>
      <c r="AA414" s="15">
        <v>6.0341858310000003</v>
      </c>
      <c r="AB414" s="12">
        <v>16.440930820127207</v>
      </c>
      <c r="AC414" s="12">
        <v>41.321277859946406</v>
      </c>
      <c r="AD414" s="12">
        <v>23.400988909995235</v>
      </c>
      <c r="AE414">
        <v>0</v>
      </c>
    </row>
    <row r="415" spans="1:31" ht="15" customHeight="1" x14ac:dyDescent="0.3">
      <c r="A415" s="12" t="s">
        <v>420</v>
      </c>
      <c r="B415" s="12">
        <v>122.36159091525626</v>
      </c>
      <c r="C415" s="12">
        <v>66.042871475219727</v>
      </c>
      <c r="D415" s="12">
        <v>14.004893938700372</v>
      </c>
      <c r="E415" s="12">
        <v>61.674037037037031</v>
      </c>
      <c r="F415" s="12">
        <v>-0.5170661104576928</v>
      </c>
      <c r="G415" s="12">
        <v>31.0014666846218</v>
      </c>
      <c r="H415" s="12">
        <v>-0.25830232368951495</v>
      </c>
      <c r="I415" s="12">
        <v>-1.0162809349241715</v>
      </c>
      <c r="J415" s="12">
        <v>-1.0422194216932563</v>
      </c>
      <c r="K415" s="12">
        <v>-1.0208057574927802</v>
      </c>
      <c r="L415" s="12">
        <v>1.5241507751246204E-2</v>
      </c>
      <c r="M415" s="12" t="s">
        <v>37</v>
      </c>
      <c r="N415" s="12">
        <v>1.8245712452276435</v>
      </c>
      <c r="O415" s="12">
        <v>58.062428776627605</v>
      </c>
      <c r="P415" s="12">
        <v>83.28074444509771</v>
      </c>
      <c r="Q415" s="12">
        <v>16.506666666666661</v>
      </c>
      <c r="R415" s="12">
        <v>28.828243347607184</v>
      </c>
      <c r="S415" s="12">
        <v>1611.4686575542698</v>
      </c>
      <c r="T415" s="15" t="s">
        <v>37</v>
      </c>
      <c r="U415" s="12">
        <v>3.4213232724325406</v>
      </c>
      <c r="V415" s="12">
        <v>14439437.055555556</v>
      </c>
      <c r="W415" s="12">
        <v>6.9000374589647553</v>
      </c>
      <c r="X415" s="12">
        <v>3.315657077</v>
      </c>
      <c r="Y415" s="15">
        <v>5.5946708620000001</v>
      </c>
      <c r="Z415" s="15">
        <v>1.1063499999999999</v>
      </c>
      <c r="AA415" s="15">
        <v>54.58549257</v>
      </c>
      <c r="AB415" s="12" t="s">
        <v>37</v>
      </c>
      <c r="AC415" s="12" t="s">
        <v>37</v>
      </c>
      <c r="AD415" s="12">
        <v>10.029652831279041</v>
      </c>
      <c r="AE415">
        <v>1</v>
      </c>
    </row>
    <row r="416" spans="1:31" ht="15" customHeight="1" x14ac:dyDescent="0.3">
      <c r="A416" s="12" t="s">
        <v>422</v>
      </c>
      <c r="B416" s="12">
        <v>118.72806331089562</v>
      </c>
      <c r="C416" s="12">
        <v>40.514259465535481</v>
      </c>
      <c r="D416" s="12">
        <v>9.3027681559324265</v>
      </c>
      <c r="E416" s="12">
        <v>57.160148148148146</v>
      </c>
      <c r="F416" s="12">
        <v>-0.86096915105978666</v>
      </c>
      <c r="G416" s="12">
        <v>17.709175463970936</v>
      </c>
      <c r="H416" s="12">
        <v>-0.45801909407600777</v>
      </c>
      <c r="I416" s="12">
        <v>-1.1737078453103702</v>
      </c>
      <c r="J416" s="12">
        <v>-0.80108781034747756</v>
      </c>
      <c r="K416" s="12">
        <v>-0.81485468149185181</v>
      </c>
      <c r="L416" s="12">
        <v>-0.94483815630277002</v>
      </c>
      <c r="M416" s="12">
        <v>659.99077889832131</v>
      </c>
      <c r="N416" s="12">
        <v>2.7695479322079986</v>
      </c>
      <c r="O416" s="12">
        <v>12.320676220528913</v>
      </c>
      <c r="P416" s="12">
        <v>18.878375579664265</v>
      </c>
      <c r="Q416" s="12">
        <v>10.360000000000003</v>
      </c>
      <c r="R416" s="12">
        <v>15.29050171436484</v>
      </c>
      <c r="S416" s="12">
        <v>888.17561967668883</v>
      </c>
      <c r="T416" s="15">
        <v>1.1058611570000001</v>
      </c>
      <c r="U416" s="12">
        <v>22.533650051640645</v>
      </c>
      <c r="V416" s="12">
        <v>73437908067.725006</v>
      </c>
      <c r="W416" s="12">
        <v>3.1912940740585345</v>
      </c>
      <c r="X416" s="12">
        <v>0.77846378999999999</v>
      </c>
      <c r="Y416" s="15">
        <v>7.5503166889999997</v>
      </c>
      <c r="Z416" s="15">
        <v>3.2536200000000002</v>
      </c>
      <c r="AA416" s="15">
        <v>2.594623758</v>
      </c>
      <c r="AB416" s="12" t="s">
        <v>37</v>
      </c>
      <c r="AC416" s="12">
        <v>13.588320719284411</v>
      </c>
      <c r="AD416" s="12">
        <v>21.21193136394654</v>
      </c>
      <c r="AE416">
        <v>1</v>
      </c>
    </row>
    <row r="417" spans="1:31" ht="15" customHeight="1" x14ac:dyDescent="0.3">
      <c r="A417" s="12" t="s">
        <v>424</v>
      </c>
      <c r="B417" s="12">
        <v>108.02135614248417</v>
      </c>
      <c r="C417" s="12">
        <v>98.129552568708078</v>
      </c>
      <c r="D417" s="12">
        <v>7.4445398251215664</v>
      </c>
      <c r="E417" s="12">
        <v>69.876333333333349</v>
      </c>
      <c r="F417" s="12">
        <v>-0.48400816556654486</v>
      </c>
      <c r="G417" s="12">
        <v>23.406532705528392</v>
      </c>
      <c r="H417" s="12">
        <v>0.76825968846678727</v>
      </c>
      <c r="I417" s="12">
        <v>-0.23500039266716488</v>
      </c>
      <c r="J417" s="12">
        <v>-0.51053034945538156</v>
      </c>
      <c r="K417" s="12">
        <v>0.32072032332265121</v>
      </c>
      <c r="L417" s="12">
        <v>0.32476819500637555</v>
      </c>
      <c r="M417" s="12">
        <v>3257.5500999006044</v>
      </c>
      <c r="N417" s="12">
        <v>0.22638110064770664</v>
      </c>
      <c r="O417" s="12" t="s">
        <v>37</v>
      </c>
      <c r="P417" s="12" t="s">
        <v>37</v>
      </c>
      <c r="Q417" s="12">
        <v>22.873333333333328</v>
      </c>
      <c r="R417" s="12" t="s">
        <v>37</v>
      </c>
      <c r="S417" s="12" t="s">
        <v>37</v>
      </c>
      <c r="T417" s="15" t="s">
        <v>37</v>
      </c>
      <c r="U417" s="12" t="s">
        <v>37</v>
      </c>
      <c r="V417" s="12" t="s">
        <v>37</v>
      </c>
      <c r="W417" s="12">
        <v>4.8351744321676398</v>
      </c>
      <c r="X417" s="12">
        <v>2.7805444069999998</v>
      </c>
      <c r="Y417" s="15" t="s">
        <v>37</v>
      </c>
      <c r="Z417" s="15" t="s">
        <v>37</v>
      </c>
      <c r="AA417" s="15" t="s">
        <v>37</v>
      </c>
      <c r="AB417" s="12" t="s">
        <v>37</v>
      </c>
      <c r="AC417" s="12">
        <v>25.669962893899157</v>
      </c>
      <c r="AD417" s="12" t="s">
        <v>37</v>
      </c>
      <c r="AE417">
        <v>1</v>
      </c>
    </row>
    <row r="418" spans="1:31" ht="15" customHeight="1" x14ac:dyDescent="0.3">
      <c r="A418" s="12" t="s">
        <v>426</v>
      </c>
      <c r="B418" s="12">
        <v>96.953982035319029</v>
      </c>
      <c r="C418" s="12">
        <v>84.273109436035199</v>
      </c>
      <c r="D418" s="12">
        <v>7.5925984382629315</v>
      </c>
      <c r="E418" s="12">
        <v>71.837222222222209</v>
      </c>
      <c r="F418" s="12">
        <v>-8.6966977842772963E-2</v>
      </c>
      <c r="G418" s="12" t="s">
        <v>37</v>
      </c>
      <c r="H418" s="12">
        <v>8.3380574981371566E-2</v>
      </c>
      <c r="I418" s="12">
        <v>0.25831535132601863</v>
      </c>
      <c r="J418" s="12">
        <v>0.34351748003003491</v>
      </c>
      <c r="K418" s="12">
        <v>-3.1685032959406619E-2</v>
      </c>
      <c r="L418" s="12">
        <v>0.57892050097386039</v>
      </c>
      <c r="M418" s="12">
        <v>7034.8525609560475</v>
      </c>
      <c r="N418" s="12">
        <v>0.58886607569659233</v>
      </c>
      <c r="O418" s="12">
        <v>23.708874217863478</v>
      </c>
      <c r="P418" s="12">
        <v>55.047695384247774</v>
      </c>
      <c r="Q418" s="12">
        <v>22.593333333333337</v>
      </c>
      <c r="R418" s="12">
        <v>43.992659434527297</v>
      </c>
      <c r="S418" s="12">
        <v>14155.174796280196</v>
      </c>
      <c r="T418" s="15">
        <v>2.6234652989999998</v>
      </c>
      <c r="U418" s="12">
        <v>6.5074554064685914</v>
      </c>
      <c r="V418" s="12">
        <v>2042757894.7368422</v>
      </c>
      <c r="W418" s="12">
        <v>3.1296008467674268</v>
      </c>
      <c r="X418" s="12">
        <v>2.4530071019999999</v>
      </c>
      <c r="Y418" s="15">
        <v>5.5321319569999998</v>
      </c>
      <c r="Z418" s="15">
        <v>1.7163299999999999</v>
      </c>
      <c r="AA418" s="15">
        <v>15.82995453</v>
      </c>
      <c r="AB418" s="12" t="s">
        <v>37</v>
      </c>
      <c r="AC418" s="12" t="s">
        <v>37</v>
      </c>
      <c r="AD418" s="12" t="s">
        <v>37</v>
      </c>
      <c r="AE418">
        <v>0</v>
      </c>
    </row>
    <row r="419" spans="1:31" ht="15" customHeight="1" x14ac:dyDescent="0.3">
      <c r="A419" s="12" t="s">
        <v>428</v>
      </c>
      <c r="B419" s="12">
        <v>107.38249411949748</v>
      </c>
      <c r="C419" s="12">
        <v>77.486852736700143</v>
      </c>
      <c r="D419" s="12">
        <v>27.567773239953176</v>
      </c>
      <c r="E419" s="12">
        <v>74.649555555555565</v>
      </c>
      <c r="F419" s="12">
        <v>-0.11884760573351127</v>
      </c>
      <c r="G419" s="12">
        <v>22.188290698195466</v>
      </c>
      <c r="H419" s="12">
        <v>-0.32043749761457241</v>
      </c>
      <c r="I419" s="12">
        <v>0.15300454592215831</v>
      </c>
      <c r="J419" s="12">
        <v>-0.16648540808819234</v>
      </c>
      <c r="K419" s="12">
        <v>-4.5404820702970007E-2</v>
      </c>
      <c r="L419" s="12">
        <v>-0.48818547371774867</v>
      </c>
      <c r="M419" s="12">
        <v>2289.3973852334407</v>
      </c>
      <c r="N419" s="12">
        <v>1.0873267206763173</v>
      </c>
      <c r="O419" s="12">
        <v>19.412272479735485</v>
      </c>
      <c r="P419" s="12">
        <v>33.154161445517474</v>
      </c>
      <c r="Q419" s="12">
        <v>14.746666666666666</v>
      </c>
      <c r="R419" s="12">
        <v>23.000613221406784</v>
      </c>
      <c r="S419" s="12">
        <v>3894.1666868897801</v>
      </c>
      <c r="T419" s="15">
        <v>1.98685472</v>
      </c>
      <c r="U419" s="12">
        <v>14.81548320216789</v>
      </c>
      <c r="V419" s="12">
        <v>956458823.52941179</v>
      </c>
      <c r="W419" s="12">
        <v>6.3346070401808783</v>
      </c>
      <c r="X419" s="12">
        <v>3.070470174</v>
      </c>
      <c r="Y419" s="15">
        <v>5.9232589129999997</v>
      </c>
      <c r="Z419" s="15">
        <v>1.48051</v>
      </c>
      <c r="AA419" s="15">
        <v>4.3943156119999998</v>
      </c>
      <c r="AB419" s="12">
        <v>20.485813814377369</v>
      </c>
      <c r="AC419" s="12">
        <v>24.165777220000233</v>
      </c>
      <c r="AD419" s="12">
        <v>16.312820873087801</v>
      </c>
      <c r="AE419">
        <v>1</v>
      </c>
    </row>
    <row r="420" spans="1:31" ht="15" customHeight="1" x14ac:dyDescent="0.3">
      <c r="A420" s="12" t="s">
        <v>430</v>
      </c>
      <c r="B420" s="12">
        <v>104.3015374755859</v>
      </c>
      <c r="C420" s="12">
        <v>92.071235198974648</v>
      </c>
      <c r="D420" s="12">
        <v>61.601280746460006</v>
      </c>
      <c r="E420" s="12">
        <v>74.145037037037028</v>
      </c>
      <c r="F420" s="12">
        <v>-0.15513957136621073</v>
      </c>
      <c r="G420" s="12">
        <v>25.766886736109765</v>
      </c>
      <c r="H420" s="12">
        <v>-1.095592809220155</v>
      </c>
      <c r="I420" s="12">
        <v>9.8399460723157917E-2</v>
      </c>
      <c r="J420" s="12">
        <v>0.18505765544250605</v>
      </c>
      <c r="K420" s="12">
        <v>-0.12696256220806398</v>
      </c>
      <c r="L420" s="12">
        <v>-0.35477988470969041</v>
      </c>
      <c r="M420" s="12">
        <v>5702.3785843833066</v>
      </c>
      <c r="N420" s="12">
        <v>1.3584860798712555</v>
      </c>
      <c r="O420" s="12">
        <v>17.362978739655762</v>
      </c>
      <c r="P420" s="12">
        <v>33.268265587980729</v>
      </c>
      <c r="Q420" s="12">
        <v>18.253333333333334</v>
      </c>
      <c r="R420" s="12">
        <v>21.728089609311066</v>
      </c>
      <c r="S420" s="12">
        <v>14055.105564877724</v>
      </c>
      <c r="T420" s="15">
        <v>3.3975620009999998</v>
      </c>
      <c r="U420" s="12">
        <v>2.386888196670379</v>
      </c>
      <c r="V420" s="12">
        <v>12930099831.798946</v>
      </c>
      <c r="W420" s="12">
        <v>3.7107158303260817</v>
      </c>
      <c r="X420" s="12">
        <v>3.494113547</v>
      </c>
      <c r="Y420" s="15">
        <v>14.651974340000001</v>
      </c>
      <c r="Z420" s="15">
        <v>0.62444</v>
      </c>
      <c r="AA420" s="15">
        <v>7.6161851350000003</v>
      </c>
      <c r="AB420" s="12">
        <v>13.976774696349006</v>
      </c>
      <c r="AC420" s="12">
        <v>23.835561530583085</v>
      </c>
      <c r="AD420" s="12">
        <v>29.162923967823662</v>
      </c>
      <c r="AE420">
        <v>0</v>
      </c>
    </row>
    <row r="421" spans="1:31" ht="15" customHeight="1" x14ac:dyDescent="0.3">
      <c r="A421" s="12" t="s">
        <v>432</v>
      </c>
      <c r="B421" s="12">
        <v>109.3255672454835</v>
      </c>
      <c r="C421" s="12">
        <v>90.510412216186509</v>
      </c>
      <c r="D421" s="12">
        <v>13.961263942718492</v>
      </c>
      <c r="E421" s="12">
        <v>66.923148148148144</v>
      </c>
      <c r="F421" s="12">
        <v>-1.3009378413359329</v>
      </c>
      <c r="G421" s="12">
        <v>34.34867866335572</v>
      </c>
      <c r="H421" s="12">
        <v>7.8050591866485594E-2</v>
      </c>
      <c r="I421" s="12">
        <v>-1.1936781530578922</v>
      </c>
      <c r="J421" s="12">
        <v>-1.95056747396787</v>
      </c>
      <c r="K421" s="12">
        <v>-1.4572718838850658</v>
      </c>
      <c r="L421" s="12">
        <v>-2.0397938390572858</v>
      </c>
      <c r="M421" s="12">
        <v>1965.3349100328198</v>
      </c>
      <c r="N421" s="12">
        <v>1.5857734243717709</v>
      </c>
      <c r="O421" s="12" t="s">
        <v>37</v>
      </c>
      <c r="P421" s="12" t="s">
        <v>37</v>
      </c>
      <c r="Q421" s="12" t="s">
        <v>37</v>
      </c>
      <c r="R421" s="12" t="s">
        <v>37</v>
      </c>
      <c r="S421" s="12">
        <v>7297.3110544305555</v>
      </c>
      <c r="T421" s="15">
        <v>4.9786476229999996</v>
      </c>
      <c r="U421" s="12" t="s">
        <v>37</v>
      </c>
      <c r="V421" s="12" t="s">
        <v>37</v>
      </c>
      <c r="W421" s="12">
        <v>3.340346574783327</v>
      </c>
      <c r="X421" s="12">
        <v>1.124434355</v>
      </c>
      <c r="Y421" s="15" t="s">
        <v>37</v>
      </c>
      <c r="Z421" s="15" t="s">
        <v>37</v>
      </c>
      <c r="AA421" s="15" t="s">
        <v>37</v>
      </c>
      <c r="AB421" s="12" t="s">
        <v>37</v>
      </c>
      <c r="AC421" s="12" t="s">
        <v>37</v>
      </c>
      <c r="AD421" s="12" t="s">
        <v>37</v>
      </c>
      <c r="AE421">
        <v>1</v>
      </c>
    </row>
    <row r="422" spans="1:31" ht="15" customHeight="1" x14ac:dyDescent="0.3">
      <c r="A422" s="12" t="s">
        <v>434</v>
      </c>
      <c r="B422" s="12">
        <v>105.41420431698076</v>
      </c>
      <c r="C422" s="12">
        <v>88.655434672037742</v>
      </c>
      <c r="D422" s="12">
        <v>9.9698766825927709</v>
      </c>
      <c r="E422" s="12">
        <v>75.352925925925931</v>
      </c>
      <c r="F422" s="12" t="s">
        <v>37</v>
      </c>
      <c r="G422" s="12" t="s">
        <v>37</v>
      </c>
      <c r="H422" s="12" t="s">
        <v>37</v>
      </c>
      <c r="I422" s="12" t="s">
        <v>37</v>
      </c>
      <c r="J422" s="12" t="s">
        <v>37</v>
      </c>
      <c r="K422" s="12" t="s">
        <v>37</v>
      </c>
      <c r="L422" s="12" t="s">
        <v>37</v>
      </c>
      <c r="M422" s="12" t="s">
        <v>37</v>
      </c>
      <c r="N422" s="12">
        <v>4.228983458508405</v>
      </c>
      <c r="O422" s="12" t="s">
        <v>37</v>
      </c>
      <c r="P422" s="12" t="s">
        <v>37</v>
      </c>
      <c r="Q422" s="12" t="s">
        <v>37</v>
      </c>
      <c r="R422" s="12" t="s">
        <v>37</v>
      </c>
      <c r="S422" s="12">
        <v>20323.148775096324</v>
      </c>
      <c r="T422" s="15" t="s">
        <v>37</v>
      </c>
      <c r="U422" s="12" t="s">
        <v>37</v>
      </c>
      <c r="V422" s="12" t="s">
        <v>37</v>
      </c>
      <c r="W422" s="12">
        <v>3.3768704077776732</v>
      </c>
      <c r="X422" s="12" t="s">
        <v>37</v>
      </c>
      <c r="Y422" s="15" t="s">
        <v>37</v>
      </c>
      <c r="Z422" s="15" t="s">
        <v>37</v>
      </c>
      <c r="AA422" s="15" t="s">
        <v>37</v>
      </c>
      <c r="AB422" s="12" t="s">
        <v>37</v>
      </c>
      <c r="AC422" s="12" t="s">
        <v>37</v>
      </c>
      <c r="AD422" s="12" t="s">
        <v>37</v>
      </c>
      <c r="AE422">
        <v>0</v>
      </c>
    </row>
    <row r="423" spans="1:31" ht="15" customHeight="1" x14ac:dyDescent="0.3">
      <c r="A423" s="12" t="s">
        <v>436</v>
      </c>
      <c r="B423" s="12">
        <v>100.15036145378562</v>
      </c>
      <c r="C423" s="12">
        <v>80.513568878173828</v>
      </c>
      <c r="D423" s="12" t="s">
        <v>37</v>
      </c>
      <c r="E423" s="12">
        <v>63.841888888888889</v>
      </c>
      <c r="F423" s="12">
        <v>5.3607831905154793E-2</v>
      </c>
      <c r="G423" s="12" t="s">
        <v>37</v>
      </c>
      <c r="H423" s="12">
        <v>1.3025975823402396</v>
      </c>
      <c r="I423" s="12">
        <v>-0.55781411712891182</v>
      </c>
      <c r="J423" s="12">
        <v>-0.71150325395558922</v>
      </c>
      <c r="K423" s="12">
        <v>0.78836465254426014</v>
      </c>
      <c r="L423" s="12">
        <v>0.96772478272517504</v>
      </c>
      <c r="M423" s="12">
        <v>2613.0782592720598</v>
      </c>
      <c r="N423" s="12">
        <v>0.58810273450457962</v>
      </c>
      <c r="O423" s="12" t="s">
        <v>37</v>
      </c>
      <c r="P423" s="12" t="s">
        <v>37</v>
      </c>
      <c r="Q423" s="12" t="s">
        <v>37</v>
      </c>
      <c r="R423" s="12" t="s">
        <v>37</v>
      </c>
      <c r="S423" s="12">
        <v>3988.4062410194811</v>
      </c>
      <c r="T423" s="15">
        <v>1.578486971</v>
      </c>
      <c r="U423" s="12" t="s">
        <v>37</v>
      </c>
      <c r="V423" s="12" t="s">
        <v>37</v>
      </c>
      <c r="W423" s="12">
        <v>3.7308299541473402</v>
      </c>
      <c r="X423" s="12">
        <v>12.313416119999999</v>
      </c>
      <c r="Y423" s="15" t="s">
        <v>37</v>
      </c>
      <c r="Z423" s="15" t="s">
        <v>37</v>
      </c>
      <c r="AA423" s="15" t="s">
        <v>37</v>
      </c>
      <c r="AB423" s="12" t="s">
        <v>37</v>
      </c>
      <c r="AC423" s="12" t="s">
        <v>37</v>
      </c>
      <c r="AD423" s="12" t="s">
        <v>37</v>
      </c>
      <c r="AE423">
        <v>1</v>
      </c>
    </row>
    <row r="424" spans="1:31" ht="15" customHeight="1" x14ac:dyDescent="0.3">
      <c r="A424" s="12" t="s">
        <v>438</v>
      </c>
      <c r="B424" s="12">
        <v>115.41335396144703</v>
      </c>
      <c r="C424" s="12">
        <v>22.26985636624422</v>
      </c>
      <c r="D424" s="12">
        <v>3.5281586382124157</v>
      </c>
      <c r="E424" s="12">
        <v>55.151703703703703</v>
      </c>
      <c r="F424" s="12">
        <v>-0.97269408404827129</v>
      </c>
      <c r="G424" s="12">
        <v>22.294628564622375</v>
      </c>
      <c r="H424" s="12">
        <v>-1.0074230656027792</v>
      </c>
      <c r="I424" s="12">
        <v>-0.57634431247909867</v>
      </c>
      <c r="J424" s="12">
        <v>-0.24676833449242008</v>
      </c>
      <c r="K424" s="12">
        <v>-0.44291973362366366</v>
      </c>
      <c r="L424" s="12">
        <v>-0.65796313559015585</v>
      </c>
      <c r="M424" s="12">
        <v>440.90267673568485</v>
      </c>
      <c r="N424" s="12">
        <v>3.0499767690855499</v>
      </c>
      <c r="O424" s="12">
        <v>11.613619364058744</v>
      </c>
      <c r="P424" s="12">
        <v>34.600467268852306</v>
      </c>
      <c r="Q424" s="12">
        <v>22.2</v>
      </c>
      <c r="R424" s="12">
        <v>29.813154326162429</v>
      </c>
      <c r="S424" s="12">
        <v>934.34083896424386</v>
      </c>
      <c r="T424" s="15">
        <v>2.8205910830000001</v>
      </c>
      <c r="U424" s="12">
        <v>11.183249825009634</v>
      </c>
      <c r="V424" s="12">
        <v>1566679081037.1858</v>
      </c>
      <c r="W424" s="12">
        <v>2.3963159243265788</v>
      </c>
      <c r="X424" s="12">
        <v>0.98630625599999999</v>
      </c>
      <c r="Y424" s="15">
        <v>13.35984264</v>
      </c>
      <c r="Z424" s="15">
        <v>2.8162699999999998</v>
      </c>
      <c r="AA424" s="15">
        <v>8.7015786750000004</v>
      </c>
      <c r="AB424" s="12" t="s">
        <v>37</v>
      </c>
      <c r="AC424" s="12">
        <v>16.367344231606186</v>
      </c>
      <c r="AD424" s="12">
        <v>23.447581482784109</v>
      </c>
      <c r="AE424">
        <v>1</v>
      </c>
    </row>
    <row r="425" spans="1:31" ht="15" customHeight="1" x14ac:dyDescent="0.3">
      <c r="A425" s="12" t="s">
        <v>440</v>
      </c>
      <c r="B425" s="12">
        <v>100.56664510873641</v>
      </c>
      <c r="C425" s="12">
        <v>94.607727714206845</v>
      </c>
      <c r="D425" s="12">
        <v>69.897944556342225</v>
      </c>
      <c r="E425" s="12">
        <v>69.356802168021687</v>
      </c>
      <c r="F425" s="12">
        <v>-0.95547784119844448</v>
      </c>
      <c r="G425" s="12">
        <v>18.838075357092372</v>
      </c>
      <c r="H425" s="12">
        <v>-0.76822067114214099</v>
      </c>
      <c r="I425" s="12">
        <v>-0.62243833144505822</v>
      </c>
      <c r="J425" s="12">
        <v>-0.45663861930370325</v>
      </c>
      <c r="K425" s="12">
        <v>-0.81876017401615764</v>
      </c>
      <c r="L425" s="12">
        <v>-0.16138670583798853</v>
      </c>
      <c r="M425" s="12">
        <v>1497.81005859375</v>
      </c>
      <c r="N425" s="12">
        <v>-0.62805371099979679</v>
      </c>
      <c r="O425" s="12">
        <v>16.600591637699242</v>
      </c>
      <c r="P425" s="12">
        <v>26.304931496261077</v>
      </c>
      <c r="Q425" s="12">
        <v>11.173333333333334</v>
      </c>
      <c r="R425" s="12">
        <v>13.256911325156295</v>
      </c>
      <c r="S425" s="12">
        <v>2032.85009765625</v>
      </c>
      <c r="T425" s="15">
        <v>1.1376624049999999</v>
      </c>
      <c r="U425" s="12">
        <v>5.9717275083462846</v>
      </c>
      <c r="V425" s="12">
        <v>14369213104.288332</v>
      </c>
      <c r="W425" s="12">
        <v>5.4790735741456364</v>
      </c>
      <c r="X425" s="12">
        <v>3.453988109</v>
      </c>
      <c r="Y425" s="15">
        <v>14.596255340000001</v>
      </c>
      <c r="Z425" s="15">
        <v>1.0194300000000001</v>
      </c>
      <c r="AA425" s="15">
        <v>5.5630547119999996</v>
      </c>
      <c r="AB425" s="12" t="s">
        <v>37</v>
      </c>
      <c r="AC425" s="12">
        <v>23.280215391986488</v>
      </c>
      <c r="AD425" s="12">
        <v>11.610686746440205</v>
      </c>
      <c r="AE425">
        <v>1</v>
      </c>
    </row>
    <row r="426" spans="1:31" ht="15" customHeight="1" x14ac:dyDescent="0.3">
      <c r="A426" s="12" t="s">
        <v>442</v>
      </c>
      <c r="B426" s="12">
        <v>110.11878267923994</v>
      </c>
      <c r="C426" s="12">
        <v>90.954864501953082</v>
      </c>
      <c r="D426" s="12">
        <v>49.5935249328613</v>
      </c>
      <c r="E426" s="12">
        <v>76.906444444444432</v>
      </c>
      <c r="F426" s="12">
        <v>0.93317035783547908</v>
      </c>
      <c r="G426" s="12">
        <v>20.742910987674154</v>
      </c>
      <c r="H426" s="12">
        <v>0.80369093020757043</v>
      </c>
      <c r="I426" s="12">
        <v>1.0701959232489273</v>
      </c>
      <c r="J426" s="12">
        <v>0.77626204118132636</v>
      </c>
      <c r="K426" s="12">
        <v>0.60185801610350598</v>
      </c>
      <c r="L426" s="12">
        <v>-0.91431955496470085</v>
      </c>
      <c r="M426" s="12">
        <v>62877.684079043262</v>
      </c>
      <c r="N426" s="12">
        <v>5.1538723083602651</v>
      </c>
      <c r="O426" s="12">
        <v>0.49831741755661546</v>
      </c>
      <c r="P426" s="12" t="s">
        <v>37</v>
      </c>
      <c r="Q426" s="12">
        <v>0</v>
      </c>
      <c r="R426" s="12" t="s">
        <v>37</v>
      </c>
      <c r="S426" s="12">
        <v>45698.010527517792</v>
      </c>
      <c r="T426" s="15">
        <v>-1.175029206</v>
      </c>
      <c r="U426" s="12">
        <v>0.23874661567234062</v>
      </c>
      <c r="V426" s="12">
        <v>3584646.55</v>
      </c>
      <c r="W426" s="12">
        <v>3.9132966200510633</v>
      </c>
      <c r="X426" s="12">
        <v>2.162957654</v>
      </c>
      <c r="Y426" s="15">
        <v>0.47255896479999998</v>
      </c>
      <c r="Z426" s="15">
        <v>6.7299999999999999E-3</v>
      </c>
      <c r="AA426" s="15" t="s">
        <v>37</v>
      </c>
      <c r="AB426" s="12" t="s">
        <v>37</v>
      </c>
      <c r="AC426" s="12" t="s">
        <v>37</v>
      </c>
      <c r="AD426" s="12" t="s">
        <v>37</v>
      </c>
      <c r="AE426">
        <v>0</v>
      </c>
    </row>
    <row r="427" spans="1:31" ht="15" customHeight="1" x14ac:dyDescent="0.3">
      <c r="A427" s="12" t="s">
        <v>444</v>
      </c>
      <c r="B427" s="12">
        <v>102.2315390904745</v>
      </c>
      <c r="C427" s="12">
        <v>106.51970115074752</v>
      </c>
      <c r="D427" s="12">
        <v>59.605974126745153</v>
      </c>
      <c r="E427" s="12">
        <v>79.475293586269217</v>
      </c>
      <c r="F427" s="12">
        <v>1.7927465587854379</v>
      </c>
      <c r="G427" s="12">
        <v>17.421529668901169</v>
      </c>
      <c r="H427" s="12">
        <v>0.47458318651964276</v>
      </c>
      <c r="I427" s="12">
        <v>1.6002472639083865</v>
      </c>
      <c r="J427" s="12">
        <v>1.7222464531660087</v>
      </c>
      <c r="K427" s="12">
        <v>1.6527150720357906</v>
      </c>
      <c r="L427" s="12">
        <v>1.3186499178409572</v>
      </c>
      <c r="M427" s="12">
        <v>33009.30415097448</v>
      </c>
      <c r="N427" s="12">
        <v>0.5442939789396295</v>
      </c>
      <c r="O427" s="12">
        <v>25.141005191645863</v>
      </c>
      <c r="P427" s="12">
        <v>48.148652541175117</v>
      </c>
      <c r="Q427" s="12">
        <v>20.706666666666667</v>
      </c>
      <c r="R427" s="12">
        <v>36.646687864706827</v>
      </c>
      <c r="S427" s="12">
        <v>47923.482238334778</v>
      </c>
      <c r="T427" s="15">
        <v>1.3903776480000001</v>
      </c>
      <c r="U427" s="12">
        <v>0.75688004461468072</v>
      </c>
      <c r="V427" s="12">
        <v>4533000000</v>
      </c>
      <c r="W427" s="12">
        <v>5.0045941884701071</v>
      </c>
      <c r="X427" s="12">
        <v>7.4191261700000002</v>
      </c>
      <c r="Y427" s="15">
        <v>11.00814802</v>
      </c>
      <c r="Z427" s="15">
        <v>0.11201999999999999</v>
      </c>
      <c r="AA427" s="15">
        <v>11.83361277</v>
      </c>
      <c r="AB427" s="12">
        <v>23.231573819180721</v>
      </c>
      <c r="AC427" s="12">
        <v>18.087915054968921</v>
      </c>
      <c r="AD427" s="12">
        <v>18.344046892269876</v>
      </c>
      <c r="AE427">
        <v>0</v>
      </c>
    </row>
    <row r="428" spans="1:31" ht="15" customHeight="1" x14ac:dyDescent="0.3">
      <c r="A428" s="12" t="s">
        <v>446</v>
      </c>
      <c r="B428" s="12">
        <v>101.30491256713867</v>
      </c>
      <c r="C428" s="12">
        <v>97.262175968715127</v>
      </c>
      <c r="D428" s="12">
        <v>83.744613102504175</v>
      </c>
      <c r="E428" s="12">
        <v>77.621499548328828</v>
      </c>
      <c r="F428" s="12">
        <v>1.3903871973355597</v>
      </c>
      <c r="G428" s="12">
        <v>21.132680211266869</v>
      </c>
      <c r="H428" s="12">
        <v>0.395394534803927</v>
      </c>
      <c r="I428" s="12">
        <v>1.5205664883057279</v>
      </c>
      <c r="J428" s="12">
        <v>1.4741641680399578</v>
      </c>
      <c r="K428" s="12">
        <v>1.534177566568057</v>
      </c>
      <c r="L428" s="12">
        <v>1.1273661156495409</v>
      </c>
      <c r="M428" s="12">
        <v>41820.680187623475</v>
      </c>
      <c r="N428" s="12">
        <v>0.86147037653503233</v>
      </c>
      <c r="O428" s="12">
        <v>10.747498167821261</v>
      </c>
      <c r="P428" s="12">
        <v>90.889112238370871</v>
      </c>
      <c r="Q428" s="12">
        <v>27.014285714285712</v>
      </c>
      <c r="R428" s="12">
        <v>53.186383842144089</v>
      </c>
      <c r="S428" s="12">
        <v>62789.127921148269</v>
      </c>
      <c r="T428" s="15">
        <v>1.5165362250000001</v>
      </c>
      <c r="U428" s="12">
        <v>2.1220370654912406</v>
      </c>
      <c r="V428" s="12">
        <v>35844592857.14286</v>
      </c>
      <c r="W428" s="12">
        <v>5.9577396483648402</v>
      </c>
      <c r="X428" s="12">
        <v>7.6030197819999996</v>
      </c>
      <c r="Y428" s="15">
        <v>0.51730956530000005</v>
      </c>
      <c r="Z428" s="15">
        <v>0.24110000000000001</v>
      </c>
      <c r="AA428" s="15">
        <v>9.7393454219999995</v>
      </c>
      <c r="AB428" s="12">
        <v>10.980989035110971</v>
      </c>
      <c r="AC428" s="12">
        <v>20.864599085650589</v>
      </c>
      <c r="AD428" s="12" t="s">
        <v>37</v>
      </c>
      <c r="AE428">
        <v>0</v>
      </c>
    </row>
    <row r="429" spans="1:31" ht="15" customHeight="1" x14ac:dyDescent="0.3">
      <c r="A429" s="12" t="s">
        <v>448</v>
      </c>
      <c r="B429" s="12">
        <v>109.93105146620003</v>
      </c>
      <c r="C429" s="12">
        <v>102.95748226459204</v>
      </c>
      <c r="D429" s="12">
        <v>50.173635787963867</v>
      </c>
      <c r="E429" s="12">
        <v>76.253962962962959</v>
      </c>
      <c r="F429" s="12">
        <v>1.237697233756383</v>
      </c>
      <c r="G429" s="12">
        <v>16.902081330767651</v>
      </c>
      <c r="H429" s="12">
        <v>0.88435485462347685</v>
      </c>
      <c r="I429" s="12">
        <v>0.5291007161140443</v>
      </c>
      <c r="J429" s="12">
        <v>0.59500909845034278</v>
      </c>
      <c r="K429" s="12">
        <v>0.63242913037538528</v>
      </c>
      <c r="L429" s="12">
        <v>1.0875176837046934</v>
      </c>
      <c r="M429" s="12">
        <v>9765.152878838695</v>
      </c>
      <c r="N429" s="12">
        <v>0.26468745186896886</v>
      </c>
      <c r="O429" s="12">
        <v>17.532012838013529</v>
      </c>
      <c r="P429" s="12">
        <v>24.971398207367805</v>
      </c>
      <c r="Q429" s="12">
        <v>22.84</v>
      </c>
      <c r="R429" s="12">
        <v>15.716736039699473</v>
      </c>
      <c r="S429" s="12">
        <v>18214.807540504153</v>
      </c>
      <c r="T429" s="15">
        <v>2.335805567</v>
      </c>
      <c r="U429" s="12">
        <v>5.7098228739442041</v>
      </c>
      <c r="V429" s="12">
        <v>8846469040.6801491</v>
      </c>
      <c r="W429" s="12">
        <v>3.5290067304264423</v>
      </c>
      <c r="X429" s="12">
        <v>4.997678337</v>
      </c>
      <c r="Y429" s="15">
        <v>8.6131540609999995</v>
      </c>
      <c r="Z429" s="15">
        <v>0.89071999999999996</v>
      </c>
      <c r="AA429" s="15">
        <v>4.9499598540000003</v>
      </c>
      <c r="AB429" s="12">
        <v>16.878758028336772</v>
      </c>
      <c r="AC429" s="12">
        <v>13.526948467543848</v>
      </c>
      <c r="AD429" s="12">
        <v>18.458727298898225</v>
      </c>
      <c r="AE429">
        <v>0</v>
      </c>
    </row>
    <row r="430" spans="1:31" ht="15" customHeight="1" x14ac:dyDescent="0.3">
      <c r="A430" s="12" t="s">
        <v>450</v>
      </c>
      <c r="B430" s="12">
        <v>98.181187765938901</v>
      </c>
      <c r="C430" s="12">
        <v>91.555700550908625</v>
      </c>
      <c r="D430" s="12">
        <v>12.082455277442934</v>
      </c>
      <c r="E430" s="12">
        <v>68.281962962962965</v>
      </c>
      <c r="F430" s="12">
        <v>-1.1185982748866079</v>
      </c>
      <c r="G430" s="12">
        <v>25.369274100771523</v>
      </c>
      <c r="H430" s="12">
        <v>-0.77658161272605242</v>
      </c>
      <c r="I430" s="12">
        <v>-0.85515768826007921</v>
      </c>
      <c r="J430" s="12">
        <v>-1.4585877433419221</v>
      </c>
      <c r="K430" s="12">
        <v>-1.2243566090861953</v>
      </c>
      <c r="L430" s="12">
        <v>-1.8405121763547259</v>
      </c>
      <c r="M430" s="12">
        <v>1142.9710593857944</v>
      </c>
      <c r="N430" s="12">
        <v>1.6477250175973575</v>
      </c>
      <c r="O430" s="12">
        <v>13.294028902403763</v>
      </c>
      <c r="P430" s="12">
        <v>31.314101904083504</v>
      </c>
      <c r="Q430" s="12">
        <v>5.52</v>
      </c>
      <c r="R430" s="12">
        <v>19.822504493785882</v>
      </c>
      <c r="S430" s="12">
        <v>3473.3616428672003</v>
      </c>
      <c r="T430" s="15">
        <v>4.2025446860000004</v>
      </c>
      <c r="U430" s="12">
        <v>4.8668596614633435</v>
      </c>
      <c r="V430" s="12">
        <v>1811274183646</v>
      </c>
      <c r="W430" s="12">
        <v>5.4979177713394165</v>
      </c>
      <c r="X430" s="12">
        <v>2.1011054749999998</v>
      </c>
      <c r="Y430" s="15">
        <v>13.55810552</v>
      </c>
      <c r="Z430" s="15">
        <v>2.2564099999999998</v>
      </c>
      <c r="AA430" s="15">
        <v>7.017202481</v>
      </c>
      <c r="AB430" s="12" t="s">
        <v>37</v>
      </c>
      <c r="AC430" s="12">
        <v>24.199826082533846</v>
      </c>
      <c r="AD430" s="12">
        <v>32.033822978708514</v>
      </c>
      <c r="AE430">
        <v>1</v>
      </c>
    </row>
    <row r="431" spans="1:31" ht="15" customHeight="1" x14ac:dyDescent="0.3">
      <c r="A431" s="12" t="s">
        <v>452</v>
      </c>
      <c r="B431" s="12">
        <v>111.29775772094736</v>
      </c>
      <c r="C431" s="12">
        <v>46.315955942327321</v>
      </c>
      <c r="D431" s="12">
        <v>4.3926399946212769</v>
      </c>
      <c r="E431" s="12">
        <v>69.356259259259261</v>
      </c>
      <c r="F431" s="12">
        <v>0.13763906502087292</v>
      </c>
      <c r="G431" s="12">
        <v>27.570045238608021</v>
      </c>
      <c r="H431" s="12">
        <v>0.9938668919106326</v>
      </c>
      <c r="I431" s="12">
        <v>-0.44724101298733759</v>
      </c>
      <c r="J431" s="12">
        <v>-0.36661267106568346</v>
      </c>
      <c r="K431" s="12">
        <v>0.44376079210390657</v>
      </c>
      <c r="L431" s="12">
        <v>0.5534880720078944</v>
      </c>
      <c r="M431" s="12">
        <v>2664.0389560049325</v>
      </c>
      <c r="N431" s="12">
        <v>2.4083884178082675</v>
      </c>
      <c r="O431" s="12">
        <v>17.224465214094558</v>
      </c>
      <c r="P431" s="12" t="s">
        <v>37</v>
      </c>
      <c r="Q431" s="12">
        <v>0</v>
      </c>
      <c r="R431" s="12" t="s">
        <v>37</v>
      </c>
      <c r="S431" s="12">
        <v>2575.9308052215088</v>
      </c>
      <c r="T431" s="15">
        <v>-0.1244870029</v>
      </c>
      <c r="U431" s="12">
        <v>31.149077184886867</v>
      </c>
      <c r="V431" s="12">
        <v>3020837515.2666669</v>
      </c>
      <c r="W431" s="12">
        <v>5.9008008149953985</v>
      </c>
      <c r="X431" s="12">
        <v>2.1045774480000001</v>
      </c>
      <c r="Y431" s="15">
        <v>12.87026603</v>
      </c>
      <c r="Z431" s="15">
        <v>4.85229</v>
      </c>
      <c r="AA431" s="15" t="s">
        <v>37</v>
      </c>
      <c r="AB431" s="12">
        <v>17.901477480055807</v>
      </c>
      <c r="AC431" s="12">
        <v>21.740063678317174</v>
      </c>
      <c r="AD431" s="12">
        <v>53.686613242249081</v>
      </c>
      <c r="AE431">
        <v>1</v>
      </c>
    </row>
    <row r="432" spans="1:31" ht="15" customHeight="1" x14ac:dyDescent="0.3">
      <c r="A432" s="12" t="s">
        <v>454</v>
      </c>
      <c r="B432" s="12">
        <v>101.15223112560447</v>
      </c>
      <c r="C432" s="12">
        <v>77.28393072831004</v>
      </c>
      <c r="D432" s="12">
        <v>50.734186490376779</v>
      </c>
      <c r="E432" s="12">
        <v>72.36870370370373</v>
      </c>
      <c r="F432" s="12">
        <v>-1.224823007980983</v>
      </c>
      <c r="G432" s="12">
        <v>21.178874265154974</v>
      </c>
      <c r="H432" s="12">
        <v>-1.1624949822823207</v>
      </c>
      <c r="I432" s="12">
        <v>-1.1918542161583907</v>
      </c>
      <c r="J432" s="12">
        <v>-1.4663398638367651</v>
      </c>
      <c r="K432" s="12">
        <v>-1.6780482729276029</v>
      </c>
      <c r="L432" s="12">
        <v>-0.87021417108674826</v>
      </c>
      <c r="M432" s="12" t="s">
        <v>37</v>
      </c>
      <c r="N432" s="12">
        <v>0.98050116612209659</v>
      </c>
      <c r="O432" s="12" t="s">
        <v>37</v>
      </c>
      <c r="P432" s="12" t="s">
        <v>37</v>
      </c>
      <c r="Q432" s="12">
        <v>10.139999999999999</v>
      </c>
      <c r="R432" s="12" t="s">
        <v>37</v>
      </c>
      <c r="S432" s="12" t="s">
        <v>37</v>
      </c>
      <c r="T432" s="15" t="s">
        <v>37</v>
      </c>
      <c r="U432" s="12" t="s">
        <v>37</v>
      </c>
      <c r="V432" s="12" t="s">
        <v>37</v>
      </c>
      <c r="W432" s="12">
        <v>4.7236866950988805</v>
      </c>
      <c r="X432" s="12">
        <v>2.7379766280000002</v>
      </c>
      <c r="Y432" s="15" t="s">
        <v>37</v>
      </c>
      <c r="Z432" s="15" t="s">
        <v>37</v>
      </c>
      <c r="AA432" s="15" t="s">
        <v>37</v>
      </c>
      <c r="AB432" s="12" t="s">
        <v>37</v>
      </c>
      <c r="AC432" s="12">
        <v>15.948856345235452</v>
      </c>
      <c r="AD432" s="12" t="s">
        <v>37</v>
      </c>
      <c r="AE432">
        <v>1</v>
      </c>
    </row>
    <row r="433" spans="1:31" ht="15" customHeight="1" x14ac:dyDescent="0.3">
      <c r="A433" s="12" t="s">
        <v>456</v>
      </c>
      <c r="B433" s="12">
        <v>108.86285400390624</v>
      </c>
      <c r="C433" s="12">
        <v>88.073493533664291</v>
      </c>
      <c r="D433" s="12">
        <v>19.769844561815258</v>
      </c>
      <c r="E433" s="12">
        <v>73.239296296296288</v>
      </c>
      <c r="F433" s="12">
        <v>-0.54292681813240051</v>
      </c>
      <c r="G433" s="12">
        <v>30.184489012899068</v>
      </c>
      <c r="H433" s="12">
        <v>0.19505456602200863</v>
      </c>
      <c r="I433" s="12">
        <v>-0.17568633697616562</v>
      </c>
      <c r="J433" s="12">
        <v>-0.55476633335153258</v>
      </c>
      <c r="K433" s="12">
        <v>-0.37010269053280354</v>
      </c>
      <c r="L433" s="12">
        <v>-1.3958408286174133</v>
      </c>
      <c r="M433" s="12">
        <v>906.13027302640478</v>
      </c>
      <c r="N433" s="12">
        <v>1.0960105988382569</v>
      </c>
      <c r="O433" s="12" t="s">
        <v>37</v>
      </c>
      <c r="P433" s="12" t="s">
        <v>37</v>
      </c>
      <c r="Q433" s="12">
        <v>16.48</v>
      </c>
      <c r="R433" s="12" t="s">
        <v>37</v>
      </c>
      <c r="S433" s="12">
        <v>3655.4626782785467</v>
      </c>
      <c r="T433" s="15">
        <v>5.3016675439999998</v>
      </c>
      <c r="U433" s="12" t="s">
        <v>37</v>
      </c>
      <c r="V433" s="12" t="s">
        <v>37</v>
      </c>
      <c r="W433" s="12">
        <v>3.7168862024943023</v>
      </c>
      <c r="X433" s="12">
        <v>1.738931644</v>
      </c>
      <c r="Y433" s="15" t="s">
        <v>37</v>
      </c>
      <c r="Z433" s="15" t="s">
        <v>37</v>
      </c>
      <c r="AA433" s="15" t="s">
        <v>37</v>
      </c>
      <c r="AB433" s="12" t="s">
        <v>37</v>
      </c>
      <c r="AC433" s="12">
        <v>25.42115932404802</v>
      </c>
      <c r="AD433" s="12">
        <v>31.686898815671221</v>
      </c>
      <c r="AE433">
        <v>1</v>
      </c>
    </row>
    <row r="434" spans="1:31" ht="15" customHeight="1" x14ac:dyDescent="0.3">
      <c r="A434" s="12" t="s">
        <v>458</v>
      </c>
      <c r="B434" s="12" t="s">
        <v>37</v>
      </c>
      <c r="C434" s="12">
        <v>122.97708511352499</v>
      </c>
      <c r="D434" s="12" t="s">
        <v>37</v>
      </c>
      <c r="E434" s="12">
        <v>77.199416440831087</v>
      </c>
      <c r="F434" s="12">
        <v>0.59483551368803567</v>
      </c>
      <c r="G434" s="12" t="s">
        <v>37</v>
      </c>
      <c r="H434" s="12">
        <v>0.72367225352086484</v>
      </c>
      <c r="I434" s="12">
        <v>1.0525227000838837</v>
      </c>
      <c r="J434" s="12">
        <v>0.85589532475722518</v>
      </c>
      <c r="K434" s="12">
        <v>0.84513628551442432</v>
      </c>
      <c r="L434" s="12">
        <v>0.80674775838851931</v>
      </c>
      <c r="M434" s="12" t="s">
        <v>37</v>
      </c>
      <c r="N434" s="12">
        <v>-5.0312826567035271E-2</v>
      </c>
      <c r="O434" s="12" t="s">
        <v>37</v>
      </c>
      <c r="P434" s="12" t="s">
        <v>37</v>
      </c>
      <c r="Q434" s="12" t="s">
        <v>37</v>
      </c>
      <c r="R434" s="12" t="s">
        <v>37</v>
      </c>
      <c r="S434" s="12" t="s">
        <v>37</v>
      </c>
      <c r="T434" s="15" t="s">
        <v>37</v>
      </c>
      <c r="U434" s="12" t="s">
        <v>37</v>
      </c>
      <c r="V434" s="12" t="s">
        <v>37</v>
      </c>
      <c r="W434" s="12" t="s">
        <v>37</v>
      </c>
      <c r="X434" s="12" t="s">
        <v>37</v>
      </c>
      <c r="Y434" s="15" t="s">
        <v>37</v>
      </c>
      <c r="Z434" s="15" t="s">
        <v>37</v>
      </c>
      <c r="AA434" s="15" t="s">
        <v>37</v>
      </c>
      <c r="AB434" s="12" t="s">
        <v>37</v>
      </c>
      <c r="AC434" s="12" t="s">
        <v>37</v>
      </c>
      <c r="AD434" s="12" t="s">
        <v>37</v>
      </c>
      <c r="AE434">
        <v>0</v>
      </c>
    </row>
    <row r="435" spans="1:31" ht="15" customHeight="1" x14ac:dyDescent="0.3">
      <c r="A435" s="12" t="s">
        <v>460</v>
      </c>
      <c r="B435" s="12">
        <v>93.464728178801366</v>
      </c>
      <c r="C435" s="12">
        <v>84.301400078667541</v>
      </c>
      <c r="D435" s="12">
        <v>38.192226657161001</v>
      </c>
      <c r="E435" s="12">
        <v>72.381555555555551</v>
      </c>
      <c r="F435" s="12">
        <v>-0.28897982626222074</v>
      </c>
      <c r="G435" s="12">
        <v>25.484687345721987</v>
      </c>
      <c r="H435" s="12">
        <v>-1.7707397043704978</v>
      </c>
      <c r="I435" s="12">
        <v>-0.83351415147384034</v>
      </c>
      <c r="J435" s="12">
        <v>-0.37616681905880539</v>
      </c>
      <c r="K435" s="12">
        <v>-0.37896779552102089</v>
      </c>
      <c r="L435" s="12">
        <v>-0.87792679667472839</v>
      </c>
      <c r="M435" s="12">
        <v>2189.2676829923716</v>
      </c>
      <c r="N435" s="12">
        <v>2.7131126137314463</v>
      </c>
      <c r="O435" s="12">
        <v>8.3602700470083686</v>
      </c>
      <c r="P435" s="12">
        <v>5.9609546957483994</v>
      </c>
      <c r="Q435" s="12">
        <v>16.22</v>
      </c>
      <c r="R435" s="12">
        <v>3.7676093361387273</v>
      </c>
      <c r="S435" s="12">
        <v>3095.4998124360081</v>
      </c>
      <c r="T435" s="15">
        <v>1.2911617900000001</v>
      </c>
      <c r="U435" s="12">
        <v>30.070092086415404</v>
      </c>
      <c r="V435" s="12">
        <v>426696909.12803203</v>
      </c>
      <c r="W435" s="12">
        <v>5.1207349896430987</v>
      </c>
      <c r="X435" s="12" t="s">
        <v>37</v>
      </c>
      <c r="Y435" s="15">
        <v>7.0437210180000003</v>
      </c>
      <c r="Z435" s="15">
        <v>4.5580999999999996</v>
      </c>
      <c r="AA435" s="15">
        <v>0.72466591400000002</v>
      </c>
      <c r="AB435" s="12" t="s">
        <v>37</v>
      </c>
      <c r="AC435" s="12">
        <v>36.02107956622396</v>
      </c>
      <c r="AD435" s="12">
        <v>25.002223745415158</v>
      </c>
      <c r="AE435">
        <v>1</v>
      </c>
    </row>
    <row r="436" spans="1:31" ht="15" customHeight="1" x14ac:dyDescent="0.3">
      <c r="A436" s="12" t="s">
        <v>462</v>
      </c>
      <c r="B436" s="12">
        <v>80.738377888997391</v>
      </c>
      <c r="C436" s="12">
        <v>42.454604408957742</v>
      </c>
      <c r="D436" s="12">
        <v>8.946853240331011</v>
      </c>
      <c r="E436" s="12">
        <v>64.812703703703733</v>
      </c>
      <c r="F436" s="12">
        <v>-1.2456549058357878</v>
      </c>
      <c r="G436" s="12">
        <v>14.266805774245681</v>
      </c>
      <c r="H436" s="12">
        <v>-2.120327010750771</v>
      </c>
      <c r="I436" s="12">
        <v>-1.3705965528885526</v>
      </c>
      <c r="J436" s="12">
        <v>-1.0438314874966934</v>
      </c>
      <c r="K436" s="12">
        <v>-1.389489824573199</v>
      </c>
      <c r="L436" s="12">
        <v>-1.3060015812516208</v>
      </c>
      <c r="M436" s="12">
        <v>2003.6134218769068</v>
      </c>
      <c r="N436" s="12">
        <v>2.7840241950257303</v>
      </c>
      <c r="O436" s="12" t="s">
        <v>37</v>
      </c>
      <c r="P436" s="12" t="s">
        <v>37</v>
      </c>
      <c r="Q436" s="12">
        <v>23.060000000000006</v>
      </c>
      <c r="R436" s="12" t="s">
        <v>37</v>
      </c>
      <c r="S436" s="12">
        <v>1017.8730935873666</v>
      </c>
      <c r="T436" s="15">
        <v>-2.4770891339999999</v>
      </c>
      <c r="U436" s="12" t="s">
        <v>37</v>
      </c>
      <c r="V436" s="12" t="s">
        <v>37</v>
      </c>
      <c r="W436" s="12">
        <v>6.0612746752225437</v>
      </c>
      <c r="X436" s="12">
        <v>1.561624152</v>
      </c>
      <c r="Y436" s="15" t="s">
        <v>37</v>
      </c>
      <c r="Z436" s="15" t="s">
        <v>37</v>
      </c>
      <c r="AA436" s="15" t="s">
        <v>37</v>
      </c>
      <c r="AB436" s="12" t="s">
        <v>37</v>
      </c>
      <c r="AC436" s="12">
        <v>21.356675902842632</v>
      </c>
      <c r="AD436" s="12" t="s">
        <v>37</v>
      </c>
      <c r="AE436">
        <v>1</v>
      </c>
    </row>
    <row r="437" spans="1:31" ht="15" customHeight="1" x14ac:dyDescent="0.3">
      <c r="A437" s="12" t="s">
        <v>464</v>
      </c>
      <c r="B437" s="12">
        <v>99.931925455729129</v>
      </c>
      <c r="C437" s="12" t="s">
        <v>37</v>
      </c>
      <c r="D437" s="12">
        <v>3.2127774953842199</v>
      </c>
      <c r="E437" s="12">
        <v>53.829740740740739</v>
      </c>
      <c r="F437" s="12">
        <v>-0.56418023382623994</v>
      </c>
      <c r="G437" s="12">
        <v>31.064951633042213</v>
      </c>
      <c r="H437" s="12">
        <v>0.19977240419636175</v>
      </c>
      <c r="I437" s="12">
        <v>-0.79957710454861308</v>
      </c>
      <c r="J437" s="12">
        <v>-0.55065084745486581</v>
      </c>
      <c r="K437" s="12">
        <v>-0.43862819050749141</v>
      </c>
      <c r="L437" s="12">
        <v>-0.27761442990352703</v>
      </c>
      <c r="M437" s="12">
        <v>777.02330244670122</v>
      </c>
      <c r="N437" s="12">
        <v>3.0815080304832727</v>
      </c>
      <c r="O437" s="12">
        <v>15.101985577878756</v>
      </c>
      <c r="P437" s="12">
        <v>44.324501360258985</v>
      </c>
      <c r="Q437" s="12">
        <v>2.0733333333333333</v>
      </c>
      <c r="R437" s="12">
        <v>34.267466363561006</v>
      </c>
      <c r="S437" s="12">
        <v>1308.1018381013705</v>
      </c>
      <c r="T437" s="15">
        <v>1.947846419</v>
      </c>
      <c r="U437" s="12">
        <v>11.64823597605117</v>
      </c>
      <c r="V437" s="12">
        <v>1722281463.9704499</v>
      </c>
      <c r="W437" s="12">
        <v>3.0072416067123422</v>
      </c>
      <c r="X437" s="12">
        <v>1.8266445650000001</v>
      </c>
      <c r="Y437" s="15">
        <v>6.3208751420000002</v>
      </c>
      <c r="Z437" s="15">
        <v>1.14453</v>
      </c>
      <c r="AA437" s="15">
        <v>6.8906519900000003</v>
      </c>
      <c r="AB437" s="12">
        <v>15.689500158176156</v>
      </c>
      <c r="AC437" s="12" t="s">
        <v>37</v>
      </c>
      <c r="AD437" s="12">
        <v>25.104325246435895</v>
      </c>
      <c r="AE437">
        <v>1</v>
      </c>
    </row>
    <row r="438" spans="1:31" ht="15" customHeight="1" x14ac:dyDescent="0.3">
      <c r="A438" s="12" t="s">
        <v>466</v>
      </c>
      <c r="B438" s="12">
        <v>104.26700672350428</v>
      </c>
      <c r="C438" s="12">
        <v>43.698055648803702</v>
      </c>
      <c r="D438" s="12">
        <v>8.535463047027589</v>
      </c>
      <c r="E438" s="12">
        <v>51.435296296296293</v>
      </c>
      <c r="F438" s="12">
        <v>-1.2313465947906173</v>
      </c>
      <c r="G438" s="12">
        <v>10.961840336907372</v>
      </c>
      <c r="H438" s="12">
        <v>-0.94737469529112162</v>
      </c>
      <c r="I438" s="12">
        <v>-1.1892741670211155</v>
      </c>
      <c r="J438" s="12">
        <v>-1.6954995666941002</v>
      </c>
      <c r="K438" s="12">
        <v>-1.4905985469619434</v>
      </c>
      <c r="L438" s="12">
        <v>-1.2898004278540605</v>
      </c>
      <c r="M438" s="12">
        <v>1609.9431099636913</v>
      </c>
      <c r="N438" s="12">
        <v>1.434174259674285</v>
      </c>
      <c r="O438" s="12">
        <v>14.827050377085671</v>
      </c>
      <c r="P438" s="12">
        <v>34.383183439156689</v>
      </c>
      <c r="Q438" s="12">
        <v>17.09333333333333</v>
      </c>
      <c r="R438" s="12">
        <v>30.953125683792017</v>
      </c>
      <c r="S438" s="12">
        <v>1345.7690822600753</v>
      </c>
      <c r="T438" s="15">
        <v>-0.66162814940000003</v>
      </c>
      <c r="U438" s="12">
        <v>20.265773903886867</v>
      </c>
      <c r="V438" s="12">
        <v>473967345.84499997</v>
      </c>
      <c r="W438" s="12">
        <v>4.6708140032632031</v>
      </c>
      <c r="X438" s="12">
        <v>1.7477651729999999</v>
      </c>
      <c r="Y438" s="15">
        <v>0.21520168419999999</v>
      </c>
      <c r="Z438" s="15">
        <v>7.5910000000000005E-2</v>
      </c>
      <c r="AA438" s="15">
        <v>0.17028255349999999</v>
      </c>
      <c r="AB438" s="12" t="s">
        <v>37</v>
      </c>
      <c r="AC438" s="12">
        <v>24.577260151269449</v>
      </c>
      <c r="AD438" s="12">
        <v>11.326975661754984</v>
      </c>
      <c r="AE438">
        <v>1</v>
      </c>
    </row>
  </sheetData>
  <sortState xmlns:xlrd2="http://schemas.microsoft.com/office/spreadsheetml/2017/richdata2" ref="A2:V218">
    <sortCondition ref="A2:A2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8B04-55DA-46F8-8F64-372ED485A4B4}">
  <dimension ref="A1:AM880"/>
  <sheetViews>
    <sheetView topLeftCell="H164" workbookViewId="0">
      <selection activeCell="AD190" sqref="AD190"/>
    </sheetView>
  </sheetViews>
  <sheetFormatPr baseColWidth="10" defaultRowHeight="14.4" x14ac:dyDescent="0.3"/>
  <cols>
    <col min="33" max="33" width="12" bestFit="1" customWidth="1"/>
  </cols>
  <sheetData>
    <row r="1" spans="1:39" x14ac:dyDescent="0.3">
      <c r="A1" t="s">
        <v>2</v>
      </c>
      <c r="B1" s="1" t="s">
        <v>495</v>
      </c>
      <c r="C1" t="s">
        <v>0</v>
      </c>
      <c r="D1" s="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503</v>
      </c>
      <c r="AI1" t="s">
        <v>507</v>
      </c>
      <c r="AK1" t="s">
        <v>511</v>
      </c>
      <c r="AM1" t="s">
        <v>515</v>
      </c>
    </row>
    <row r="2" spans="1:39" x14ac:dyDescent="0.3">
      <c r="A2" t="s">
        <v>501</v>
      </c>
      <c r="B2" s="1" t="s">
        <v>502</v>
      </c>
      <c r="C2" t="s">
        <v>31</v>
      </c>
      <c r="D2" s="1" t="s">
        <v>32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>
        <v>5952943918.9799995</v>
      </c>
      <c r="Q2">
        <v>6702036585.1800003</v>
      </c>
      <c r="R2">
        <v>8070694888.4843998</v>
      </c>
      <c r="S2">
        <v>13497091985.610001</v>
      </c>
      <c r="T2">
        <v>18435006021.087502</v>
      </c>
      <c r="U2">
        <v>20918998549.2775</v>
      </c>
      <c r="V2">
        <v>21452208403.346699</v>
      </c>
      <c r="W2">
        <v>19386490829</v>
      </c>
      <c r="X2">
        <v>17309900936.380001</v>
      </c>
      <c r="Y2">
        <v>17608165999.119999</v>
      </c>
      <c r="Z2">
        <v>44737123118.120003</v>
      </c>
      <c r="AA2">
        <v>53188616509.290001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>
        <f>IFERROR(AVERAGE(E2:AF2),"NA")</f>
        <v>20604939811.989674</v>
      </c>
      <c r="AI2" s="7">
        <f>IFERROR(AG2*100/AG222,"NA")</f>
        <v>2.4019430095671885</v>
      </c>
      <c r="AK2" s="7">
        <f>IFERROR(AG443*100/AG222,"NA")</f>
        <v>3.0990709085955248</v>
      </c>
      <c r="AM2" s="7">
        <f>IFERROR(AG664*100/AG222,"NA")</f>
        <v>2.4633253107568307</v>
      </c>
    </row>
    <row r="3" spans="1:39" x14ac:dyDescent="0.3">
      <c r="A3" t="s">
        <v>501</v>
      </c>
      <c r="B3" s="1" t="s">
        <v>502</v>
      </c>
      <c r="C3" t="s">
        <v>35</v>
      </c>
      <c r="D3" s="1" t="s">
        <v>36</v>
      </c>
      <c r="E3">
        <v>18850000000</v>
      </c>
      <c r="F3">
        <v>15948958000</v>
      </c>
      <c r="G3">
        <v>18926363000</v>
      </c>
      <c r="H3">
        <v>35385497000</v>
      </c>
      <c r="I3" t="s">
        <v>34</v>
      </c>
      <c r="J3" t="s">
        <v>34</v>
      </c>
      <c r="K3" t="s">
        <v>34</v>
      </c>
      <c r="L3">
        <v>64835600000</v>
      </c>
      <c r="M3">
        <v>76255180000</v>
      </c>
      <c r="N3">
        <v>89353960000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>
        <v>175055100000</v>
      </c>
      <c r="V3">
        <v>173505580000</v>
      </c>
      <c r="W3">
        <v>166375460000</v>
      </c>
      <c r="X3">
        <v>195997780000</v>
      </c>
      <c r="Y3">
        <v>200012910000</v>
      </c>
      <c r="Z3">
        <v>208378160000</v>
      </c>
      <c r="AA3">
        <v>218755890000</v>
      </c>
      <c r="AB3">
        <v>226077000000</v>
      </c>
      <c r="AC3">
        <v>220257210000</v>
      </c>
      <c r="AD3">
        <v>208303130000</v>
      </c>
      <c r="AE3">
        <v>251058420000</v>
      </c>
      <c r="AF3" t="s">
        <v>34</v>
      </c>
      <c r="AG3">
        <f t="shared" ref="AG3:AG66" si="0">IFERROR(AVERAGE(E3:AF3),"NA")</f>
        <v>142407344333.33334</v>
      </c>
      <c r="AI3" s="7">
        <f t="shared" ref="AI3:AI66" si="1">IFERROR(AG3*100/AG223,"NA")</f>
        <v>13.416597410766219</v>
      </c>
      <c r="AK3" s="7">
        <f t="shared" ref="AK3:AK66" si="2">IFERROR(AG444*100/AG223,"NA")</f>
        <v>0.91035615051258922</v>
      </c>
      <c r="AM3" s="7">
        <f t="shared" ref="AM3:AM66" si="3">IFERROR(AG665*100/AG223,"NA")</f>
        <v>3.7756395459925982</v>
      </c>
    </row>
    <row r="4" spans="1:39" x14ac:dyDescent="0.3">
      <c r="A4" t="s">
        <v>501</v>
      </c>
      <c r="B4" s="1" t="s">
        <v>502</v>
      </c>
      <c r="C4" t="s">
        <v>38</v>
      </c>
      <c r="D4" s="1" t="s">
        <v>39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  <c r="AG4" t="str">
        <f t="shared" si="0"/>
        <v>NA</v>
      </c>
      <c r="AI4" s="7" t="str">
        <f t="shared" si="1"/>
        <v>NA</v>
      </c>
      <c r="AK4" s="7" t="str">
        <f t="shared" si="2"/>
        <v>NA</v>
      </c>
      <c r="AM4" s="7" t="str">
        <f t="shared" si="3"/>
        <v>NA</v>
      </c>
    </row>
    <row r="5" spans="1:39" x14ac:dyDescent="0.3">
      <c r="A5" t="s">
        <v>501</v>
      </c>
      <c r="B5" s="1" t="s">
        <v>502</v>
      </c>
      <c r="C5" t="s">
        <v>40</v>
      </c>
      <c r="D5" s="1" t="s">
        <v>41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  <c r="AG5" t="str">
        <f t="shared" si="0"/>
        <v>NA</v>
      </c>
      <c r="AI5" s="7" t="str">
        <f t="shared" si="1"/>
        <v>NA</v>
      </c>
      <c r="AK5" s="7" t="str">
        <f t="shared" si="2"/>
        <v>NA</v>
      </c>
      <c r="AM5" s="7" t="str">
        <f t="shared" si="3"/>
        <v>NA</v>
      </c>
    </row>
    <row r="6" spans="1:39" x14ac:dyDescent="0.3">
      <c r="A6" t="s">
        <v>501</v>
      </c>
      <c r="B6" s="1" t="s">
        <v>502</v>
      </c>
      <c r="C6" t="s">
        <v>42</v>
      </c>
      <c r="D6" s="1" t="s">
        <v>43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tr">
        <f t="shared" si="0"/>
        <v>NA</v>
      </c>
      <c r="AI6" s="7" t="str">
        <f t="shared" si="1"/>
        <v>NA</v>
      </c>
      <c r="AK6" s="7" t="str">
        <f t="shared" si="2"/>
        <v>NA</v>
      </c>
      <c r="AM6" s="7" t="str">
        <f t="shared" si="3"/>
        <v>NA</v>
      </c>
    </row>
    <row r="7" spans="1:39" x14ac:dyDescent="0.3">
      <c r="A7" t="s">
        <v>501</v>
      </c>
      <c r="B7" s="1" t="s">
        <v>502</v>
      </c>
      <c r="C7" t="s">
        <v>44</v>
      </c>
      <c r="D7" s="1" t="s">
        <v>45</v>
      </c>
      <c r="E7" t="s">
        <v>34</v>
      </c>
      <c r="F7" t="s">
        <v>34</v>
      </c>
      <c r="G7" t="s">
        <v>34</v>
      </c>
      <c r="H7" t="s">
        <v>34</v>
      </c>
      <c r="I7">
        <v>326358386.5</v>
      </c>
      <c r="J7">
        <v>1495978615</v>
      </c>
      <c r="K7">
        <v>17300349784</v>
      </c>
      <c r="L7">
        <v>12670999806</v>
      </c>
      <c r="M7">
        <v>30463029879</v>
      </c>
      <c r="N7">
        <v>41894421449</v>
      </c>
      <c r="O7">
        <v>51456380174</v>
      </c>
      <c r="P7">
        <v>68937892658</v>
      </c>
      <c r="Q7">
        <v>92906282322</v>
      </c>
      <c r="R7">
        <v>137367000000</v>
      </c>
      <c r="S7">
        <v>149494000000</v>
      </c>
      <c r="T7">
        <v>162085000000</v>
      </c>
      <c r="U7">
        <v>170041000000</v>
      </c>
      <c r="V7">
        <v>165995000000</v>
      </c>
      <c r="W7">
        <v>202397000000</v>
      </c>
      <c r="X7">
        <v>228895697526</v>
      </c>
      <c r="Y7">
        <v>176561786757</v>
      </c>
      <c r="Z7">
        <v>209778948579</v>
      </c>
      <c r="AA7">
        <v>246820082710</v>
      </c>
      <c r="AB7">
        <v>273026007438</v>
      </c>
      <c r="AC7">
        <v>359898582464.81</v>
      </c>
      <c r="AD7" t="s">
        <v>34</v>
      </c>
      <c r="AE7" t="s">
        <v>34</v>
      </c>
      <c r="AF7" t="s">
        <v>34</v>
      </c>
      <c r="AG7">
        <f t="shared" si="0"/>
        <v>133324371359.44333</v>
      </c>
      <c r="AI7" s="7">
        <f t="shared" si="1"/>
        <v>1.1549995203053824</v>
      </c>
      <c r="AK7" s="7">
        <f t="shared" si="2"/>
        <v>0.70915725378224259</v>
      </c>
      <c r="AM7" s="7">
        <f t="shared" si="3"/>
        <v>7.7522471644150377</v>
      </c>
    </row>
    <row r="8" spans="1:39" x14ac:dyDescent="0.3">
      <c r="A8" t="s">
        <v>501</v>
      </c>
      <c r="B8" s="1" t="s">
        <v>502</v>
      </c>
      <c r="C8" t="s">
        <v>46</v>
      </c>
      <c r="D8" s="1" t="s">
        <v>47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tr">
        <f t="shared" si="0"/>
        <v>NA</v>
      </c>
      <c r="AI8" s="7" t="str">
        <f t="shared" si="1"/>
        <v>NA</v>
      </c>
      <c r="AK8" s="7" t="str">
        <f t="shared" si="2"/>
        <v>NA</v>
      </c>
      <c r="AM8" s="7" t="str">
        <f t="shared" si="3"/>
        <v>NA</v>
      </c>
    </row>
    <row r="9" spans="1:39" x14ac:dyDescent="0.3">
      <c r="A9" t="s">
        <v>501</v>
      </c>
      <c r="B9" s="1" t="s">
        <v>502</v>
      </c>
      <c r="C9" t="s">
        <v>48</v>
      </c>
      <c r="D9" s="1" t="s">
        <v>49</v>
      </c>
      <c r="E9">
        <v>13203700000</v>
      </c>
      <c r="F9">
        <v>13931400000</v>
      </c>
      <c r="G9">
        <v>16227200000</v>
      </c>
      <c r="H9">
        <v>17185200000</v>
      </c>
      <c r="I9">
        <v>16728900000</v>
      </c>
      <c r="J9">
        <v>17674300000</v>
      </c>
      <c r="K9">
        <v>16224000000</v>
      </c>
      <c r="L9">
        <v>16481800000</v>
      </c>
      <c r="M9">
        <v>22164550546.900002</v>
      </c>
      <c r="N9">
        <v>30264211941.639999</v>
      </c>
      <c r="O9">
        <v>36184400000</v>
      </c>
      <c r="P9">
        <v>44376700000</v>
      </c>
      <c r="Q9">
        <v>54722400000</v>
      </c>
      <c r="R9">
        <v>69210800000</v>
      </c>
      <c r="S9">
        <v>76968800000</v>
      </c>
      <c r="T9">
        <v>101267600000</v>
      </c>
      <c r="U9">
        <v>130577600000</v>
      </c>
      <c r="V9">
        <v>165330200000</v>
      </c>
      <c r="W9">
        <v>210696000000</v>
      </c>
      <c r="X9">
        <v>282293400000</v>
      </c>
      <c r="Y9">
        <v>369418100000</v>
      </c>
      <c r="Z9">
        <v>478910200000</v>
      </c>
      <c r="AA9">
        <v>624789300000</v>
      </c>
      <c r="AB9">
        <v>871333500000</v>
      </c>
      <c r="AC9">
        <v>1208110688142.97</v>
      </c>
      <c r="AD9">
        <v>1503035281761.0901</v>
      </c>
      <c r="AE9">
        <v>2602677899617.0298</v>
      </c>
      <c r="AF9" t="s">
        <v>34</v>
      </c>
      <c r="AG9">
        <f t="shared" si="0"/>
        <v>333703264148.50476</v>
      </c>
      <c r="AI9" s="7">
        <f t="shared" si="1"/>
        <v>3.9050876422032501</v>
      </c>
      <c r="AK9" s="7">
        <f t="shared" si="2"/>
        <v>1.5709462885388403</v>
      </c>
      <c r="AM9" s="7">
        <f t="shared" si="3"/>
        <v>1.3523402556516593</v>
      </c>
    </row>
    <row r="10" spans="1:39" x14ac:dyDescent="0.3">
      <c r="A10" t="s">
        <v>501</v>
      </c>
      <c r="B10" s="1" t="s">
        <v>502</v>
      </c>
      <c r="C10" t="s">
        <v>50</v>
      </c>
      <c r="D10" s="1" t="s">
        <v>51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>
        <v>113048383600</v>
      </c>
      <c r="O10">
        <v>144577255728.60001</v>
      </c>
      <c r="P10">
        <v>163233826600</v>
      </c>
      <c r="Q10">
        <v>286724239432.17499</v>
      </c>
      <c r="R10">
        <v>361177594616</v>
      </c>
      <c r="S10">
        <v>293121813614</v>
      </c>
      <c r="T10">
        <v>346424420350</v>
      </c>
      <c r="U10">
        <v>364465369127</v>
      </c>
      <c r="V10">
        <v>415937000000</v>
      </c>
      <c r="W10">
        <v>453982449672</v>
      </c>
      <c r="X10">
        <v>532789401680</v>
      </c>
      <c r="Y10">
        <v>472922401444</v>
      </c>
      <c r="Z10">
        <v>450833122380</v>
      </c>
      <c r="AA10">
        <v>488914300373</v>
      </c>
      <c r="AB10">
        <v>547181002880</v>
      </c>
      <c r="AC10">
        <v>757077840956</v>
      </c>
      <c r="AD10">
        <v>719724611359</v>
      </c>
      <c r="AE10">
        <v>867184153472</v>
      </c>
      <c r="AF10" t="s">
        <v>34</v>
      </c>
      <c r="AG10">
        <f t="shared" si="0"/>
        <v>432184399293.54309</v>
      </c>
      <c r="AI10" s="7">
        <f t="shared" si="1"/>
        <v>12.528263913879696</v>
      </c>
      <c r="AK10" s="7">
        <f t="shared" si="2"/>
        <v>1.3716237004173217</v>
      </c>
      <c r="AM10" s="7">
        <f t="shared" si="3"/>
        <v>9.0651098096401217</v>
      </c>
    </row>
    <row r="11" spans="1:39" x14ac:dyDescent="0.3">
      <c r="A11" t="s">
        <v>501</v>
      </c>
      <c r="B11" s="1" t="s">
        <v>502</v>
      </c>
      <c r="C11" t="s">
        <v>52</v>
      </c>
      <c r="D11" s="1" t="s">
        <v>53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tr">
        <f t="shared" si="0"/>
        <v>NA</v>
      </c>
      <c r="AI11" s="7" t="str">
        <f t="shared" si="1"/>
        <v>NA</v>
      </c>
      <c r="AK11" s="7" t="str">
        <f t="shared" si="2"/>
        <v>NA</v>
      </c>
      <c r="AM11" s="7" t="str">
        <f t="shared" si="3"/>
        <v>NA</v>
      </c>
    </row>
    <row r="12" spans="1:39" x14ac:dyDescent="0.3">
      <c r="A12" t="s">
        <v>501</v>
      </c>
      <c r="B12" s="1" t="s">
        <v>502</v>
      </c>
      <c r="C12" t="s">
        <v>54</v>
      </c>
      <c r="D12" s="1" t="s">
        <v>55</v>
      </c>
      <c r="E12">
        <v>24648000000</v>
      </c>
      <c r="F12">
        <v>26882000000</v>
      </c>
      <c r="G12">
        <v>27613000000</v>
      </c>
      <c r="H12">
        <v>28752000000</v>
      </c>
      <c r="I12">
        <v>30132000000</v>
      </c>
      <c r="J12">
        <v>30736000000</v>
      </c>
      <c r="K12">
        <v>46516000000</v>
      </c>
      <c r="L12">
        <v>50037000000</v>
      </c>
      <c r="M12">
        <v>55207000000</v>
      </c>
      <c r="N12">
        <v>58176000000</v>
      </c>
      <c r="O12">
        <v>60523000000</v>
      </c>
      <c r="P12">
        <v>63722000000</v>
      </c>
      <c r="Q12">
        <v>66728000000</v>
      </c>
      <c r="R12">
        <v>70880000000</v>
      </c>
      <c r="S12">
        <v>70121000000</v>
      </c>
      <c r="T12">
        <v>74182000000</v>
      </c>
      <c r="U12">
        <v>77407000000</v>
      </c>
      <c r="V12">
        <v>78152000000</v>
      </c>
      <c r="W12">
        <v>86713000000</v>
      </c>
      <c r="X12">
        <v>91660000000</v>
      </c>
      <c r="Y12">
        <v>84991000000</v>
      </c>
      <c r="Z12">
        <v>89412000000</v>
      </c>
      <c r="AA12">
        <v>92606000000</v>
      </c>
      <c r="AB12">
        <v>98174000000</v>
      </c>
      <c r="AC12">
        <v>100093000000</v>
      </c>
      <c r="AD12">
        <v>98478000000</v>
      </c>
      <c r="AE12">
        <v>109351000000</v>
      </c>
      <c r="AF12">
        <v>110605000000</v>
      </c>
      <c r="AG12">
        <f t="shared" si="0"/>
        <v>67946321428.571426</v>
      </c>
      <c r="AI12" s="7">
        <f t="shared" si="1"/>
        <v>5.4911305186201282</v>
      </c>
      <c r="AK12" s="7">
        <f t="shared" si="2"/>
        <v>0.67024512878229447</v>
      </c>
      <c r="AM12" s="7">
        <f t="shared" si="3"/>
        <v>16.43439508730507</v>
      </c>
    </row>
    <row r="13" spans="1:39" x14ac:dyDescent="0.3">
      <c r="A13" t="s">
        <v>501</v>
      </c>
      <c r="B13" s="1" t="s">
        <v>502</v>
      </c>
      <c r="C13" t="s">
        <v>56</v>
      </c>
      <c r="D13" s="1" t="s">
        <v>57</v>
      </c>
      <c r="E13">
        <v>20702610000</v>
      </c>
      <c r="F13">
        <v>22196210000</v>
      </c>
      <c r="G13">
        <v>23388870000</v>
      </c>
      <c r="H13">
        <v>24271110000</v>
      </c>
      <c r="I13">
        <v>25476350000</v>
      </c>
      <c r="J13">
        <v>26328330000</v>
      </c>
      <c r="K13">
        <v>27440420000</v>
      </c>
      <c r="L13">
        <v>28532860000</v>
      </c>
      <c r="M13">
        <v>28814700000</v>
      </c>
      <c r="N13">
        <v>29955780000</v>
      </c>
      <c r="O13">
        <v>30799860000</v>
      </c>
      <c r="P13">
        <v>31403050000</v>
      </c>
      <c r="Q13">
        <v>32944000000</v>
      </c>
      <c r="R13">
        <v>34114870000</v>
      </c>
      <c r="S13">
        <v>34362710000</v>
      </c>
      <c r="T13">
        <v>35246410000</v>
      </c>
      <c r="U13">
        <v>37160460000</v>
      </c>
      <c r="V13">
        <v>38741900000</v>
      </c>
      <c r="W13">
        <v>39041190000</v>
      </c>
      <c r="X13">
        <v>39843080000</v>
      </c>
      <c r="Y13">
        <v>41215020000</v>
      </c>
      <c r="Z13">
        <v>42686270000</v>
      </c>
      <c r="AA13">
        <v>44022710000</v>
      </c>
      <c r="AB13">
        <v>45211970000</v>
      </c>
      <c r="AC13">
        <v>46718660000</v>
      </c>
      <c r="AD13">
        <v>43670950000</v>
      </c>
      <c r="AE13">
        <v>47573970000</v>
      </c>
      <c r="AF13" t="s">
        <v>34</v>
      </c>
      <c r="AG13">
        <f t="shared" si="0"/>
        <v>34143122962.962963</v>
      </c>
      <c r="AI13" s="7">
        <f t="shared" si="1"/>
        <v>11.745177970728017</v>
      </c>
      <c r="AK13" s="7">
        <f t="shared" si="2"/>
        <v>-2.7464446061433263E-3</v>
      </c>
      <c r="AM13" s="7">
        <f t="shared" si="3"/>
        <v>11.936039722043537</v>
      </c>
    </row>
    <row r="14" spans="1:39" x14ac:dyDescent="0.3">
      <c r="A14" t="s">
        <v>501</v>
      </c>
      <c r="B14" s="1" t="s">
        <v>502</v>
      </c>
      <c r="C14" t="s">
        <v>58</v>
      </c>
      <c r="D14" s="1" t="s">
        <v>59</v>
      </c>
      <c r="E14">
        <v>130276600</v>
      </c>
      <c r="F14">
        <v>105032200</v>
      </c>
      <c r="G14">
        <v>193523200</v>
      </c>
      <c r="H14">
        <v>234531400</v>
      </c>
      <c r="I14">
        <v>264754200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>
        <v>2502800000</v>
      </c>
      <c r="S14">
        <v>2593000000</v>
      </c>
      <c r="T14">
        <v>2695600000</v>
      </c>
      <c r="U14">
        <v>2865100000</v>
      </c>
      <c r="V14">
        <v>3080200000</v>
      </c>
      <c r="W14">
        <v>3493800000</v>
      </c>
      <c r="X14">
        <v>4145800000</v>
      </c>
      <c r="Y14">
        <v>4404200000</v>
      </c>
      <c r="Z14">
        <v>4727000000</v>
      </c>
      <c r="AA14">
        <v>4808400000</v>
      </c>
      <c r="AB14">
        <v>5600004000</v>
      </c>
      <c r="AC14">
        <v>6541000000</v>
      </c>
      <c r="AD14">
        <v>6130300000</v>
      </c>
      <c r="AE14">
        <v>6739100000</v>
      </c>
      <c r="AF14" t="s">
        <v>34</v>
      </c>
      <c r="AG14">
        <f t="shared" si="0"/>
        <v>3223916926.3157897</v>
      </c>
      <c r="AI14" s="7">
        <f t="shared" si="1"/>
        <v>8.2392437809861185</v>
      </c>
      <c r="AK14" s="7">
        <f t="shared" si="2"/>
        <v>1.4743464499495562</v>
      </c>
      <c r="AM14" s="7">
        <f t="shared" si="3"/>
        <v>6.0267987679035508</v>
      </c>
    </row>
    <row r="15" spans="1:39" x14ac:dyDescent="0.3">
      <c r="A15" t="s">
        <v>501</v>
      </c>
      <c r="B15" s="1" t="s">
        <v>502</v>
      </c>
      <c r="C15" t="s">
        <v>60</v>
      </c>
      <c r="D15" s="1" t="s">
        <v>61</v>
      </c>
      <c r="E15">
        <v>57800000</v>
      </c>
      <c r="F15">
        <v>35900000</v>
      </c>
      <c r="G15">
        <v>40911000</v>
      </c>
      <c r="H15">
        <v>50328000</v>
      </c>
      <c r="I15">
        <v>46930000</v>
      </c>
      <c r="J15">
        <v>119100000</v>
      </c>
      <c r="K15">
        <v>94000000</v>
      </c>
      <c r="L15">
        <v>102100000</v>
      </c>
      <c r="M15">
        <v>86300000</v>
      </c>
      <c r="N15">
        <v>117130000</v>
      </c>
      <c r="O15">
        <v>180285000</v>
      </c>
      <c r="P15">
        <v>334525000</v>
      </c>
      <c r="Q15">
        <v>388734000</v>
      </c>
      <c r="R15">
        <v>158400000</v>
      </c>
      <c r="S15">
        <v>373774000</v>
      </c>
      <c r="T15">
        <v>515745534.25</v>
      </c>
      <c r="U15">
        <v>683421120.33000004</v>
      </c>
      <c r="V15">
        <v>665211766.71000004</v>
      </c>
      <c r="W15">
        <v>564386767.15999997</v>
      </c>
      <c r="X15">
        <v>628785535.86000001</v>
      </c>
      <c r="Y15">
        <v>901680648.88</v>
      </c>
      <c r="Z15">
        <v>1154571155.75</v>
      </c>
      <c r="AA15">
        <v>1281965811.77</v>
      </c>
      <c r="AB15">
        <v>1275736000</v>
      </c>
      <c r="AC15">
        <v>1634363000</v>
      </c>
      <c r="AD15">
        <v>1346816646</v>
      </c>
      <c r="AE15">
        <v>1166624454</v>
      </c>
      <c r="AF15">
        <v>1488588337</v>
      </c>
      <c r="AG15">
        <f t="shared" si="0"/>
        <v>553361206.34678566</v>
      </c>
      <c r="AI15" s="7">
        <f t="shared" si="1"/>
        <v>5.7376245755868345</v>
      </c>
      <c r="AK15" s="7">
        <f t="shared" si="2"/>
        <v>5.1727749830925731</v>
      </c>
      <c r="AM15" s="7" t="str">
        <f t="shared" si="3"/>
        <v>NA</v>
      </c>
    </row>
    <row r="16" spans="1:39" x14ac:dyDescent="0.3">
      <c r="A16" t="s">
        <v>501</v>
      </c>
      <c r="B16" s="1" t="s">
        <v>502</v>
      </c>
      <c r="C16" t="s">
        <v>62</v>
      </c>
      <c r="D16" s="1" t="s">
        <v>63</v>
      </c>
      <c r="E16">
        <v>30200000</v>
      </c>
      <c r="F16">
        <v>28400000</v>
      </c>
      <c r="G16">
        <v>23800000</v>
      </c>
      <c r="H16">
        <v>22300000</v>
      </c>
      <c r="I16">
        <v>23100000</v>
      </c>
      <c r="J16">
        <v>25300000</v>
      </c>
      <c r="K16">
        <v>24300000</v>
      </c>
      <c r="L16">
        <v>26200000</v>
      </c>
      <c r="M16">
        <v>30700000</v>
      </c>
      <c r="N16">
        <v>32800000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34</v>
      </c>
      <c r="AG16">
        <f t="shared" si="0"/>
        <v>26710000</v>
      </c>
      <c r="AI16" s="7">
        <f t="shared" si="1"/>
        <v>0.31447792956420234</v>
      </c>
      <c r="AK16" s="7">
        <f t="shared" si="2"/>
        <v>0.63554918150039841</v>
      </c>
      <c r="AM16" s="7">
        <f t="shared" si="3"/>
        <v>0.43292225646109023</v>
      </c>
    </row>
    <row r="17" spans="1:39" x14ac:dyDescent="0.3">
      <c r="A17" t="s">
        <v>501</v>
      </c>
      <c r="B17" s="1" t="s">
        <v>502</v>
      </c>
      <c r="C17" t="s">
        <v>64</v>
      </c>
      <c r="D17" s="1" t="s">
        <v>65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>
        <v>66568780000</v>
      </c>
      <c r="L17">
        <v>75228380000</v>
      </c>
      <c r="M17">
        <v>108949240000</v>
      </c>
      <c r="N17">
        <v>100539870000</v>
      </c>
      <c r="O17">
        <v>109990725000</v>
      </c>
      <c r="P17">
        <v>125517335000</v>
      </c>
      <c r="Q17">
        <v>140969068000</v>
      </c>
      <c r="R17">
        <v>171902957000</v>
      </c>
      <c r="S17">
        <v>200555946000</v>
      </c>
      <c r="T17">
        <v>240716688000</v>
      </c>
      <c r="U17">
        <v>304282400000</v>
      </c>
      <c r="V17">
        <v>352579400000</v>
      </c>
      <c r="W17">
        <v>402282200000</v>
      </c>
      <c r="X17">
        <v>428603900000</v>
      </c>
      <c r="Y17">
        <v>474400070000</v>
      </c>
      <c r="Z17">
        <v>577640000000</v>
      </c>
      <c r="AA17">
        <v>928708500000</v>
      </c>
      <c r="AB17">
        <v>1151751000000</v>
      </c>
      <c r="AC17">
        <v>1284988059000</v>
      </c>
      <c r="AD17">
        <v>1184613000000</v>
      </c>
      <c r="AE17">
        <v>1465246847980.3999</v>
      </c>
      <c r="AF17" t="s">
        <v>34</v>
      </c>
      <c r="AG17">
        <f t="shared" si="0"/>
        <v>471239731713.35242</v>
      </c>
      <c r="AI17" s="7">
        <f t="shared" si="1"/>
        <v>4.0092421201274986</v>
      </c>
      <c r="AK17" s="7">
        <f t="shared" si="2"/>
        <v>1.8015977669397973</v>
      </c>
      <c r="AM17" s="7">
        <f t="shared" si="3"/>
        <v>2.5116353470973372</v>
      </c>
    </row>
    <row r="18" spans="1:39" x14ac:dyDescent="0.3">
      <c r="A18" t="s">
        <v>501</v>
      </c>
      <c r="B18" s="1" t="s">
        <v>502</v>
      </c>
      <c r="C18" t="s">
        <v>66</v>
      </c>
      <c r="D18" s="1" t="s">
        <v>67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>
        <v>744568000</v>
      </c>
      <c r="N18">
        <v>878600000</v>
      </c>
      <c r="O18">
        <v>980641000</v>
      </c>
      <c r="P18">
        <v>988380437.02999997</v>
      </c>
      <c r="Q18">
        <v>1090205310</v>
      </c>
      <c r="R18">
        <v>1100267475</v>
      </c>
      <c r="S18">
        <v>1002793628</v>
      </c>
      <c r="T18">
        <v>1077151137</v>
      </c>
      <c r="U18">
        <v>1284253544</v>
      </c>
      <c r="V18">
        <v>1144666163</v>
      </c>
      <c r="W18">
        <v>1151577522</v>
      </c>
      <c r="X18">
        <v>1063462232</v>
      </c>
      <c r="Y18">
        <v>1226930233</v>
      </c>
      <c r="Z18">
        <v>1317590062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>
        <f t="shared" si="0"/>
        <v>1075077624.5021427</v>
      </c>
      <c r="AI18" s="7">
        <f t="shared" si="1"/>
        <v>13.164133294525993</v>
      </c>
      <c r="AK18" s="7">
        <f t="shared" si="2"/>
        <v>2.5135495009841775</v>
      </c>
      <c r="AM18" s="7">
        <f t="shared" si="3"/>
        <v>9.2873307831481515</v>
      </c>
    </row>
    <row r="19" spans="1:39" x14ac:dyDescent="0.3">
      <c r="A19" t="s">
        <v>501</v>
      </c>
      <c r="B19" s="1" t="s">
        <v>502</v>
      </c>
      <c r="C19" t="s">
        <v>68</v>
      </c>
      <c r="D19" s="1" t="s">
        <v>69</v>
      </c>
      <c r="E19">
        <v>1209560</v>
      </c>
      <c r="F19">
        <v>2193460</v>
      </c>
      <c r="G19">
        <v>4802210</v>
      </c>
      <c r="H19">
        <v>7757750</v>
      </c>
      <c r="I19">
        <v>32942470</v>
      </c>
      <c r="J19">
        <v>101656000</v>
      </c>
      <c r="K19">
        <v>178242000</v>
      </c>
      <c r="L19">
        <v>251079000</v>
      </c>
      <c r="M19">
        <v>370189400</v>
      </c>
      <c r="N19">
        <v>543991000</v>
      </c>
      <c r="O19">
        <v>738047400</v>
      </c>
      <c r="P19">
        <v>1128617900</v>
      </c>
      <c r="Q19">
        <v>1270861800</v>
      </c>
      <c r="R19">
        <v>1523146448.7</v>
      </c>
      <c r="S19">
        <v>1397172200</v>
      </c>
      <c r="T19">
        <v>1670181857.6900001</v>
      </c>
      <c r="U19">
        <v>2495000000</v>
      </c>
      <c r="V19">
        <v>4610280000</v>
      </c>
      <c r="W19">
        <v>5994690000</v>
      </c>
      <c r="X19">
        <v>7529064110</v>
      </c>
      <c r="Y19">
        <v>7865016730.6899996</v>
      </c>
      <c r="Z19">
        <v>8793567337.2000008</v>
      </c>
      <c r="AA19">
        <v>9068217958</v>
      </c>
      <c r="AB19">
        <v>11020978275.9</v>
      </c>
      <c r="AC19">
        <v>11753308921.17</v>
      </c>
      <c r="AD19">
        <v>13111920668.5</v>
      </c>
      <c r="AE19">
        <v>15584779780.969999</v>
      </c>
      <c r="AF19" t="s">
        <v>34</v>
      </c>
      <c r="AG19">
        <f t="shared" si="0"/>
        <v>3964774601.437778</v>
      </c>
      <c r="AI19" s="7">
        <f t="shared" si="1"/>
        <v>8.0357777669994697</v>
      </c>
      <c r="AK19" s="7">
        <f t="shared" si="2"/>
        <v>3.1923354359104668</v>
      </c>
      <c r="AM19" s="7">
        <f t="shared" si="3"/>
        <v>0.8592833743809255</v>
      </c>
    </row>
    <row r="20" spans="1:39" x14ac:dyDescent="0.3">
      <c r="A20" t="s">
        <v>501</v>
      </c>
      <c r="B20" s="1" t="s">
        <v>502</v>
      </c>
      <c r="C20" t="s">
        <v>70</v>
      </c>
      <c r="D20" s="1" t="s">
        <v>71</v>
      </c>
      <c r="E20">
        <v>22240700000</v>
      </c>
      <c r="F20">
        <v>23569900000</v>
      </c>
      <c r="G20">
        <v>24950500000</v>
      </c>
      <c r="H20">
        <v>25830000000</v>
      </c>
      <c r="I20">
        <v>27821200000</v>
      </c>
      <c r="J20">
        <v>29187000000</v>
      </c>
      <c r="K20">
        <v>28825800000</v>
      </c>
      <c r="L20">
        <v>27505000000</v>
      </c>
      <c r="M20">
        <v>28103900000</v>
      </c>
      <c r="N20">
        <v>30307300000</v>
      </c>
      <c r="O20">
        <v>31743900000</v>
      </c>
      <c r="P20">
        <v>33226400000</v>
      </c>
      <c r="Q20">
        <v>34746600000</v>
      </c>
      <c r="R20">
        <v>35193500000</v>
      </c>
      <c r="S20">
        <v>34745900000</v>
      </c>
      <c r="T20">
        <v>37261900000</v>
      </c>
      <c r="U20">
        <v>38381900000</v>
      </c>
      <c r="V20">
        <v>40884700000</v>
      </c>
      <c r="W20">
        <v>40994500000</v>
      </c>
      <c r="X20">
        <v>41445400000</v>
      </c>
      <c r="Y20">
        <v>41974800000</v>
      </c>
      <c r="Z20">
        <v>43855200000</v>
      </c>
      <c r="AA20">
        <v>45144600000</v>
      </c>
      <c r="AB20">
        <v>47340800000</v>
      </c>
      <c r="AC20">
        <v>48519500000</v>
      </c>
      <c r="AD20">
        <v>45222600000</v>
      </c>
      <c r="AE20">
        <v>51766700000</v>
      </c>
      <c r="AF20" t="s">
        <v>34</v>
      </c>
      <c r="AG20">
        <f t="shared" si="0"/>
        <v>35584822222.222221</v>
      </c>
      <c r="AI20" s="7">
        <f t="shared" si="1"/>
        <v>10.118285378244192</v>
      </c>
      <c r="AK20" s="7" t="str">
        <f t="shared" si="2"/>
        <v>NA</v>
      </c>
      <c r="AM20" s="7">
        <f t="shared" si="3"/>
        <v>13.953596962534847</v>
      </c>
    </row>
    <row r="21" spans="1:39" x14ac:dyDescent="0.3">
      <c r="A21" t="s">
        <v>501</v>
      </c>
      <c r="B21" s="1" t="s">
        <v>502</v>
      </c>
      <c r="C21" t="s">
        <v>72</v>
      </c>
      <c r="D21" s="1" t="s">
        <v>73</v>
      </c>
      <c r="E21">
        <v>41749000</v>
      </c>
      <c r="F21">
        <v>104340000</v>
      </c>
      <c r="G21">
        <v>98047000</v>
      </c>
      <c r="H21">
        <v>97921000</v>
      </c>
      <c r="I21">
        <v>81974000</v>
      </c>
      <c r="J21">
        <v>101849000</v>
      </c>
      <c r="K21">
        <v>107947000</v>
      </c>
      <c r="L21">
        <v>113526000</v>
      </c>
      <c r="M21">
        <v>120033000</v>
      </c>
      <c r="N21">
        <v>140997000</v>
      </c>
      <c r="O21">
        <v>181834000</v>
      </c>
      <c r="P21">
        <v>217027000</v>
      </c>
      <c r="Q21">
        <v>235974000</v>
      </c>
      <c r="R21">
        <v>236703000</v>
      </c>
      <c r="S21">
        <v>217097000</v>
      </c>
      <c r="T21">
        <v>251105000</v>
      </c>
      <c r="U21">
        <v>230251000</v>
      </c>
      <c r="V21">
        <v>277274042.12</v>
      </c>
      <c r="W21">
        <v>305028947.33999997</v>
      </c>
      <c r="X21">
        <v>345571914.41000003</v>
      </c>
      <c r="Y21">
        <v>354458568.07999998</v>
      </c>
      <c r="Z21">
        <v>489346703.30000001</v>
      </c>
      <c r="AA21">
        <v>533029415.69</v>
      </c>
      <c r="AB21" t="s">
        <v>34</v>
      </c>
      <c r="AC21" t="s">
        <v>34</v>
      </c>
      <c r="AD21" t="s">
        <v>34</v>
      </c>
      <c r="AE21" t="s">
        <v>34</v>
      </c>
      <c r="AF21" t="s">
        <v>34</v>
      </c>
      <c r="AG21">
        <f t="shared" si="0"/>
        <v>212307982.2147826</v>
      </c>
      <c r="AI21" s="7">
        <f t="shared" si="1"/>
        <v>6.3035174909616023</v>
      </c>
      <c r="AK21" s="7">
        <f t="shared" si="2"/>
        <v>4.6893769431049082</v>
      </c>
      <c r="AM21" s="7">
        <f t="shared" si="3"/>
        <v>4.621668311752023</v>
      </c>
    </row>
    <row r="22" spans="1:39" x14ac:dyDescent="0.3">
      <c r="A22" t="s">
        <v>501</v>
      </c>
      <c r="B22" s="1" t="s">
        <v>502</v>
      </c>
      <c r="C22" t="s">
        <v>74</v>
      </c>
      <c r="D22" s="1" t="s">
        <v>75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34</v>
      </c>
      <c r="AF22" t="s">
        <v>34</v>
      </c>
      <c r="AG22" t="str">
        <f t="shared" si="0"/>
        <v>NA</v>
      </c>
      <c r="AI22" s="7" t="str">
        <f t="shared" si="1"/>
        <v>NA</v>
      </c>
      <c r="AK22" s="7" t="str">
        <f t="shared" si="2"/>
        <v>NA</v>
      </c>
      <c r="AM22" s="7" t="str">
        <f t="shared" si="3"/>
        <v>NA</v>
      </c>
    </row>
    <row r="23" spans="1:39" x14ac:dyDescent="0.3">
      <c r="A23" t="s">
        <v>501</v>
      </c>
      <c r="B23" s="1" t="s">
        <v>502</v>
      </c>
      <c r="C23" t="s">
        <v>76</v>
      </c>
      <c r="D23" s="1" t="s">
        <v>77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tr">
        <f t="shared" si="0"/>
        <v>NA</v>
      </c>
      <c r="AI23" s="7" t="str">
        <f t="shared" si="1"/>
        <v>NA</v>
      </c>
      <c r="AK23" s="7" t="str">
        <f t="shared" si="2"/>
        <v>NA</v>
      </c>
      <c r="AM23" s="7" t="str">
        <f t="shared" si="3"/>
        <v>NA</v>
      </c>
    </row>
    <row r="24" spans="1:39" x14ac:dyDescent="0.3">
      <c r="A24" t="s">
        <v>501</v>
      </c>
      <c r="B24" s="1" t="s">
        <v>502</v>
      </c>
      <c r="C24" t="s">
        <v>78</v>
      </c>
      <c r="D24" s="1" t="s">
        <v>79</v>
      </c>
      <c r="E24">
        <v>338600000</v>
      </c>
      <c r="F24">
        <v>381600000</v>
      </c>
      <c r="G24">
        <v>319700000</v>
      </c>
      <c r="H24">
        <v>519130000</v>
      </c>
      <c r="I24">
        <v>466300000</v>
      </c>
      <c r="J24">
        <v>842500000</v>
      </c>
      <c r="K24">
        <v>546100000</v>
      </c>
      <c r="L24">
        <v>915009000</v>
      </c>
      <c r="M24">
        <v>1219493000</v>
      </c>
      <c r="N24">
        <v>750092000</v>
      </c>
      <c r="O24">
        <v>1230259000</v>
      </c>
      <c r="P24">
        <v>1653204000</v>
      </c>
      <c r="Q24">
        <v>1423833000</v>
      </c>
      <c r="R24">
        <v>1869554000</v>
      </c>
      <c r="S24">
        <v>2141890000</v>
      </c>
      <c r="T24">
        <v>3271565345</v>
      </c>
      <c r="U24">
        <v>4161423239</v>
      </c>
      <c r="V24">
        <v>6405340491</v>
      </c>
      <c r="W24">
        <v>7051661111</v>
      </c>
      <c r="X24">
        <v>6285523000</v>
      </c>
      <c r="Y24">
        <v>6778489765.3599997</v>
      </c>
      <c r="Z24">
        <v>7608978305.9589996</v>
      </c>
      <c r="AA24">
        <v>8817876000</v>
      </c>
      <c r="AB24">
        <v>12571699452.49</v>
      </c>
      <c r="AC24">
        <v>11848028000</v>
      </c>
      <c r="AD24">
        <v>9835763000</v>
      </c>
      <c r="AE24" t="s">
        <v>34</v>
      </c>
      <c r="AF24" t="s">
        <v>34</v>
      </c>
      <c r="AG24">
        <f t="shared" si="0"/>
        <v>3817446604.2234235</v>
      </c>
      <c r="AI24" s="7">
        <f t="shared" si="1"/>
        <v>4.9238723050620337</v>
      </c>
      <c r="AK24" s="7">
        <f t="shared" si="2"/>
        <v>0.79130598017240472</v>
      </c>
      <c r="AM24" s="7">
        <f t="shared" si="3"/>
        <v>6.2481379236624042</v>
      </c>
    </row>
    <row r="25" spans="1:39" x14ac:dyDescent="0.3">
      <c r="A25" t="s">
        <v>501</v>
      </c>
      <c r="B25" s="1" t="s">
        <v>502</v>
      </c>
      <c r="C25" t="s">
        <v>80</v>
      </c>
      <c r="D25" s="1" t="s">
        <v>81</v>
      </c>
      <c r="E25">
        <v>2611100000</v>
      </c>
      <c r="F25">
        <v>3784100000</v>
      </c>
      <c r="G25">
        <v>4237600000</v>
      </c>
      <c r="H25">
        <v>4752100000</v>
      </c>
      <c r="I25">
        <v>4200900000</v>
      </c>
      <c r="J25">
        <v>5145000000</v>
      </c>
      <c r="K25">
        <v>5088700000</v>
      </c>
      <c r="L25">
        <v>5980453929.4799995</v>
      </c>
      <c r="M25">
        <v>6434651030.4200001</v>
      </c>
      <c r="N25">
        <v>7705600000</v>
      </c>
      <c r="O25">
        <v>9681741788.4599991</v>
      </c>
      <c r="P25">
        <v>11833077339.402</v>
      </c>
      <c r="Q25">
        <v>13213265585.851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>
        <f t="shared" si="0"/>
        <v>6512945359.5086918</v>
      </c>
      <c r="AI25" s="7">
        <f t="shared" si="1"/>
        <v>4.4863966134292319</v>
      </c>
      <c r="AK25" s="7">
        <f t="shared" si="2"/>
        <v>0.37027744790764816</v>
      </c>
      <c r="AM25" s="7">
        <f t="shared" si="3"/>
        <v>0.70856583689499941</v>
      </c>
    </row>
    <row r="26" spans="1:39" x14ac:dyDescent="0.3">
      <c r="A26" t="s">
        <v>501</v>
      </c>
      <c r="B26" s="1" t="s">
        <v>502</v>
      </c>
      <c r="C26" t="s">
        <v>82</v>
      </c>
      <c r="D26" s="1" t="s">
        <v>83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>
        <v>1435577856.01</v>
      </c>
      <c r="P26">
        <v>3875870444.98</v>
      </c>
      <c r="Q26">
        <v>4320822724.2200003</v>
      </c>
      <c r="R26">
        <v>4494651035.8699999</v>
      </c>
      <c r="S26">
        <v>4052924027.1399999</v>
      </c>
      <c r="T26">
        <v>4385581785.5</v>
      </c>
      <c r="U26">
        <v>4600028053</v>
      </c>
      <c r="V26">
        <v>4634988510</v>
      </c>
      <c r="W26">
        <v>4543595047</v>
      </c>
      <c r="X26">
        <v>4664946679.3699999</v>
      </c>
      <c r="Y26">
        <v>4911458987.3100004</v>
      </c>
      <c r="Z26">
        <v>5059028406.23174</v>
      </c>
      <c r="AA26">
        <v>5304431849.8199997</v>
      </c>
      <c r="AB26">
        <v>5685815609.96</v>
      </c>
      <c r="AC26">
        <v>5922102149.3900003</v>
      </c>
      <c r="AD26">
        <v>5388861313.6800003</v>
      </c>
      <c r="AE26">
        <v>6258458661.2600002</v>
      </c>
      <c r="AF26">
        <v>7121655698.5799999</v>
      </c>
      <c r="AG26">
        <f t="shared" si="0"/>
        <v>4814488824.406764</v>
      </c>
      <c r="AI26" s="7">
        <f t="shared" si="1"/>
        <v>21.712007434436501</v>
      </c>
      <c r="AK26" s="7">
        <f t="shared" si="2"/>
        <v>0.54791373582601843</v>
      </c>
      <c r="AM26" s="7">
        <f t="shared" si="3"/>
        <v>3.3420054246105124</v>
      </c>
    </row>
    <row r="27" spans="1:39" x14ac:dyDescent="0.3">
      <c r="A27" t="s">
        <v>501</v>
      </c>
      <c r="B27" s="1" t="s">
        <v>502</v>
      </c>
      <c r="C27" t="s">
        <v>84</v>
      </c>
      <c r="D27" s="1" t="s">
        <v>85</v>
      </c>
      <c r="E27">
        <v>241700000</v>
      </c>
      <c r="F27">
        <v>276800000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>
        <v>2416000000</v>
      </c>
      <c r="Q27">
        <v>3056870000</v>
      </c>
      <c r="R27">
        <v>4617050000</v>
      </c>
      <c r="S27">
        <v>4165830000</v>
      </c>
      <c r="T27">
        <v>4899330000</v>
      </c>
      <c r="U27">
        <v>5106980000</v>
      </c>
      <c r="V27">
        <v>5535880000</v>
      </c>
      <c r="W27">
        <v>5165780000</v>
      </c>
      <c r="X27">
        <v>5993110000</v>
      </c>
      <c r="Y27">
        <v>6379780000</v>
      </c>
      <c r="Z27">
        <v>6947860000</v>
      </c>
      <c r="AA27">
        <v>8182332000</v>
      </c>
      <c r="AB27">
        <v>7831390000</v>
      </c>
      <c r="AC27">
        <v>8565670000</v>
      </c>
      <c r="AD27">
        <v>8235650000</v>
      </c>
      <c r="AE27">
        <v>11566200000</v>
      </c>
      <c r="AF27" t="s">
        <v>34</v>
      </c>
      <c r="AG27">
        <f t="shared" si="0"/>
        <v>5510234000</v>
      </c>
      <c r="AI27" s="7">
        <f t="shared" si="1"/>
        <v>5.9470779745916706</v>
      </c>
      <c r="AK27" s="7">
        <f t="shared" si="2"/>
        <v>11.656960148040167</v>
      </c>
      <c r="AM27" s="7">
        <f t="shared" si="3"/>
        <v>12.011415138691635</v>
      </c>
    </row>
    <row r="28" spans="1:39" x14ac:dyDescent="0.3">
      <c r="A28" t="s">
        <v>501</v>
      </c>
      <c r="B28" s="1" t="s">
        <v>502</v>
      </c>
      <c r="C28" t="s">
        <v>86</v>
      </c>
      <c r="D28" s="1" t="s">
        <v>87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>
        <v>260905879286.10001</v>
      </c>
      <c r="U28">
        <v>293526720483.98999</v>
      </c>
      <c r="V28">
        <v>317111963463.03003</v>
      </c>
      <c r="W28">
        <v>335282244868.75</v>
      </c>
      <c r="X28">
        <v>339051814449.70398</v>
      </c>
      <c r="Y28">
        <v>354885355601.61902</v>
      </c>
      <c r="Z28">
        <v>351556786276.39001</v>
      </c>
      <c r="AA28">
        <v>380892377385.19</v>
      </c>
      <c r="AB28">
        <v>419090536862.47998</v>
      </c>
      <c r="AC28">
        <v>410691640635.77002</v>
      </c>
      <c r="AD28">
        <v>370550362774.02002</v>
      </c>
      <c r="AE28">
        <v>485450865120.16998</v>
      </c>
      <c r="AF28">
        <v>483832396341.78998</v>
      </c>
      <c r="AG28">
        <f t="shared" si="0"/>
        <v>369448380273.00024</v>
      </c>
      <c r="AI28" s="7">
        <f t="shared" si="1"/>
        <v>9.4143722960603213</v>
      </c>
      <c r="AK28" s="7">
        <f t="shared" si="2"/>
        <v>0.99148006919935083</v>
      </c>
      <c r="AM28" s="7">
        <f t="shared" si="3"/>
        <v>11.983305971715279</v>
      </c>
    </row>
    <row r="29" spans="1:39" x14ac:dyDescent="0.3">
      <c r="A29" t="s">
        <v>501</v>
      </c>
      <c r="B29" s="1" t="s">
        <v>502</v>
      </c>
      <c r="C29" t="s">
        <v>88</v>
      </c>
      <c r="D29" s="1" t="s">
        <v>89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tr">
        <f t="shared" si="0"/>
        <v>NA</v>
      </c>
      <c r="AI29" s="7" t="str">
        <f t="shared" si="1"/>
        <v>NA</v>
      </c>
      <c r="AK29" s="7" t="str">
        <f t="shared" si="2"/>
        <v>NA</v>
      </c>
      <c r="AM29" s="7" t="str">
        <f t="shared" si="3"/>
        <v>NA</v>
      </c>
    </row>
    <row r="30" spans="1:39" x14ac:dyDescent="0.3">
      <c r="A30" t="s">
        <v>501</v>
      </c>
      <c r="B30" s="1" t="s">
        <v>502</v>
      </c>
      <c r="C30" t="s">
        <v>90</v>
      </c>
      <c r="D30" s="1" t="s">
        <v>91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  <c r="AE30" t="s">
        <v>34</v>
      </c>
      <c r="AF30" t="s">
        <v>34</v>
      </c>
      <c r="AG30" t="str">
        <f t="shared" si="0"/>
        <v>NA</v>
      </c>
      <c r="AI30" s="7" t="str">
        <f t="shared" si="1"/>
        <v>NA</v>
      </c>
      <c r="AK30" s="7" t="str">
        <f t="shared" si="2"/>
        <v>NA</v>
      </c>
      <c r="AM30" s="7" t="str">
        <f t="shared" si="3"/>
        <v>NA</v>
      </c>
    </row>
    <row r="31" spans="1:39" x14ac:dyDescent="0.3">
      <c r="A31" t="s">
        <v>501</v>
      </c>
      <c r="B31" s="1" t="s">
        <v>502</v>
      </c>
      <c r="C31" t="s">
        <v>92</v>
      </c>
      <c r="D31" s="1" t="s">
        <v>93</v>
      </c>
      <c r="E31">
        <v>84295000</v>
      </c>
      <c r="F31">
        <v>155413000</v>
      </c>
      <c r="G31">
        <v>1436061000</v>
      </c>
      <c r="H31">
        <v>2813001000</v>
      </c>
      <c r="I31">
        <v>2873137000</v>
      </c>
      <c r="J31">
        <v>3482281000</v>
      </c>
      <c r="K31">
        <v>3734318000</v>
      </c>
      <c r="L31">
        <v>3848061000</v>
      </c>
      <c r="M31">
        <v>4766176000</v>
      </c>
      <c r="N31">
        <v>5980097000</v>
      </c>
      <c r="O31">
        <v>6979256000</v>
      </c>
      <c r="P31">
        <v>8229181000</v>
      </c>
      <c r="Q31">
        <v>9905665000</v>
      </c>
      <c r="R31">
        <v>11906712000</v>
      </c>
      <c r="S31">
        <v>10027516000</v>
      </c>
      <c r="T31">
        <v>9974193000</v>
      </c>
      <c r="U31">
        <v>10851832000</v>
      </c>
      <c r="V31">
        <v>11468262000</v>
      </c>
      <c r="W31">
        <v>12179246000</v>
      </c>
      <c r="X31">
        <v>12150530000</v>
      </c>
      <c r="Y31">
        <v>13252710000</v>
      </c>
      <c r="Z31">
        <v>14206394000</v>
      </c>
      <c r="AA31">
        <v>15210352000</v>
      </c>
      <c r="AB31">
        <v>15676626000</v>
      </c>
      <c r="AC31">
        <v>17839112000</v>
      </c>
      <c r="AD31">
        <v>17593419000</v>
      </c>
      <c r="AE31">
        <v>20021022000</v>
      </c>
      <c r="AF31" t="s">
        <v>34</v>
      </c>
      <c r="AG31">
        <f t="shared" si="0"/>
        <v>9134995111.1111107</v>
      </c>
      <c r="AI31" s="7">
        <f t="shared" si="1"/>
        <v>13.424182754316085</v>
      </c>
      <c r="AK31" s="7">
        <f t="shared" si="2"/>
        <v>0.18066000452130176</v>
      </c>
      <c r="AM31" s="7">
        <f t="shared" si="3"/>
        <v>5.2190909568991364</v>
      </c>
    </row>
    <row r="32" spans="1:39" x14ac:dyDescent="0.3">
      <c r="A32" t="s">
        <v>501</v>
      </c>
      <c r="B32" s="1" t="s">
        <v>502</v>
      </c>
      <c r="C32" t="s">
        <v>94</v>
      </c>
      <c r="D32" s="1" t="s">
        <v>95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>
        <v>130176282334</v>
      </c>
      <c r="M32">
        <v>147209293281.89999</v>
      </c>
      <c r="N32">
        <v>177266962809</v>
      </c>
      <c r="O32">
        <v>185811088412</v>
      </c>
      <c r="P32">
        <v>194347024416</v>
      </c>
      <c r="Q32">
        <v>217313127652</v>
      </c>
      <c r="R32">
        <v>243815710870</v>
      </c>
      <c r="S32">
        <v>282942741937</v>
      </c>
      <c r="T32">
        <v>318436000000</v>
      </c>
      <c r="U32">
        <v>366763000000</v>
      </c>
      <c r="V32">
        <v>467465000000</v>
      </c>
      <c r="W32">
        <v>523444000000</v>
      </c>
      <c r="X32">
        <v>509613853289</v>
      </c>
      <c r="Y32">
        <v>528792599070.79999</v>
      </c>
      <c r="Z32">
        <v>601600000000</v>
      </c>
      <c r="AA32">
        <v>670207854137</v>
      </c>
      <c r="AB32">
        <v>756482089975.71802</v>
      </c>
      <c r="AC32">
        <v>805696242907.75098</v>
      </c>
      <c r="AD32">
        <v>705105471301.66003</v>
      </c>
      <c r="AE32">
        <v>898421971013.40002</v>
      </c>
      <c r="AF32" t="s">
        <v>34</v>
      </c>
      <c r="AG32">
        <f t="shared" si="0"/>
        <v>436545515670.36145</v>
      </c>
      <c r="AI32" s="7">
        <f t="shared" si="1"/>
        <v>8.5054230556997421</v>
      </c>
      <c r="AK32" s="7">
        <f t="shared" si="2"/>
        <v>2.4602460131492179</v>
      </c>
      <c r="AM32" s="7">
        <f t="shared" si="3"/>
        <v>4.356467089305017</v>
      </c>
    </row>
    <row r="33" spans="1:39" x14ac:dyDescent="0.3">
      <c r="A33" t="s">
        <v>501</v>
      </c>
      <c r="B33" s="1" t="s">
        <v>502</v>
      </c>
      <c r="C33" t="s">
        <v>96</v>
      </c>
      <c r="D33" s="1" t="s">
        <v>97</v>
      </c>
      <c r="E33">
        <v>19512000000</v>
      </c>
      <c r="F33">
        <v>16316000000</v>
      </c>
      <c r="G33">
        <v>20744000000</v>
      </c>
      <c r="H33">
        <v>25304700000</v>
      </c>
      <c r="I33">
        <v>31640150000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>
        <f t="shared" si="0"/>
        <v>22703370000</v>
      </c>
      <c r="AI33" s="7">
        <f t="shared" si="1"/>
        <v>0.82351818082293737</v>
      </c>
      <c r="AK33" s="7">
        <f t="shared" si="2"/>
        <v>0.44399097893075001</v>
      </c>
      <c r="AM33" s="7">
        <f t="shared" si="3"/>
        <v>0.41593261964379441</v>
      </c>
    </row>
    <row r="34" spans="1:39" x14ac:dyDescent="0.3">
      <c r="A34" t="s">
        <v>501</v>
      </c>
      <c r="B34" s="1" t="s">
        <v>502</v>
      </c>
      <c r="C34" t="s">
        <v>98</v>
      </c>
      <c r="D34" s="1" t="s">
        <v>99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>
        <v>12539719163</v>
      </c>
      <c r="P34">
        <v>10612186419</v>
      </c>
      <c r="Q34">
        <v>12608527482</v>
      </c>
      <c r="R34">
        <v>14400328061</v>
      </c>
      <c r="S34">
        <v>11900628095</v>
      </c>
      <c r="T34">
        <v>12474668878</v>
      </c>
      <c r="U34">
        <v>14280767215</v>
      </c>
      <c r="V34">
        <v>12505077492</v>
      </c>
      <c r="W34">
        <v>13277051690</v>
      </c>
      <c r="X34">
        <v>12846075494</v>
      </c>
      <c r="Y34">
        <v>14236916226</v>
      </c>
      <c r="Z34">
        <v>14380605426</v>
      </c>
      <c r="AA34">
        <v>16592330072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>
        <f t="shared" si="0"/>
        <v>13281144747.153847</v>
      </c>
      <c r="AI34" s="7">
        <f t="shared" si="1"/>
        <v>10.288914902226292</v>
      </c>
      <c r="AK34" s="7">
        <f t="shared" si="2"/>
        <v>4.1933457755480097</v>
      </c>
      <c r="AM34" s="7">
        <f t="shared" si="3"/>
        <v>6.3904352900116255</v>
      </c>
    </row>
    <row r="35" spans="1:39" x14ac:dyDescent="0.3">
      <c r="A35" t="s">
        <v>501</v>
      </c>
      <c r="B35" s="1" t="s">
        <v>502</v>
      </c>
      <c r="C35" t="s">
        <v>100</v>
      </c>
      <c r="D35" s="1" t="s">
        <v>101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>
        <v>703506430000</v>
      </c>
      <c r="M35">
        <v>689434530556</v>
      </c>
      <c r="N35">
        <v>941779628481</v>
      </c>
      <c r="O35">
        <v>1156725464334</v>
      </c>
      <c r="P35">
        <v>1368782937887</v>
      </c>
      <c r="Q35">
        <v>1889158000000</v>
      </c>
      <c r="R35">
        <v>2583454485900</v>
      </c>
      <c r="S35">
        <v>2317084365325</v>
      </c>
      <c r="T35">
        <v>2742246684797</v>
      </c>
      <c r="U35">
        <v>3093235600520</v>
      </c>
      <c r="V35">
        <v>3680680500000</v>
      </c>
      <c r="W35">
        <v>4174470300000</v>
      </c>
      <c r="X35">
        <v>5426488868518</v>
      </c>
      <c r="Y35">
        <v>6238464008082</v>
      </c>
      <c r="Z35">
        <v>7097514489320</v>
      </c>
      <c r="AA35">
        <v>8410736795545</v>
      </c>
      <c r="AB35">
        <v>10550116900000</v>
      </c>
      <c r="AC35">
        <v>13749754824212</v>
      </c>
      <c r="AD35">
        <v>10961572577726</v>
      </c>
      <c r="AE35">
        <v>10016364272406</v>
      </c>
      <c r="AF35" t="s">
        <v>34</v>
      </c>
      <c r="AG35">
        <f t="shared" si="0"/>
        <v>4889578583180.4502</v>
      </c>
      <c r="AI35" s="7">
        <f t="shared" si="1"/>
        <v>9.8419962005871291</v>
      </c>
      <c r="AK35" s="7">
        <f t="shared" si="2"/>
        <v>2.9951230006746683</v>
      </c>
      <c r="AM35" s="7">
        <f t="shared" si="3"/>
        <v>3.9723906013340304</v>
      </c>
    </row>
    <row r="36" spans="1:39" x14ac:dyDescent="0.3">
      <c r="A36" t="s">
        <v>501</v>
      </c>
      <c r="B36" s="1" t="s">
        <v>502</v>
      </c>
      <c r="C36" t="s">
        <v>102</v>
      </c>
      <c r="D36" s="1" t="s">
        <v>103</v>
      </c>
      <c r="E36">
        <v>138320000000</v>
      </c>
      <c r="F36" t="s">
        <v>34</v>
      </c>
      <c r="G36" t="s">
        <v>34</v>
      </c>
      <c r="H36">
        <v>187640000000</v>
      </c>
      <c r="I36">
        <v>230990000000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>
        <v>747453200000</v>
      </c>
      <c r="W36">
        <v>873151000000</v>
      </c>
      <c r="X36">
        <v>998600000000</v>
      </c>
      <c r="Y36">
        <v>1023100000000</v>
      </c>
      <c r="Z36">
        <v>1144800000000</v>
      </c>
      <c r="AA36">
        <v>1292000000000</v>
      </c>
      <c r="AB36">
        <v>1472441311897</v>
      </c>
      <c r="AC36">
        <v>1498911619273</v>
      </c>
      <c r="AD36">
        <v>1320841801794</v>
      </c>
      <c r="AE36">
        <v>1532897136597</v>
      </c>
      <c r="AF36" t="s">
        <v>34</v>
      </c>
      <c r="AG36">
        <f t="shared" si="0"/>
        <v>958549697658.53845</v>
      </c>
      <c r="AI36" s="7">
        <f t="shared" si="1"/>
        <v>6.8490888410333373</v>
      </c>
      <c r="AK36" s="7">
        <f t="shared" si="2"/>
        <v>2.3225539500524324</v>
      </c>
      <c r="AM36" s="7">
        <f t="shared" si="3"/>
        <v>4.1975948232901636</v>
      </c>
    </row>
    <row r="37" spans="1:39" x14ac:dyDescent="0.3">
      <c r="A37" t="s">
        <v>501</v>
      </c>
      <c r="B37" s="1" t="s">
        <v>502</v>
      </c>
      <c r="C37" t="s">
        <v>104</v>
      </c>
      <c r="D37" s="1" t="s">
        <v>105</v>
      </c>
      <c r="E37">
        <v>28373000000</v>
      </c>
      <c r="F37">
        <v>29721000000</v>
      </c>
      <c r="G37">
        <v>32223000000</v>
      </c>
      <c r="H37">
        <v>32750000000</v>
      </c>
      <c r="I37">
        <v>33934000000</v>
      </c>
      <c r="J37">
        <v>35874000000</v>
      </c>
      <c r="K37">
        <v>36886000000</v>
      </c>
      <c r="L37">
        <v>40122000000</v>
      </c>
      <c r="M37">
        <v>42169000000</v>
      </c>
      <c r="N37">
        <v>43701000000</v>
      </c>
      <c r="O37">
        <v>45281000000</v>
      </c>
      <c r="P37">
        <v>44772000000</v>
      </c>
      <c r="Q37">
        <v>44268000000</v>
      </c>
      <c r="R37">
        <v>39730000000</v>
      </c>
      <c r="S37">
        <v>40809000000</v>
      </c>
      <c r="T37">
        <v>43103000000</v>
      </c>
      <c r="U37">
        <v>43547000000</v>
      </c>
      <c r="V37">
        <v>43800000000</v>
      </c>
      <c r="W37">
        <v>45041000000</v>
      </c>
      <c r="X37">
        <v>47416000000</v>
      </c>
      <c r="Y37">
        <v>49051000000</v>
      </c>
      <c r="Z37">
        <v>50428000000</v>
      </c>
      <c r="AA37">
        <v>53913000000</v>
      </c>
      <c r="AB37">
        <v>55967000000</v>
      </c>
      <c r="AC37">
        <v>58114000000</v>
      </c>
      <c r="AD37">
        <v>56506000000</v>
      </c>
      <c r="AE37">
        <v>64606000000</v>
      </c>
      <c r="AF37">
        <v>72107000000</v>
      </c>
      <c r="AG37">
        <f t="shared" si="0"/>
        <v>44793285714.285713</v>
      </c>
      <c r="AI37" s="7">
        <f t="shared" si="1"/>
        <v>2.7428266813205955</v>
      </c>
      <c r="AK37" s="7">
        <f t="shared" si="2"/>
        <v>0.24116830614708989</v>
      </c>
      <c r="AM37" s="7">
        <f t="shared" si="3"/>
        <v>9.9209641781121505</v>
      </c>
    </row>
    <row r="38" spans="1:39" x14ac:dyDescent="0.3">
      <c r="A38" t="s">
        <v>501</v>
      </c>
      <c r="B38" s="1" t="s">
        <v>502</v>
      </c>
      <c r="C38" t="s">
        <v>106</v>
      </c>
      <c r="D38" s="1" t="s">
        <v>107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34</v>
      </c>
      <c r="AF38" t="s">
        <v>34</v>
      </c>
      <c r="AG38" t="str">
        <f t="shared" si="0"/>
        <v>NA</v>
      </c>
      <c r="AI38" s="7" t="str">
        <f t="shared" si="1"/>
        <v>NA</v>
      </c>
      <c r="AK38" s="7" t="str">
        <f t="shared" si="2"/>
        <v>NA</v>
      </c>
      <c r="AM38" s="7" t="str">
        <f t="shared" si="3"/>
        <v>NA</v>
      </c>
    </row>
    <row r="39" spans="1:39" x14ac:dyDescent="0.3">
      <c r="A39" t="s">
        <v>501</v>
      </c>
      <c r="B39" s="1" t="s">
        <v>502</v>
      </c>
      <c r="C39" t="s">
        <v>108</v>
      </c>
      <c r="D39" s="1" t="s">
        <v>109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>
        <v>17241489275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>
        <v>46617690698</v>
      </c>
      <c r="AD39">
        <v>65594805180.5</v>
      </c>
      <c r="AE39">
        <v>60260364173</v>
      </c>
      <c r="AF39" t="s">
        <v>34</v>
      </c>
      <c r="AG39">
        <f t="shared" si="0"/>
        <v>47428587331.625</v>
      </c>
      <c r="AI39" s="7">
        <f t="shared" si="1"/>
        <v>5.1847997397259329</v>
      </c>
      <c r="AK39" s="7">
        <f t="shared" si="2"/>
        <v>2.766907914041246</v>
      </c>
      <c r="AM39" s="7">
        <f t="shared" si="3"/>
        <v>2.3348733695122208</v>
      </c>
    </row>
    <row r="40" spans="1:39" x14ac:dyDescent="0.3">
      <c r="A40" t="s">
        <v>501</v>
      </c>
      <c r="B40" s="1" t="s">
        <v>502</v>
      </c>
      <c r="C40" t="s">
        <v>110</v>
      </c>
      <c r="D40" s="1" t="s">
        <v>111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  <c r="AG40" t="str">
        <f t="shared" si="0"/>
        <v>NA</v>
      </c>
      <c r="AI40" s="7" t="str">
        <f t="shared" si="1"/>
        <v>NA</v>
      </c>
      <c r="AK40" s="7" t="str">
        <f t="shared" si="2"/>
        <v>NA</v>
      </c>
      <c r="AM40" s="7" t="str">
        <f t="shared" si="3"/>
        <v>NA</v>
      </c>
    </row>
    <row r="41" spans="1:39" x14ac:dyDescent="0.3">
      <c r="A41" t="s">
        <v>501</v>
      </c>
      <c r="B41" s="1" t="s">
        <v>502</v>
      </c>
      <c r="C41" t="s">
        <v>112</v>
      </c>
      <c r="D41" s="1" t="s">
        <v>113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 t="s">
        <v>34</v>
      </c>
      <c r="AG41" t="str">
        <f t="shared" si="0"/>
        <v>NA</v>
      </c>
      <c r="AI41" s="7" t="str">
        <f t="shared" si="1"/>
        <v>NA</v>
      </c>
      <c r="AK41" s="7" t="str">
        <f t="shared" si="2"/>
        <v>NA</v>
      </c>
      <c r="AM41" s="7" t="str">
        <f t="shared" si="3"/>
        <v>NA</v>
      </c>
    </row>
    <row r="42" spans="1:39" x14ac:dyDescent="0.3">
      <c r="A42" t="s">
        <v>501</v>
      </c>
      <c r="B42" s="1" t="s">
        <v>502</v>
      </c>
      <c r="C42" t="s">
        <v>114</v>
      </c>
      <c r="D42" s="1" t="s">
        <v>115</v>
      </c>
      <c r="E42">
        <v>2604820000000</v>
      </c>
      <c r="F42">
        <v>3066430000000</v>
      </c>
      <c r="G42">
        <v>3395780000000</v>
      </c>
      <c r="H42">
        <v>3585480000000</v>
      </c>
      <c r="I42">
        <v>3629350000000</v>
      </c>
      <c r="J42">
        <v>4133360000000</v>
      </c>
      <c r="K42">
        <v>4438730000000</v>
      </c>
      <c r="L42">
        <v>4803990000000</v>
      </c>
      <c r="M42">
        <v>5191940000000</v>
      </c>
      <c r="N42">
        <v>5807570000000</v>
      </c>
      <c r="O42">
        <v>6499000000000</v>
      </c>
      <c r="P42">
        <v>6894000000000</v>
      </c>
      <c r="Q42">
        <v>8081956000000</v>
      </c>
      <c r="R42">
        <v>8987497000000</v>
      </c>
      <c r="S42">
        <v>8424530000000</v>
      </c>
      <c r="T42">
        <v>10759883000000</v>
      </c>
      <c r="U42">
        <v>12109275514000</v>
      </c>
      <c r="V42">
        <v>12436769000000</v>
      </c>
      <c r="W42">
        <v>14089800000000</v>
      </c>
      <c r="X42">
        <v>15048086065920</v>
      </c>
      <c r="Y42">
        <v>16281146774000</v>
      </c>
      <c r="Z42">
        <v>17498066663000</v>
      </c>
      <c r="AA42">
        <v>19047205000000</v>
      </c>
      <c r="AB42">
        <v>19705850892630</v>
      </c>
      <c r="AC42">
        <v>18888751432350</v>
      </c>
      <c r="AD42">
        <v>19740091747900</v>
      </c>
      <c r="AE42">
        <v>26985427586430</v>
      </c>
      <c r="AF42" t="s">
        <v>34</v>
      </c>
      <c r="AG42">
        <f t="shared" si="0"/>
        <v>10449436543564.074</v>
      </c>
      <c r="AI42" s="7">
        <f t="shared" si="1"/>
        <v>9.447212460832846</v>
      </c>
      <c r="AK42" s="7">
        <f t="shared" si="2"/>
        <v>0.34229695887667866</v>
      </c>
      <c r="AM42" s="7">
        <f t="shared" si="3"/>
        <v>6.3054997406791244</v>
      </c>
    </row>
    <row r="43" spans="1:39" x14ac:dyDescent="0.3">
      <c r="A43" t="s">
        <v>501</v>
      </c>
      <c r="B43" s="1" t="s">
        <v>502</v>
      </c>
      <c r="C43" t="s">
        <v>116</v>
      </c>
      <c r="D43" s="1" t="s">
        <v>117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>
        <v>1455981640000</v>
      </c>
      <c r="P43">
        <v>1306490000000</v>
      </c>
      <c r="Q43">
        <v>1738222520000</v>
      </c>
      <c r="R43">
        <v>2105028000000</v>
      </c>
      <c r="S43">
        <v>2443669999800</v>
      </c>
      <c r="T43">
        <v>2933319162828.96</v>
      </c>
      <c r="U43">
        <v>3407197000000</v>
      </c>
      <c r="V43">
        <v>3679180000000</v>
      </c>
      <c r="W43">
        <v>3766687010000</v>
      </c>
      <c r="X43">
        <v>3911535720000</v>
      </c>
      <c r="Y43">
        <v>3902294220000</v>
      </c>
      <c r="Z43">
        <v>4053539912503.6602</v>
      </c>
      <c r="AA43">
        <v>4750865511813.29</v>
      </c>
      <c r="AB43">
        <v>4961410558200</v>
      </c>
      <c r="AC43">
        <v>5071370380000</v>
      </c>
      <c r="AD43">
        <v>4910425350000</v>
      </c>
      <c r="AE43">
        <v>5361119640000</v>
      </c>
      <c r="AF43" t="s">
        <v>34</v>
      </c>
      <c r="AG43">
        <f t="shared" si="0"/>
        <v>3515196272067.4067</v>
      </c>
      <c r="AI43" s="7">
        <f t="shared" si="1"/>
        <v>7.8198475454829364</v>
      </c>
      <c r="AK43" s="7">
        <f t="shared" si="2"/>
        <v>0.46575801137573059</v>
      </c>
      <c r="AM43" s="7">
        <f t="shared" si="3"/>
        <v>4.1425574227222377</v>
      </c>
    </row>
    <row r="44" spans="1:39" x14ac:dyDescent="0.3">
      <c r="A44" t="s">
        <v>501</v>
      </c>
      <c r="B44" s="1" t="s">
        <v>502</v>
      </c>
      <c r="C44" t="s">
        <v>118</v>
      </c>
      <c r="D44" s="1" t="s">
        <v>119</v>
      </c>
      <c r="E44" t="s">
        <v>34</v>
      </c>
      <c r="F44" t="s">
        <v>34</v>
      </c>
      <c r="G44" t="s">
        <v>34</v>
      </c>
      <c r="H44">
        <v>7048245000000</v>
      </c>
      <c r="I44" t="s">
        <v>34</v>
      </c>
      <c r="J44" t="s">
        <v>34</v>
      </c>
      <c r="K44" t="s">
        <v>34</v>
      </c>
      <c r="L44" t="s">
        <v>34</v>
      </c>
      <c r="M44">
        <v>15126816114120.1</v>
      </c>
      <c r="N44" t="s">
        <v>34</v>
      </c>
      <c r="O44" t="s">
        <v>34</v>
      </c>
      <c r="P44" t="s">
        <v>34</v>
      </c>
      <c r="Q44" t="s">
        <v>34</v>
      </c>
      <c r="R44">
        <v>30832966000000</v>
      </c>
      <c r="S44">
        <v>29454028000000</v>
      </c>
      <c r="T44">
        <v>33010918000000</v>
      </c>
      <c r="U44">
        <v>38826137000000</v>
      </c>
      <c r="V44">
        <v>41420911000000</v>
      </c>
      <c r="W44">
        <v>46076455000000</v>
      </c>
      <c r="X44">
        <v>52146200444124.5</v>
      </c>
      <c r="Y44">
        <v>55441002165049.703</v>
      </c>
      <c r="Z44">
        <v>56456011092439.5</v>
      </c>
      <c r="AA44">
        <v>58722469093334.5</v>
      </c>
      <c r="AB44">
        <v>64140593284744.703</v>
      </c>
      <c r="AC44">
        <v>78141065385570.203</v>
      </c>
      <c r="AD44">
        <v>67921580663508.5</v>
      </c>
      <c r="AE44">
        <v>86415520170789.297</v>
      </c>
      <c r="AF44">
        <v>113253757652851</v>
      </c>
      <c r="AG44">
        <f t="shared" si="0"/>
        <v>51437333886266.586</v>
      </c>
      <c r="AI44" s="7">
        <f t="shared" si="1"/>
        <v>9.2435083951654864</v>
      </c>
      <c r="AK44" s="7">
        <f t="shared" si="2"/>
        <v>0.72767807688595298</v>
      </c>
      <c r="AM44" s="7">
        <f t="shared" si="3"/>
        <v>7.4433927129524227</v>
      </c>
    </row>
    <row r="45" spans="1:39" x14ac:dyDescent="0.3">
      <c r="A45" t="s">
        <v>501</v>
      </c>
      <c r="B45" s="1" t="s">
        <v>502</v>
      </c>
      <c r="C45" t="s">
        <v>120</v>
      </c>
      <c r="D45" s="1" t="s">
        <v>121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34</v>
      </c>
      <c r="AG45" t="str">
        <f t="shared" si="0"/>
        <v>NA</v>
      </c>
      <c r="AI45" s="7" t="str">
        <f t="shared" si="1"/>
        <v>NA</v>
      </c>
      <c r="AK45" s="7" t="str">
        <f t="shared" si="2"/>
        <v>NA</v>
      </c>
      <c r="AM45" s="7" t="str">
        <f t="shared" si="3"/>
        <v>NA</v>
      </c>
    </row>
    <row r="46" spans="1:39" x14ac:dyDescent="0.3">
      <c r="A46" t="s">
        <v>501</v>
      </c>
      <c r="B46" s="1" t="s">
        <v>502</v>
      </c>
      <c r="C46" t="s">
        <v>122</v>
      </c>
      <c r="D46" s="1" t="s">
        <v>123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34</v>
      </c>
      <c r="AG46" t="str">
        <f t="shared" si="0"/>
        <v>NA</v>
      </c>
      <c r="AI46" s="7" t="str">
        <f t="shared" si="1"/>
        <v>NA</v>
      </c>
      <c r="AK46" s="7" t="str">
        <f t="shared" si="2"/>
        <v>NA</v>
      </c>
      <c r="AM46" s="7" t="str">
        <f t="shared" si="3"/>
        <v>NA</v>
      </c>
    </row>
    <row r="47" spans="1:39" x14ac:dyDescent="0.3">
      <c r="A47" t="s">
        <v>501</v>
      </c>
      <c r="B47" s="1" t="s">
        <v>502</v>
      </c>
      <c r="C47" t="s">
        <v>124</v>
      </c>
      <c r="D47" s="1" t="s">
        <v>125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>
        <v>142500000000</v>
      </c>
      <c r="L47">
        <v>135300000000</v>
      </c>
      <c r="M47">
        <v>102400000000</v>
      </c>
      <c r="N47">
        <v>87100098179</v>
      </c>
      <c r="O47">
        <v>92148533157</v>
      </c>
      <c r="P47">
        <v>94900000000</v>
      </c>
      <c r="Q47">
        <v>111798000000</v>
      </c>
      <c r="R47">
        <v>124221000000</v>
      </c>
      <c r="S47">
        <v>175417000000</v>
      </c>
      <c r="T47">
        <v>197860000000</v>
      </c>
      <c r="U47">
        <v>280306065756</v>
      </c>
      <c r="V47">
        <v>293264902491</v>
      </c>
      <c r="W47">
        <v>309941523413</v>
      </c>
      <c r="X47">
        <v>356374746685</v>
      </c>
      <c r="Y47">
        <v>345302700000</v>
      </c>
      <c r="Z47">
        <v>346189900000</v>
      </c>
      <c r="AA47">
        <v>255779723659</v>
      </c>
      <c r="AB47">
        <v>212512828108</v>
      </c>
      <c r="AC47">
        <v>228304084143</v>
      </c>
      <c r="AD47">
        <v>220251384974</v>
      </c>
      <c r="AE47" t="s">
        <v>34</v>
      </c>
      <c r="AF47" t="s">
        <v>34</v>
      </c>
      <c r="AG47">
        <f t="shared" si="0"/>
        <v>205593624528.25</v>
      </c>
      <c r="AI47" s="7">
        <f t="shared" si="1"/>
        <v>4.0723336969321844</v>
      </c>
      <c r="AK47" s="7">
        <f t="shared" si="2"/>
        <v>1.6156456940034951</v>
      </c>
      <c r="AM47" s="7">
        <f t="shared" si="3"/>
        <v>3.8587380312574835</v>
      </c>
    </row>
    <row r="48" spans="1:39" x14ac:dyDescent="0.3">
      <c r="A48" t="s">
        <v>501</v>
      </c>
      <c r="B48" s="1" t="s">
        <v>502</v>
      </c>
      <c r="C48" t="s">
        <v>126</v>
      </c>
      <c r="D48" s="1" t="s">
        <v>127</v>
      </c>
      <c r="E48">
        <v>138690000000</v>
      </c>
      <c r="F48">
        <v>200250000000</v>
      </c>
      <c r="G48">
        <v>241690000000</v>
      </c>
      <c r="H48">
        <v>296580000000</v>
      </c>
      <c r="I48">
        <v>348800000000</v>
      </c>
      <c r="J48">
        <v>408100000000</v>
      </c>
      <c r="K48">
        <v>479700000000</v>
      </c>
      <c r="L48" t="s">
        <v>34</v>
      </c>
      <c r="M48" t="s">
        <v>34</v>
      </c>
      <c r="N48">
        <v>692346000000</v>
      </c>
      <c r="O48">
        <v>827846000000</v>
      </c>
      <c r="P48">
        <v>1021844450389.5699</v>
      </c>
      <c r="Q48">
        <v>1287498353020.21</v>
      </c>
      <c r="R48">
        <v>1485412702151.3601</v>
      </c>
      <c r="S48">
        <v>1361562568108.3101</v>
      </c>
      <c r="T48">
        <v>1498329103548.1399</v>
      </c>
      <c r="U48">
        <v>1695100369954.5</v>
      </c>
      <c r="V48">
        <v>1828096139314.6499</v>
      </c>
      <c r="W48">
        <v>1962940000000</v>
      </c>
      <c r="X48">
        <v>2078647908262.22</v>
      </c>
      <c r="Y48">
        <v>2246269653907.2598</v>
      </c>
      <c r="Z48">
        <v>2378366343317.7002</v>
      </c>
      <c r="AA48">
        <v>2433875651799.3599</v>
      </c>
      <c r="AB48">
        <v>2479912891630.1802</v>
      </c>
      <c r="AC48">
        <v>2627740715555.8501</v>
      </c>
      <c r="AD48">
        <v>2440837267713.6201</v>
      </c>
      <c r="AE48">
        <v>3017453054358.3799</v>
      </c>
      <c r="AF48" t="s">
        <v>34</v>
      </c>
      <c r="AG48">
        <f t="shared" si="0"/>
        <v>1419115566921.2524</v>
      </c>
      <c r="AI48" s="7">
        <f t="shared" si="1"/>
        <v>7.5611044754904864</v>
      </c>
      <c r="AK48" s="7">
        <f t="shared" si="2"/>
        <v>1.144549379528363</v>
      </c>
      <c r="AM48" s="7">
        <f t="shared" si="3"/>
        <v>3.6775852927446122</v>
      </c>
    </row>
    <row r="49" spans="1:39" x14ac:dyDescent="0.3">
      <c r="A49" t="s">
        <v>501</v>
      </c>
      <c r="B49" s="1" t="s">
        <v>502</v>
      </c>
      <c r="C49" t="s">
        <v>128</v>
      </c>
      <c r="D49" s="1" t="s">
        <v>129</v>
      </c>
      <c r="E49">
        <v>163700000000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>
        <v>295500000000</v>
      </c>
      <c r="L49">
        <v>296400000000</v>
      </c>
      <c r="M49">
        <v>254100000000</v>
      </c>
      <c r="N49">
        <v>255900000000</v>
      </c>
      <c r="O49">
        <v>282400000000</v>
      </c>
      <c r="P49">
        <v>275000000000</v>
      </c>
      <c r="Q49">
        <v>270800000000</v>
      </c>
      <c r="R49">
        <v>348460000000</v>
      </c>
      <c r="S49">
        <v>494228000000</v>
      </c>
      <c r="T49">
        <v>444782000000</v>
      </c>
      <c r="U49">
        <v>329545000000</v>
      </c>
      <c r="V49">
        <v>549899000000</v>
      </c>
      <c r="W49">
        <v>556858000000</v>
      </c>
      <c r="X49">
        <v>605494246422.40002</v>
      </c>
      <c r="Y49">
        <v>1206345980953.6001</v>
      </c>
      <c r="Z49">
        <v>1333894502983</v>
      </c>
      <c r="AA49">
        <v>1426227274730.3799</v>
      </c>
      <c r="AB49">
        <v>1537998178568.05</v>
      </c>
      <c r="AC49">
        <v>1681454657762.45</v>
      </c>
      <c r="AD49">
        <v>1878997823214.6001</v>
      </c>
      <c r="AE49">
        <v>2155542436665.25</v>
      </c>
      <c r="AF49" t="s">
        <v>34</v>
      </c>
      <c r="AG49">
        <f t="shared" si="0"/>
        <v>756523959149.98767</v>
      </c>
      <c r="AI49" s="7">
        <f t="shared" si="1"/>
        <v>3.833693710039801</v>
      </c>
      <c r="AK49" s="7">
        <f t="shared" si="2"/>
        <v>4.3561805140322312</v>
      </c>
      <c r="AM49" s="7">
        <f t="shared" si="3"/>
        <v>2.8785341121701782</v>
      </c>
    </row>
    <row r="50" spans="1:39" x14ac:dyDescent="0.3">
      <c r="A50" t="s">
        <v>501</v>
      </c>
      <c r="B50" s="1" t="s">
        <v>502</v>
      </c>
      <c r="C50" t="s">
        <v>130</v>
      </c>
      <c r="D50" s="1" t="s">
        <v>131</v>
      </c>
      <c r="E50">
        <v>2438171000</v>
      </c>
      <c r="F50">
        <v>2610312000</v>
      </c>
      <c r="G50">
        <v>2840045000</v>
      </c>
      <c r="H50">
        <v>3586609000</v>
      </c>
      <c r="I50">
        <v>3568007000</v>
      </c>
      <c r="J50">
        <v>4043511000</v>
      </c>
      <c r="K50">
        <v>4330759000</v>
      </c>
      <c r="L50">
        <v>5000553000</v>
      </c>
      <c r="M50">
        <v>5434487000</v>
      </c>
      <c r="N50">
        <v>5706543000</v>
      </c>
      <c r="O50">
        <v>6100087000</v>
      </c>
      <c r="P50">
        <v>6647152000</v>
      </c>
      <c r="Q50">
        <v>7079213000</v>
      </c>
      <c r="R50">
        <v>7590647000</v>
      </c>
      <c r="S50">
        <v>6914721000</v>
      </c>
      <c r="T50">
        <v>7122193000</v>
      </c>
      <c r="U50">
        <v>7022725000</v>
      </c>
      <c r="V50">
        <v>7388767000</v>
      </c>
      <c r="W50">
        <v>7690652000</v>
      </c>
      <c r="X50">
        <v>7774790000</v>
      </c>
      <c r="Y50">
        <v>8225355000</v>
      </c>
      <c r="Z50">
        <v>8585611000</v>
      </c>
      <c r="AA50">
        <v>9076298000</v>
      </c>
      <c r="AB50">
        <v>9676364000</v>
      </c>
      <c r="AC50">
        <v>10261628000</v>
      </c>
      <c r="AD50">
        <v>8963027000</v>
      </c>
      <c r="AE50">
        <v>10506875000</v>
      </c>
      <c r="AF50" t="s">
        <v>34</v>
      </c>
      <c r="AG50">
        <f t="shared" si="0"/>
        <v>6525374148.1481485</v>
      </c>
      <c r="AI50" s="7">
        <f t="shared" si="1"/>
        <v>16.609941548232875</v>
      </c>
      <c r="AK50" s="7">
        <f t="shared" si="2"/>
        <v>0.67552121083322847</v>
      </c>
      <c r="AM50" s="7">
        <f t="shared" si="3"/>
        <v>2.8075052817946711</v>
      </c>
    </row>
    <row r="51" spans="1:39" x14ac:dyDescent="0.3">
      <c r="A51" t="s">
        <v>501</v>
      </c>
      <c r="B51" s="1" t="s">
        <v>502</v>
      </c>
      <c r="C51" t="s">
        <v>132</v>
      </c>
      <c r="D51" s="1" t="s">
        <v>133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 t="s">
        <v>34</v>
      </c>
      <c r="AG51" t="str">
        <f t="shared" si="0"/>
        <v>NA</v>
      </c>
      <c r="AI51" s="7" t="str">
        <f t="shared" si="1"/>
        <v>NA</v>
      </c>
      <c r="AK51" s="7" t="str">
        <f t="shared" si="2"/>
        <v>NA</v>
      </c>
      <c r="AM51" s="7" t="str">
        <f t="shared" si="3"/>
        <v>NA</v>
      </c>
    </row>
    <row r="52" spans="1:39" x14ac:dyDescent="0.3">
      <c r="A52" t="s">
        <v>501</v>
      </c>
      <c r="B52" s="1" t="s">
        <v>502</v>
      </c>
      <c r="C52" t="s">
        <v>134</v>
      </c>
      <c r="D52" s="1" t="s">
        <v>135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tr">
        <f t="shared" si="0"/>
        <v>NA</v>
      </c>
      <c r="AI52" s="7" t="str">
        <f t="shared" si="1"/>
        <v>NA</v>
      </c>
      <c r="AK52" s="7" t="str">
        <f t="shared" si="2"/>
        <v>NA</v>
      </c>
      <c r="AM52" s="7" t="str">
        <f t="shared" si="3"/>
        <v>NA</v>
      </c>
    </row>
    <row r="53" spans="1:39" x14ac:dyDescent="0.3">
      <c r="A53" t="s">
        <v>501</v>
      </c>
      <c r="B53" s="1" t="s">
        <v>502</v>
      </c>
      <c r="C53" t="s">
        <v>136</v>
      </c>
      <c r="D53" s="1" t="s">
        <v>137</v>
      </c>
      <c r="E53">
        <v>1072318264.6076881</v>
      </c>
      <c r="F53">
        <v>1106490293.4352117</v>
      </c>
      <c r="G53">
        <v>1114862440.4979548</v>
      </c>
      <c r="H53">
        <v>1317502571.4451694</v>
      </c>
      <c r="I53">
        <v>1379524803.7671247</v>
      </c>
      <c r="J53">
        <v>1748240994.8161035</v>
      </c>
      <c r="K53">
        <v>1965745958.3032906</v>
      </c>
      <c r="L53">
        <v>2078855373.7223935</v>
      </c>
      <c r="M53">
        <v>2625607834.96277</v>
      </c>
      <c r="N53">
        <v>3071723671.3060894</v>
      </c>
      <c r="O53">
        <v>3383201714.0689664</v>
      </c>
      <c r="P53">
        <v>3678789763.4270449</v>
      </c>
      <c r="Q53">
        <v>4194103958.1460996</v>
      </c>
      <c r="R53">
        <v>4543000372.4751148</v>
      </c>
      <c r="S53">
        <v>2319600000</v>
      </c>
      <c r="T53">
        <v>2401300000</v>
      </c>
      <c r="U53">
        <v>2362100000</v>
      </c>
      <c r="V53">
        <v>2415900000</v>
      </c>
      <c r="W53">
        <v>2210500000</v>
      </c>
      <c r="X53">
        <v>2364800000</v>
      </c>
      <c r="Y53">
        <v>2366700000</v>
      </c>
      <c r="Z53">
        <v>2515500000</v>
      </c>
      <c r="AA53">
        <v>2653600000</v>
      </c>
      <c r="AB53">
        <v>2895149000</v>
      </c>
      <c r="AC53">
        <v>2977400000</v>
      </c>
      <c r="AD53">
        <v>2589800000</v>
      </c>
      <c r="AE53">
        <v>3028600000</v>
      </c>
      <c r="AF53" t="s">
        <v>34</v>
      </c>
      <c r="AG53">
        <f t="shared" si="0"/>
        <v>2458552482.036334</v>
      </c>
      <c r="AI53" s="7">
        <f t="shared" si="1"/>
        <v>14.960180750500452</v>
      </c>
      <c r="AK53" s="7">
        <f t="shared" si="2"/>
        <v>0.49656062341690754</v>
      </c>
      <c r="AM53" s="7">
        <f t="shared" si="3"/>
        <v>11.159525016337776</v>
      </c>
    </row>
    <row r="54" spans="1:39" x14ac:dyDescent="0.3">
      <c r="A54" t="s">
        <v>501</v>
      </c>
      <c r="B54" s="1" t="s">
        <v>502</v>
      </c>
      <c r="C54" t="s">
        <v>138</v>
      </c>
      <c r="D54" s="1" t="s">
        <v>139</v>
      </c>
      <c r="E54">
        <v>161054000000</v>
      </c>
      <c r="F54">
        <v>182868000000</v>
      </c>
      <c r="G54">
        <v>193252000000</v>
      </c>
      <c r="H54">
        <v>204846000000</v>
      </c>
      <c r="I54">
        <v>229057000000</v>
      </c>
      <c r="J54">
        <v>234141000000</v>
      </c>
      <c r="K54">
        <v>218103000000</v>
      </c>
      <c r="L54">
        <v>221493000000</v>
      </c>
      <c r="M54">
        <v>235090000000</v>
      </c>
      <c r="N54">
        <v>277981000000</v>
      </c>
      <c r="O54">
        <v>284990000000</v>
      </c>
      <c r="P54">
        <v>296428000000</v>
      </c>
      <c r="Q54">
        <v>334931000000</v>
      </c>
      <c r="R54">
        <v>337210000000</v>
      </c>
      <c r="S54">
        <v>345044000000</v>
      </c>
      <c r="T54">
        <v>358195000000</v>
      </c>
      <c r="U54">
        <v>393960000000</v>
      </c>
      <c r="V54">
        <v>412824000000</v>
      </c>
      <c r="W54">
        <v>425882000000</v>
      </c>
      <c r="X54">
        <v>413466000000</v>
      </c>
      <c r="Y54">
        <v>457326000000</v>
      </c>
      <c r="Z54">
        <v>470801000000</v>
      </c>
      <c r="AA54">
        <v>498064000000</v>
      </c>
      <c r="AB54">
        <v>506248000000</v>
      </c>
      <c r="AC54">
        <v>536677000000</v>
      </c>
      <c r="AD54">
        <v>505581000000</v>
      </c>
      <c r="AE54">
        <v>528342000000</v>
      </c>
      <c r="AF54" t="s">
        <v>34</v>
      </c>
      <c r="AG54">
        <f t="shared" si="0"/>
        <v>343105703703.70367</v>
      </c>
      <c r="AI54" s="7">
        <f t="shared" si="1"/>
        <v>8.977546772311884</v>
      </c>
      <c r="AK54" s="7">
        <f t="shared" si="2"/>
        <v>0.32758997189895528</v>
      </c>
      <c r="AM54" s="7">
        <f t="shared" si="3"/>
        <v>4.991855358920537</v>
      </c>
    </row>
    <row r="55" spans="1:39" x14ac:dyDescent="0.3">
      <c r="A55" t="s">
        <v>501</v>
      </c>
      <c r="B55" s="1" t="s">
        <v>502</v>
      </c>
      <c r="C55" t="s">
        <v>140</v>
      </c>
      <c r="D55" s="1" t="s">
        <v>141</v>
      </c>
      <c r="E55">
        <v>153731000000</v>
      </c>
      <c r="F55">
        <v>165823000000</v>
      </c>
      <c r="G55">
        <v>175411000000</v>
      </c>
      <c r="H55">
        <v>190970000000</v>
      </c>
      <c r="I55">
        <v>199946000000</v>
      </c>
      <c r="J55">
        <v>202909000000</v>
      </c>
      <c r="K55">
        <v>209354000000</v>
      </c>
      <c r="L55">
        <v>218153000000</v>
      </c>
      <c r="M55">
        <v>219494000000</v>
      </c>
      <c r="N55">
        <v>232863000000</v>
      </c>
      <c r="O55">
        <v>249502000000</v>
      </c>
      <c r="P55">
        <v>263096000000</v>
      </c>
      <c r="Q55">
        <v>277904000000</v>
      </c>
      <c r="R55">
        <v>268968000000</v>
      </c>
      <c r="S55">
        <v>255277000000</v>
      </c>
      <c r="T55">
        <v>264440000000</v>
      </c>
      <c r="U55">
        <v>270457000000</v>
      </c>
      <c r="V55">
        <v>278525000000</v>
      </c>
      <c r="W55">
        <v>279880000000</v>
      </c>
      <c r="X55">
        <v>281603000000</v>
      </c>
      <c r="Y55">
        <v>289320000000</v>
      </c>
      <c r="Z55">
        <v>299951000000</v>
      </c>
      <c r="AA55">
        <v>307953000000</v>
      </c>
      <c r="AB55">
        <v>318695000000</v>
      </c>
      <c r="AC55">
        <v>316302000000</v>
      </c>
      <c r="AD55">
        <v>324118000000</v>
      </c>
      <c r="AE55">
        <v>336382000000</v>
      </c>
      <c r="AF55" t="s">
        <v>34</v>
      </c>
      <c r="AG55">
        <f t="shared" si="0"/>
        <v>253741740740.74075</v>
      </c>
      <c r="AI55" s="7">
        <f t="shared" si="1"/>
        <v>14.397135640974605</v>
      </c>
      <c r="AK55" s="7">
        <f t="shared" si="2"/>
        <v>2.0085721813158128E-2</v>
      </c>
      <c r="AM55" s="7">
        <f t="shared" si="3"/>
        <v>16.243639289367799</v>
      </c>
    </row>
    <row r="56" spans="1:39" x14ac:dyDescent="0.3">
      <c r="A56" t="s">
        <v>501</v>
      </c>
      <c r="B56" s="1" t="s">
        <v>502</v>
      </c>
      <c r="C56" t="s">
        <v>142</v>
      </c>
      <c r="D56" s="1" t="s">
        <v>143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tr">
        <f t="shared" si="0"/>
        <v>NA</v>
      </c>
      <c r="AI56" s="7" t="str">
        <f t="shared" si="1"/>
        <v>NA</v>
      </c>
      <c r="AK56" s="7" t="str">
        <f t="shared" si="2"/>
        <v>NA</v>
      </c>
      <c r="AM56" s="7" t="str">
        <f t="shared" si="3"/>
        <v>NA</v>
      </c>
    </row>
    <row r="57" spans="1:39" x14ac:dyDescent="0.3">
      <c r="A57" t="s">
        <v>501</v>
      </c>
      <c r="B57" s="1" t="s">
        <v>502</v>
      </c>
      <c r="C57" t="s">
        <v>144</v>
      </c>
      <c r="D57" s="1" t="s">
        <v>145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tr">
        <f t="shared" si="0"/>
        <v>NA</v>
      </c>
      <c r="AI57" s="7" t="str">
        <f t="shared" si="1"/>
        <v>NA</v>
      </c>
      <c r="AK57" s="7" t="str">
        <f t="shared" si="2"/>
        <v>NA</v>
      </c>
      <c r="AM57" s="7" t="str">
        <f t="shared" si="3"/>
        <v>NA</v>
      </c>
    </row>
    <row r="58" spans="1:39" x14ac:dyDescent="0.3">
      <c r="A58" t="s">
        <v>501</v>
      </c>
      <c r="B58" s="1" t="s">
        <v>502</v>
      </c>
      <c r="C58" t="s">
        <v>146</v>
      </c>
      <c r="D58" s="1" t="s">
        <v>147</v>
      </c>
      <c r="E58">
        <v>8949100000</v>
      </c>
      <c r="F58">
        <v>9480000000</v>
      </c>
      <c r="G58">
        <v>12717900000</v>
      </c>
      <c r="H58">
        <v>14550600000</v>
      </c>
      <c r="I58">
        <v>13832900000</v>
      </c>
      <c r="J58">
        <v>14037800000</v>
      </c>
      <c r="K58">
        <v>22450056820.880001</v>
      </c>
      <c r="L58">
        <v>24985779907.310001</v>
      </c>
      <c r="M58">
        <v>35292878267.529999</v>
      </c>
      <c r="N58">
        <v>54785166742.080002</v>
      </c>
      <c r="O58">
        <v>78843889132.309998</v>
      </c>
      <c r="P58">
        <v>105908919206.62</v>
      </c>
      <c r="Q58">
        <v>137442908353</v>
      </c>
      <c r="R58">
        <v>150749532101.72299</v>
      </c>
      <c r="S58">
        <v>141945046642.20999</v>
      </c>
      <c r="T58">
        <v>163474040954.10001</v>
      </c>
      <c r="U58">
        <v>181845662473.26999</v>
      </c>
      <c r="V58">
        <v>193340000000</v>
      </c>
      <c r="W58">
        <v>219171207006.54001</v>
      </c>
      <c r="X58">
        <v>233514797799.91</v>
      </c>
      <c r="Y58">
        <v>241658942818.32001</v>
      </c>
      <c r="Z58">
        <v>261382312074.45001</v>
      </c>
      <c r="AA58">
        <v>284087836132.73999</v>
      </c>
      <c r="AB58">
        <v>335890594906.67999</v>
      </c>
      <c r="AC58">
        <v>366285908514.58002</v>
      </c>
      <c r="AD58">
        <v>324207263623.56</v>
      </c>
      <c r="AE58">
        <v>449638810049.67999</v>
      </c>
      <c r="AF58" t="s">
        <v>34</v>
      </c>
      <c r="AG58">
        <f t="shared" si="0"/>
        <v>151128513093.61087</v>
      </c>
      <c r="AI58" s="7">
        <f t="shared" si="1"/>
        <v>7.1732966065350894</v>
      </c>
      <c r="AK58" s="7">
        <f t="shared" si="2"/>
        <v>1.2330208130027411</v>
      </c>
      <c r="AM58" s="7">
        <f t="shared" si="3"/>
        <v>3.5359232888835446</v>
      </c>
    </row>
    <row r="59" spans="1:39" x14ac:dyDescent="0.3">
      <c r="A59" t="s">
        <v>501</v>
      </c>
      <c r="B59" s="1" t="s">
        <v>502</v>
      </c>
      <c r="C59" t="s">
        <v>148</v>
      </c>
      <c r="D59" s="1" t="s">
        <v>149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>
        <v>7181838743.8778095</v>
      </c>
      <c r="X59">
        <v>7601804610.6258097</v>
      </c>
      <c r="Y59">
        <v>7726031796.8394699</v>
      </c>
      <c r="Z59">
        <v>6812760125.2514095</v>
      </c>
      <c r="AA59">
        <v>7534681410.2116003</v>
      </c>
      <c r="AB59">
        <v>7751074039.67418</v>
      </c>
      <c r="AC59">
        <v>7571522700.7200499</v>
      </c>
      <c r="AD59">
        <v>6187583424.4760103</v>
      </c>
      <c r="AE59">
        <v>7090442590.8286104</v>
      </c>
      <c r="AF59">
        <v>7576048571.8200197</v>
      </c>
      <c r="AG59">
        <f t="shared" si="0"/>
        <v>7303378801.432497</v>
      </c>
      <c r="AI59" s="7">
        <f t="shared" si="1"/>
        <v>11.344057688487295</v>
      </c>
      <c r="AK59" s="7">
        <f t="shared" si="2"/>
        <v>3.904397215762994</v>
      </c>
      <c r="AM59" s="7">
        <f t="shared" si="3"/>
        <v>6.5308068780253485</v>
      </c>
    </row>
    <row r="60" spans="1:39" x14ac:dyDescent="0.3">
      <c r="A60" t="s">
        <v>501</v>
      </c>
      <c r="B60" s="1" t="s">
        <v>502</v>
      </c>
      <c r="C60" t="s">
        <v>150</v>
      </c>
      <c r="D60" s="1" t="s">
        <v>151</v>
      </c>
      <c r="E60">
        <v>9738000000</v>
      </c>
      <c r="F60">
        <v>10901000000</v>
      </c>
      <c r="G60">
        <v>11862000000</v>
      </c>
      <c r="H60" t="s">
        <v>34</v>
      </c>
      <c r="I60" t="s">
        <v>34</v>
      </c>
      <c r="J60" t="s">
        <v>34</v>
      </c>
      <c r="K60" t="s">
        <v>34</v>
      </c>
      <c r="L60">
        <v>21273000000</v>
      </c>
      <c r="M60">
        <v>23443000000</v>
      </c>
      <c r="N60">
        <v>26834000000</v>
      </c>
      <c r="O60">
        <v>31743000000</v>
      </c>
      <c r="P60">
        <v>35026500000</v>
      </c>
      <c r="Q60">
        <v>39896700000</v>
      </c>
      <c r="R60">
        <v>50281300000</v>
      </c>
      <c r="S60">
        <v>63196000000</v>
      </c>
      <c r="T60">
        <v>73509500000</v>
      </c>
      <c r="U60">
        <v>83390300000</v>
      </c>
      <c r="V60">
        <v>95169000000</v>
      </c>
      <c r="W60">
        <v>106829000000</v>
      </c>
      <c r="X60">
        <v>106719000000</v>
      </c>
      <c r="Y60">
        <v>140559000000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>
        <f t="shared" si="0"/>
        <v>54727664705.882355</v>
      </c>
      <c r="AI60" s="7">
        <f t="shared" si="1"/>
        <v>2.7817910059828481</v>
      </c>
      <c r="AK60" s="7">
        <f t="shared" si="2"/>
        <v>0.6110585574209606</v>
      </c>
      <c r="AM60" s="7">
        <f t="shared" si="3"/>
        <v>3.0492563112392479</v>
      </c>
    </row>
    <row r="61" spans="1:39" x14ac:dyDescent="0.3">
      <c r="A61" t="s">
        <v>501</v>
      </c>
      <c r="B61" s="1" t="s">
        <v>502</v>
      </c>
      <c r="C61" t="s">
        <v>152</v>
      </c>
      <c r="D61" s="1" t="s">
        <v>153</v>
      </c>
      <c r="E61" t="s">
        <v>34</v>
      </c>
      <c r="F61" t="s">
        <v>34</v>
      </c>
      <c r="G61" t="s">
        <v>34</v>
      </c>
      <c r="H61">
        <v>635560000</v>
      </c>
      <c r="I61">
        <v>632810000</v>
      </c>
      <c r="J61">
        <v>744210000</v>
      </c>
      <c r="K61">
        <v>859500000</v>
      </c>
      <c r="L61">
        <v>904300000</v>
      </c>
      <c r="M61">
        <v>1000500000</v>
      </c>
      <c r="N61">
        <v>1037500000</v>
      </c>
      <c r="O61">
        <v>1221900000</v>
      </c>
      <c r="P61">
        <v>1490800000</v>
      </c>
      <c r="Q61">
        <v>1678800000</v>
      </c>
      <c r="R61">
        <v>1802200000</v>
      </c>
      <c r="S61">
        <v>1440300000</v>
      </c>
      <c r="T61">
        <v>1660800000</v>
      </c>
      <c r="U61">
        <v>1692850000</v>
      </c>
      <c r="V61">
        <v>2092300000</v>
      </c>
      <c r="W61">
        <v>2179600000</v>
      </c>
      <c r="X61">
        <v>2209716310.6799998</v>
      </c>
      <c r="Y61">
        <v>2326532624.3699999</v>
      </c>
      <c r="Z61">
        <v>2318593592.48</v>
      </c>
      <c r="AA61">
        <v>2476691920.98</v>
      </c>
      <c r="AB61">
        <v>2656300000</v>
      </c>
      <c r="AC61">
        <v>2717600000</v>
      </c>
      <c r="AD61">
        <v>2513100000</v>
      </c>
      <c r="AE61">
        <v>3202500000</v>
      </c>
      <c r="AF61" t="s">
        <v>34</v>
      </c>
      <c r="AG61">
        <f t="shared" si="0"/>
        <v>1728956852.0212498</v>
      </c>
      <c r="AI61" s="7">
        <f t="shared" si="1"/>
        <v>9.3995601735994363</v>
      </c>
      <c r="AK61" s="7">
        <f t="shared" si="2"/>
        <v>1.0412717766192987</v>
      </c>
      <c r="AM61" s="7">
        <f t="shared" si="3"/>
        <v>5.8650945365704414</v>
      </c>
    </row>
    <row r="62" spans="1:39" x14ac:dyDescent="0.3">
      <c r="A62" t="s">
        <v>501</v>
      </c>
      <c r="B62" s="1" t="s">
        <v>502</v>
      </c>
      <c r="C62" t="s">
        <v>154</v>
      </c>
      <c r="D62" s="1" t="s">
        <v>155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>
        <v>28847000000</v>
      </c>
      <c r="Q62">
        <v>30267000000</v>
      </c>
      <c r="R62">
        <v>30251000000</v>
      </c>
      <c r="S62">
        <v>44000000000</v>
      </c>
      <c r="T62">
        <v>45608000000</v>
      </c>
      <c r="U62">
        <v>54279488191</v>
      </c>
      <c r="V62">
        <v>95679658509</v>
      </c>
      <c r="W62">
        <v>56629709183</v>
      </c>
      <c r="X62">
        <v>63157939488</v>
      </c>
      <c r="Y62">
        <v>97488000810</v>
      </c>
      <c r="Z62">
        <v>79513208976</v>
      </c>
      <c r="AA62">
        <v>75245419477</v>
      </c>
      <c r="AB62">
        <v>93660497268</v>
      </c>
      <c r="AC62">
        <v>96991502485.5</v>
      </c>
      <c r="AD62">
        <v>84856361911.399994</v>
      </c>
      <c r="AE62">
        <v>62236142484.5</v>
      </c>
      <c r="AF62" t="s">
        <v>34</v>
      </c>
      <c r="AG62">
        <f t="shared" si="0"/>
        <v>64919433048.962502</v>
      </c>
      <c r="AI62" s="7">
        <f t="shared" si="1"/>
        <v>1.2428858741370741</v>
      </c>
      <c r="AK62" s="7">
        <f t="shared" si="2"/>
        <v>0.32792287244265106</v>
      </c>
      <c r="AM62" s="7">
        <f t="shared" si="3"/>
        <v>10.531204803840337</v>
      </c>
    </row>
    <row r="63" spans="1:39" x14ac:dyDescent="0.3">
      <c r="A63" t="s">
        <v>501</v>
      </c>
      <c r="B63" s="1" t="s">
        <v>502</v>
      </c>
      <c r="C63" t="s">
        <v>156</v>
      </c>
      <c r="D63" s="1" t="s">
        <v>157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F63" t="s">
        <v>34</v>
      </c>
      <c r="AG63" t="str">
        <f t="shared" si="0"/>
        <v>NA</v>
      </c>
      <c r="AI63" s="7" t="str">
        <f t="shared" si="1"/>
        <v>NA</v>
      </c>
      <c r="AK63" s="7" t="str">
        <f t="shared" si="2"/>
        <v>NA</v>
      </c>
      <c r="AM63" s="7" t="str">
        <f t="shared" si="3"/>
        <v>NA</v>
      </c>
    </row>
    <row r="64" spans="1:39" x14ac:dyDescent="0.3">
      <c r="A64" t="s">
        <v>501</v>
      </c>
      <c r="B64" s="1" t="s">
        <v>502</v>
      </c>
      <c r="C64" t="s">
        <v>158</v>
      </c>
      <c r="D64" s="1" t="s">
        <v>159</v>
      </c>
      <c r="E64">
        <v>349340000</v>
      </c>
      <c r="F64">
        <v>468810000</v>
      </c>
      <c r="G64">
        <v>591100000</v>
      </c>
      <c r="H64">
        <v>606850000</v>
      </c>
      <c r="I64">
        <v>609420000</v>
      </c>
      <c r="J64">
        <v>736630000</v>
      </c>
      <c r="K64">
        <v>838890000</v>
      </c>
      <c r="L64">
        <v>948380000</v>
      </c>
      <c r="M64">
        <v>1029130000</v>
      </c>
      <c r="N64">
        <v>1208140000</v>
      </c>
      <c r="O64">
        <v>1384820000</v>
      </c>
      <c r="P64">
        <v>1762170000</v>
      </c>
      <c r="Q64">
        <v>2120140000</v>
      </c>
      <c r="R64">
        <v>1930540000</v>
      </c>
      <c r="S64">
        <v>1996450000</v>
      </c>
      <c r="T64">
        <v>1952070000</v>
      </c>
      <c r="U64">
        <v>2162440000</v>
      </c>
      <c r="V64">
        <v>2391070000</v>
      </c>
      <c r="W64">
        <v>2456610000</v>
      </c>
      <c r="X64">
        <v>2680860000</v>
      </c>
      <c r="Y64">
        <v>2857870000</v>
      </c>
      <c r="Z64">
        <v>3107670000</v>
      </c>
      <c r="AA64">
        <v>3281220000</v>
      </c>
      <c r="AB64">
        <v>3506130000</v>
      </c>
      <c r="AC64">
        <v>3871240000</v>
      </c>
      <c r="AD64">
        <v>3580910000</v>
      </c>
      <c r="AE64">
        <v>4109660000</v>
      </c>
      <c r="AF64" t="s">
        <v>34</v>
      </c>
      <c r="AG64">
        <f t="shared" si="0"/>
        <v>1945872592.5925925</v>
      </c>
      <c r="AI64" s="7">
        <f t="shared" si="1"/>
        <v>12.482580242713233</v>
      </c>
      <c r="AK64" s="7">
        <f t="shared" si="2"/>
        <v>8.5888398116370814E-3</v>
      </c>
      <c r="AM64" s="7">
        <f t="shared" si="3"/>
        <v>7.140081915055891</v>
      </c>
    </row>
    <row r="65" spans="1:39" x14ac:dyDescent="0.3">
      <c r="A65" t="s">
        <v>501</v>
      </c>
      <c r="B65" s="1" t="s">
        <v>502</v>
      </c>
      <c r="C65" t="s">
        <v>160</v>
      </c>
      <c r="D65" s="1" t="s">
        <v>161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  <c r="AG65" t="str">
        <f t="shared" si="0"/>
        <v>NA</v>
      </c>
      <c r="AI65" s="7" t="str">
        <f t="shared" si="1"/>
        <v>NA</v>
      </c>
      <c r="AK65" s="7" t="str">
        <f t="shared" si="2"/>
        <v>NA</v>
      </c>
      <c r="AM65" s="7" t="str">
        <f t="shared" si="3"/>
        <v>NA</v>
      </c>
    </row>
    <row r="66" spans="1:39" x14ac:dyDescent="0.3">
      <c r="A66" t="s">
        <v>501</v>
      </c>
      <c r="B66" s="1" t="s">
        <v>502</v>
      </c>
      <c r="C66" t="s">
        <v>162</v>
      </c>
      <c r="D66" s="1" t="s">
        <v>163</v>
      </c>
      <c r="E66">
        <v>859100000</v>
      </c>
      <c r="F66">
        <v>1053000000</v>
      </c>
      <c r="G66">
        <v>1487800000</v>
      </c>
      <c r="H66">
        <v>1586500000</v>
      </c>
      <c r="I66">
        <v>1561200000</v>
      </c>
      <c r="J66" t="s">
        <v>34</v>
      </c>
      <c r="K66">
        <v>1077500000</v>
      </c>
      <c r="L66">
        <v>1247503522</v>
      </c>
      <c r="M66">
        <v>1397500000</v>
      </c>
      <c r="N66">
        <v>1625800000</v>
      </c>
      <c r="O66">
        <v>1817200000</v>
      </c>
      <c r="P66">
        <v>2326400000</v>
      </c>
      <c r="Q66">
        <v>2657300000</v>
      </c>
      <c r="R66">
        <v>4631600000</v>
      </c>
      <c r="S66">
        <v>5199600000</v>
      </c>
      <c r="T66">
        <v>5582400000</v>
      </c>
      <c r="U66">
        <v>12048730000</v>
      </c>
      <c r="V66">
        <v>18982385049.639999</v>
      </c>
      <c r="W66">
        <v>19245715049.700001</v>
      </c>
      <c r="X66">
        <v>43707217395.089996</v>
      </c>
      <c r="Y66">
        <v>50160466884.040001</v>
      </c>
      <c r="Z66">
        <v>57297645933.379997</v>
      </c>
      <c r="AA66">
        <v>62648025072.379997</v>
      </c>
      <c r="AB66">
        <v>68139391590.099998</v>
      </c>
      <c r="AC66">
        <v>81033080879.289993</v>
      </c>
      <c r="AD66">
        <v>91304667552.839996</v>
      </c>
      <c r="AE66" t="s">
        <v>34</v>
      </c>
      <c r="AF66" t="s">
        <v>34</v>
      </c>
      <c r="AG66">
        <f t="shared" si="0"/>
        <v>21547109157.138397</v>
      </c>
      <c r="AI66" s="7">
        <f t="shared" si="1"/>
        <v>2.1040663691847179</v>
      </c>
      <c r="AK66" s="7">
        <f t="shared" si="2"/>
        <v>1.7302257387687596</v>
      </c>
      <c r="AM66" s="7">
        <f t="shared" si="3"/>
        <v>1.5365522512401661</v>
      </c>
    </row>
    <row r="67" spans="1:39" x14ac:dyDescent="0.3">
      <c r="A67" t="s">
        <v>501</v>
      </c>
      <c r="B67" s="1" t="s">
        <v>502</v>
      </c>
      <c r="C67" t="s">
        <v>164</v>
      </c>
      <c r="D67" s="1" t="s">
        <v>165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tr">
        <f t="shared" ref="AG67:AG130" si="4">IFERROR(AVERAGE(E67:AF67),"NA")</f>
        <v>NA</v>
      </c>
      <c r="AI67" s="7" t="str">
        <f t="shared" ref="AI67:AI130" si="5">IFERROR(AG67*100/AG287,"NA")</f>
        <v>NA</v>
      </c>
      <c r="AK67" s="7" t="str">
        <f t="shared" ref="AK67:AK130" si="6">IFERROR(AG508*100/AG287,"NA")</f>
        <v>NA</v>
      </c>
      <c r="AM67" s="7" t="str">
        <f t="shared" ref="AM67:AM130" si="7">IFERROR(AG729*100/AG287,"NA")</f>
        <v>NA</v>
      </c>
    </row>
    <row r="68" spans="1:39" x14ac:dyDescent="0.3">
      <c r="A68" t="s">
        <v>501</v>
      </c>
      <c r="B68" s="1" t="s">
        <v>502</v>
      </c>
      <c r="C68" t="s">
        <v>166</v>
      </c>
      <c r="D68" s="1" t="s">
        <v>167</v>
      </c>
      <c r="E68">
        <v>222600000</v>
      </c>
      <c r="F68">
        <v>238250000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>
        <v>498170000</v>
      </c>
      <c r="O68">
        <v>511060000</v>
      </c>
      <c r="P68">
        <v>579764321</v>
      </c>
      <c r="Q68">
        <v>352854946.42999297</v>
      </c>
      <c r="R68">
        <v>553957294.19000006</v>
      </c>
      <c r="S68">
        <v>488595504.42000002</v>
      </c>
      <c r="T68">
        <v>599153506.58000004</v>
      </c>
      <c r="U68">
        <v>767351020.92999995</v>
      </c>
      <c r="V68">
        <v>787873937.50999999</v>
      </c>
      <c r="W68">
        <v>961276024.15999997</v>
      </c>
      <c r="X68">
        <v>1065005280.25</v>
      </c>
      <c r="Y68">
        <v>1182971489.04</v>
      </c>
      <c r="Z68">
        <v>1151357921.3299999</v>
      </c>
      <c r="AA68">
        <v>1311754082.8499999</v>
      </c>
      <c r="AB68">
        <v>1431325788.1199999</v>
      </c>
      <c r="AC68">
        <v>1397222226.77</v>
      </c>
      <c r="AD68">
        <v>892885112.47000003</v>
      </c>
      <c r="AE68">
        <v>689100095.01999998</v>
      </c>
      <c r="AF68" t="s">
        <v>34</v>
      </c>
      <c r="AG68">
        <f t="shared" si="4"/>
        <v>784126427.5534997</v>
      </c>
      <c r="AI68" s="7">
        <f t="shared" si="5"/>
        <v>11.918800480289622</v>
      </c>
      <c r="AK68" s="7">
        <f t="shared" si="6"/>
        <v>5.4103898116219078</v>
      </c>
      <c r="AM68" s="7">
        <f t="shared" si="7"/>
        <v>7.593078716714543</v>
      </c>
    </row>
    <row r="69" spans="1:39" x14ac:dyDescent="0.3">
      <c r="A69" t="s">
        <v>501</v>
      </c>
      <c r="B69" s="1" t="s">
        <v>502</v>
      </c>
      <c r="C69" t="s">
        <v>168</v>
      </c>
      <c r="D69" s="1" t="s">
        <v>169</v>
      </c>
      <c r="E69">
        <v>13206000000</v>
      </c>
      <c r="F69">
        <v>13813000000</v>
      </c>
      <c r="G69">
        <v>15878000000</v>
      </c>
      <c r="H69">
        <v>16975000000</v>
      </c>
      <c r="I69">
        <v>17808000000</v>
      </c>
      <c r="J69">
        <v>18494000000</v>
      </c>
      <c r="K69">
        <v>18804000000</v>
      </c>
      <c r="L69">
        <v>19801000000</v>
      </c>
      <c r="M69">
        <v>20893000000</v>
      </c>
      <c r="N69">
        <v>21514000000</v>
      </c>
      <c r="O69">
        <v>22329000000</v>
      </c>
      <c r="P69">
        <v>23307000000</v>
      </c>
      <c r="Q69">
        <v>24129000000</v>
      </c>
      <c r="R69">
        <v>24585000000</v>
      </c>
      <c r="S69">
        <v>23912000000</v>
      </c>
      <c r="T69">
        <v>24791000000</v>
      </c>
      <c r="U69">
        <v>27789000000</v>
      </c>
      <c r="V69">
        <v>28773000000</v>
      </c>
      <c r="W69">
        <v>30025000000</v>
      </c>
      <c r="X69">
        <v>30285000000</v>
      </c>
      <c r="Y69">
        <v>30441000000</v>
      </c>
      <c r="Z69">
        <v>31994000000</v>
      </c>
      <c r="AA69">
        <v>32547000000</v>
      </c>
      <c r="AB69">
        <v>34032000000</v>
      </c>
      <c r="AC69">
        <v>34610000000</v>
      </c>
      <c r="AD69">
        <v>34105000000</v>
      </c>
      <c r="AE69">
        <v>35655000000</v>
      </c>
      <c r="AF69" t="s">
        <v>34</v>
      </c>
      <c r="AG69">
        <f t="shared" si="4"/>
        <v>24833148148.148148</v>
      </c>
      <c r="AI69" s="7">
        <f t="shared" si="5"/>
        <v>13.677887827529627</v>
      </c>
      <c r="AK69" s="7">
        <f t="shared" si="6"/>
        <v>2.2031661464637317E-3</v>
      </c>
      <c r="AM69" s="7">
        <f t="shared" si="7"/>
        <v>6.591138721503996</v>
      </c>
    </row>
    <row r="70" spans="1:39" x14ac:dyDescent="0.3">
      <c r="A70" t="s">
        <v>501</v>
      </c>
      <c r="B70" s="1" t="s">
        <v>502</v>
      </c>
      <c r="C70" t="s">
        <v>170</v>
      </c>
      <c r="D70" s="1" t="s">
        <v>171</v>
      </c>
      <c r="E70">
        <v>136605000000</v>
      </c>
      <c r="F70">
        <v>145319000000</v>
      </c>
      <c r="G70">
        <v>149933000000</v>
      </c>
      <c r="H70">
        <v>155170000000</v>
      </c>
      <c r="I70">
        <v>161383000000</v>
      </c>
      <c r="J70">
        <v>163450000000</v>
      </c>
      <c r="K70">
        <v>165495000000</v>
      </c>
      <c r="L70">
        <v>170737000000</v>
      </c>
      <c r="M70">
        <v>173773000000</v>
      </c>
      <c r="N70">
        <v>178072000000</v>
      </c>
      <c r="O70">
        <v>182603000000</v>
      </c>
      <c r="P70">
        <v>189088000000</v>
      </c>
      <c r="Q70">
        <v>191535000000</v>
      </c>
      <c r="R70">
        <v>189998000000</v>
      </c>
      <c r="S70">
        <v>182689000000</v>
      </c>
      <c r="T70">
        <v>189329000000</v>
      </c>
      <c r="U70">
        <v>195945000000</v>
      </c>
      <c r="V70">
        <v>200466000000</v>
      </c>
      <c r="W70">
        <v>205806000000</v>
      </c>
      <c r="X70">
        <v>210648000000</v>
      </c>
      <c r="Y70">
        <v>216894000000</v>
      </c>
      <c r="Z70">
        <v>221278000000</v>
      </c>
      <c r="AA70">
        <v>232445000000</v>
      </c>
      <c r="AB70">
        <v>239562000000</v>
      </c>
      <c r="AC70">
        <v>247091000000</v>
      </c>
      <c r="AD70">
        <v>231614000000</v>
      </c>
      <c r="AE70">
        <v>225647000000</v>
      </c>
      <c r="AF70" t="s">
        <v>34</v>
      </c>
      <c r="AG70">
        <f t="shared" si="4"/>
        <v>190836111111.11111</v>
      </c>
      <c r="AI70" s="7">
        <f t="shared" si="5"/>
        <v>10.017844585767117</v>
      </c>
      <c r="AK70" s="7">
        <f t="shared" si="6"/>
        <v>-2.478906536412002E-3</v>
      </c>
      <c r="AM70" s="7">
        <f t="shared" si="7"/>
        <v>10.592643712228226</v>
      </c>
    </row>
    <row r="71" spans="1:39" x14ac:dyDescent="0.3">
      <c r="A71" t="s">
        <v>501</v>
      </c>
      <c r="B71" s="1" t="s">
        <v>502</v>
      </c>
      <c r="C71" t="s">
        <v>172</v>
      </c>
      <c r="D71" s="1" t="s">
        <v>173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 t="s">
        <v>34</v>
      </c>
      <c r="AG71" t="str">
        <f t="shared" si="4"/>
        <v>NA</v>
      </c>
      <c r="AI71" s="7" t="str">
        <f t="shared" si="5"/>
        <v>NA</v>
      </c>
      <c r="AK71" s="7" t="str">
        <f t="shared" si="6"/>
        <v>NA</v>
      </c>
      <c r="AM71" s="7" t="str">
        <f t="shared" si="7"/>
        <v>NA</v>
      </c>
    </row>
    <row r="72" spans="1:39" x14ac:dyDescent="0.3">
      <c r="A72" t="s">
        <v>501</v>
      </c>
      <c r="B72" s="1" t="s">
        <v>502</v>
      </c>
      <c r="C72" t="s">
        <v>174</v>
      </c>
      <c r="D72" s="1" t="s">
        <v>175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>
        <v>194850000000</v>
      </c>
      <c r="W72">
        <v>291471000000</v>
      </c>
      <c r="X72">
        <v>298931000000</v>
      </c>
      <c r="Y72">
        <v>181697000000</v>
      </c>
      <c r="Z72">
        <v>229170510960</v>
      </c>
      <c r="AA72">
        <v>227687144420.5</v>
      </c>
      <c r="AB72">
        <v>160393022541</v>
      </c>
      <c r="AC72">
        <v>203738833384</v>
      </c>
      <c r="AD72" t="s">
        <v>34</v>
      </c>
      <c r="AE72" t="s">
        <v>34</v>
      </c>
      <c r="AF72" t="s">
        <v>34</v>
      </c>
      <c r="AG72">
        <f t="shared" si="4"/>
        <v>223492313913.1875</v>
      </c>
      <c r="AI72" s="7">
        <f t="shared" si="5"/>
        <v>3.4388341376658254</v>
      </c>
      <c r="AK72" s="7">
        <f t="shared" si="6"/>
        <v>4.9747318964416261</v>
      </c>
      <c r="AM72" s="7">
        <f t="shared" si="7"/>
        <v>7.5982254954284398</v>
      </c>
    </row>
    <row r="73" spans="1:39" x14ac:dyDescent="0.3">
      <c r="A73" t="s">
        <v>501</v>
      </c>
      <c r="B73" s="1" t="s">
        <v>502</v>
      </c>
      <c r="C73" t="s">
        <v>176</v>
      </c>
      <c r="D73" s="1" t="s">
        <v>177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  <c r="AG73" t="str">
        <f t="shared" si="4"/>
        <v>NA</v>
      </c>
      <c r="AI73" s="7" t="str">
        <f t="shared" si="5"/>
        <v>NA</v>
      </c>
      <c r="AK73" s="7" t="str">
        <f t="shared" si="6"/>
        <v>NA</v>
      </c>
      <c r="AM73" s="7" t="str">
        <f t="shared" si="7"/>
        <v>NA</v>
      </c>
    </row>
    <row r="74" spans="1:39" x14ac:dyDescent="0.3">
      <c r="A74" t="s">
        <v>501</v>
      </c>
      <c r="B74" s="1" t="s">
        <v>502</v>
      </c>
      <c r="C74" t="s">
        <v>178</v>
      </c>
      <c r="D74" s="1" t="s">
        <v>179</v>
      </c>
      <c r="E74">
        <v>61300000</v>
      </c>
      <c r="F74">
        <v>156100000</v>
      </c>
      <c r="G74">
        <v>284200000</v>
      </c>
      <c r="H74">
        <v>268000000</v>
      </c>
      <c r="I74">
        <v>386800000</v>
      </c>
      <c r="J74">
        <v>407400000</v>
      </c>
      <c r="K74">
        <v>477265000</v>
      </c>
      <c r="L74">
        <v>561900000</v>
      </c>
      <c r="M74">
        <v>586500000</v>
      </c>
      <c r="N74">
        <v>889600000</v>
      </c>
      <c r="O74">
        <v>1294200000</v>
      </c>
      <c r="P74">
        <v>1679200000</v>
      </c>
      <c r="Q74">
        <v>2402300000</v>
      </c>
      <c r="R74">
        <v>2587500000</v>
      </c>
      <c r="S74">
        <v>2494900000</v>
      </c>
      <c r="T74">
        <v>2763900000</v>
      </c>
      <c r="U74">
        <v>3399500000</v>
      </c>
      <c r="V74">
        <v>3699900000</v>
      </c>
      <c r="W74">
        <v>3570100000</v>
      </c>
      <c r="X74">
        <v>4108700000</v>
      </c>
      <c r="Y74">
        <v>4376200000</v>
      </c>
      <c r="Z74">
        <v>4356100000</v>
      </c>
      <c r="AA74">
        <v>5573500000</v>
      </c>
      <c r="AB74">
        <v>5892600000</v>
      </c>
      <c r="AC74">
        <v>6745700000</v>
      </c>
      <c r="AD74">
        <v>6152400000</v>
      </c>
      <c r="AE74">
        <v>8041800000</v>
      </c>
      <c r="AF74">
        <v>9443300000</v>
      </c>
      <c r="AG74">
        <f t="shared" si="4"/>
        <v>2952173750</v>
      </c>
      <c r="AI74" s="7">
        <f t="shared" si="5"/>
        <v>12.52933661705954</v>
      </c>
      <c r="AK74" s="7">
        <f t="shared" si="6"/>
        <v>0.31263581127874779</v>
      </c>
      <c r="AM74" s="7">
        <f t="shared" si="7"/>
        <v>8.2897837566778616</v>
      </c>
    </row>
    <row r="75" spans="1:39" x14ac:dyDescent="0.3">
      <c r="A75" t="s">
        <v>501</v>
      </c>
      <c r="B75" s="1" t="s">
        <v>502</v>
      </c>
      <c r="C75" t="s">
        <v>180</v>
      </c>
      <c r="D75" s="1" t="s">
        <v>181</v>
      </c>
      <c r="E75">
        <v>125618000000</v>
      </c>
      <c r="F75">
        <v>118486000000</v>
      </c>
      <c r="G75">
        <v>118779000000</v>
      </c>
      <c r="H75">
        <v>122702000000</v>
      </c>
      <c r="I75">
        <v>134076000000</v>
      </c>
      <c r="J75">
        <v>137775000000</v>
      </c>
      <c r="K75">
        <v>141207000000</v>
      </c>
      <c r="L75">
        <v>143405000000</v>
      </c>
      <c r="M75">
        <v>147802000000</v>
      </c>
      <c r="N75">
        <v>142872000000</v>
      </c>
      <c r="O75">
        <v>148024000000</v>
      </c>
      <c r="P75">
        <v>152393000000</v>
      </c>
      <c r="Q75">
        <v>166970000000</v>
      </c>
      <c r="R75">
        <v>170432000000</v>
      </c>
      <c r="S75">
        <v>174437000000</v>
      </c>
      <c r="T75">
        <v>178610000000</v>
      </c>
      <c r="U75">
        <v>190797000000</v>
      </c>
      <c r="V75">
        <v>191875000000</v>
      </c>
      <c r="W75">
        <v>193302000000</v>
      </c>
      <c r="X75">
        <v>197587000000</v>
      </c>
      <c r="Y75">
        <v>201422000000</v>
      </c>
      <c r="Z75">
        <v>198174000000</v>
      </c>
      <c r="AA75">
        <v>206524000000</v>
      </c>
      <c r="AB75">
        <v>209301000000</v>
      </c>
      <c r="AC75">
        <v>214336000000</v>
      </c>
      <c r="AD75">
        <v>187488000000</v>
      </c>
      <c r="AE75">
        <v>217415000000</v>
      </c>
      <c r="AF75" t="s">
        <v>34</v>
      </c>
      <c r="AG75">
        <f t="shared" si="4"/>
        <v>167844777777.77777</v>
      </c>
      <c r="AI75" s="7">
        <f t="shared" si="5"/>
        <v>6.3613952593255148</v>
      </c>
      <c r="AK75" s="7" t="str">
        <f t="shared" si="6"/>
        <v>NA</v>
      </c>
      <c r="AM75" s="7">
        <f t="shared" si="7"/>
        <v>4.665367663294508</v>
      </c>
    </row>
    <row r="76" spans="1:39" x14ac:dyDescent="0.3">
      <c r="A76" t="s">
        <v>501</v>
      </c>
      <c r="B76" s="1" t="s">
        <v>502</v>
      </c>
      <c r="C76" t="s">
        <v>182</v>
      </c>
      <c r="D76" s="1" t="s">
        <v>183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>
        <v>140928800</v>
      </c>
      <c r="L76">
        <v>215883900</v>
      </c>
      <c r="M76">
        <v>549683073</v>
      </c>
      <c r="N76">
        <v>871089714</v>
      </c>
      <c r="O76">
        <v>1053166888</v>
      </c>
      <c r="P76">
        <v>1195599344</v>
      </c>
      <c r="Q76">
        <v>1548573031</v>
      </c>
      <c r="R76">
        <v>1863799358</v>
      </c>
      <c r="S76">
        <v>1996424536</v>
      </c>
      <c r="T76">
        <v>2436751418</v>
      </c>
      <c r="U76">
        <v>3548884820</v>
      </c>
      <c r="V76">
        <v>4212037894.3786802</v>
      </c>
      <c r="W76">
        <v>4832951822.6890898</v>
      </c>
      <c r="X76">
        <v>6434283960.3999996</v>
      </c>
      <c r="Y76">
        <v>9926832338.3199997</v>
      </c>
      <c r="Z76">
        <v>12231318887.9872</v>
      </c>
      <c r="AA76">
        <v>13344835472.0923</v>
      </c>
      <c r="AB76">
        <v>15030377745.7365</v>
      </c>
      <c r="AC76">
        <v>17151664589.75</v>
      </c>
      <c r="AD76">
        <v>17792087110.115002</v>
      </c>
      <c r="AE76" t="s">
        <v>34</v>
      </c>
      <c r="AF76" t="s">
        <v>34</v>
      </c>
      <c r="AG76">
        <f t="shared" si="4"/>
        <v>5818858735.173439</v>
      </c>
      <c r="AI76" s="7">
        <f t="shared" si="5"/>
        <v>4.7763615521728324</v>
      </c>
      <c r="AK76" s="7">
        <f t="shared" si="6"/>
        <v>1.9223912572491326</v>
      </c>
      <c r="AM76" s="7">
        <f t="shared" si="7"/>
        <v>5.2634084453014625</v>
      </c>
    </row>
    <row r="77" spans="1:39" x14ac:dyDescent="0.3">
      <c r="A77" t="s">
        <v>501</v>
      </c>
      <c r="B77" s="1" t="s">
        <v>502</v>
      </c>
      <c r="C77" t="s">
        <v>184</v>
      </c>
      <c r="D77" s="1" t="s">
        <v>185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">
        <v>34</v>
      </c>
      <c r="AG77" t="str">
        <f t="shared" si="4"/>
        <v>NA</v>
      </c>
      <c r="AI77" s="7" t="str">
        <f t="shared" si="5"/>
        <v>NA</v>
      </c>
      <c r="AK77" s="7" t="str">
        <f t="shared" si="6"/>
        <v>NA</v>
      </c>
      <c r="AM77" s="7" t="str">
        <f t="shared" si="7"/>
        <v>NA</v>
      </c>
    </row>
    <row r="78" spans="1:39" x14ac:dyDescent="0.3">
      <c r="A78" t="s">
        <v>501</v>
      </c>
      <c r="B78" s="1" t="s">
        <v>502</v>
      </c>
      <c r="C78" t="s">
        <v>186</v>
      </c>
      <c r="D78" s="1" t="s">
        <v>187</v>
      </c>
      <c r="E78">
        <v>10975000000</v>
      </c>
      <c r="F78">
        <v>12415000000</v>
      </c>
      <c r="G78">
        <v>13944000000</v>
      </c>
      <c r="H78">
        <v>14790000000</v>
      </c>
      <c r="I78">
        <v>16621000000</v>
      </c>
      <c r="J78">
        <v>17694000000</v>
      </c>
      <c r="K78">
        <v>18618000000</v>
      </c>
      <c r="L78">
        <v>20409000000</v>
      </c>
      <c r="M78">
        <v>20976000000</v>
      </c>
      <c r="N78">
        <v>21784000000</v>
      </c>
      <c r="O78">
        <v>22855000000</v>
      </c>
      <c r="P78">
        <v>25754000000</v>
      </c>
      <c r="Q78">
        <v>28264000000</v>
      </c>
      <c r="R78">
        <v>29322000000</v>
      </c>
      <c r="S78">
        <v>27326000000</v>
      </c>
      <c r="T78">
        <v>28233000000</v>
      </c>
      <c r="U78">
        <v>27616000000</v>
      </c>
      <c r="V78">
        <v>26243000000</v>
      </c>
      <c r="W78">
        <v>25524000000</v>
      </c>
      <c r="X78">
        <v>25391000000</v>
      </c>
      <c r="Y78">
        <v>25535000000</v>
      </c>
      <c r="Z78">
        <v>27165000000</v>
      </c>
      <c r="AA78">
        <v>27451000000</v>
      </c>
      <c r="AB78">
        <v>28257000000</v>
      </c>
      <c r="AC78">
        <v>28785000000</v>
      </c>
      <c r="AD78">
        <v>24651000000</v>
      </c>
      <c r="AE78">
        <v>27942000000</v>
      </c>
      <c r="AF78" t="s">
        <v>34</v>
      </c>
      <c r="AG78">
        <f t="shared" si="4"/>
        <v>23131111111.111111</v>
      </c>
      <c r="AI78" s="7">
        <f t="shared" si="5"/>
        <v>13.096301271343828</v>
      </c>
      <c r="AK78" s="7">
        <f t="shared" si="6"/>
        <v>4.8529450383086531E-3</v>
      </c>
      <c r="AM78" s="7">
        <f t="shared" si="7"/>
        <v>7.7698136448742394</v>
      </c>
    </row>
    <row r="79" spans="1:39" x14ac:dyDescent="0.3">
      <c r="A79" t="s">
        <v>501</v>
      </c>
      <c r="B79" s="1" t="s">
        <v>502</v>
      </c>
      <c r="C79" t="s">
        <v>188</v>
      </c>
      <c r="D79" s="1" t="s">
        <v>189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t="s">
        <v>34</v>
      </c>
      <c r="AE79" t="s">
        <v>34</v>
      </c>
      <c r="AF79" t="s">
        <v>34</v>
      </c>
      <c r="AG79" t="str">
        <f t="shared" si="4"/>
        <v>NA</v>
      </c>
      <c r="AI79" s="7" t="str">
        <f t="shared" si="5"/>
        <v>NA</v>
      </c>
      <c r="AK79" s="7" t="str">
        <f t="shared" si="6"/>
        <v>NA</v>
      </c>
      <c r="AM79" s="7" t="str">
        <f t="shared" si="7"/>
        <v>NA</v>
      </c>
    </row>
    <row r="80" spans="1:39" x14ac:dyDescent="0.3">
      <c r="A80" t="s">
        <v>501</v>
      </c>
      <c r="B80" s="1" t="s">
        <v>502</v>
      </c>
      <c r="C80" t="s">
        <v>190</v>
      </c>
      <c r="D80" s="1" t="s">
        <v>191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34</v>
      </c>
      <c r="AF80" t="s">
        <v>34</v>
      </c>
      <c r="AG80" t="str">
        <f t="shared" si="4"/>
        <v>NA</v>
      </c>
      <c r="AI80" s="7" t="str">
        <f t="shared" si="5"/>
        <v>NA</v>
      </c>
      <c r="AK80" s="7" t="str">
        <f t="shared" si="6"/>
        <v>NA</v>
      </c>
      <c r="AM80" s="7" t="str">
        <f t="shared" si="7"/>
        <v>NA</v>
      </c>
    </row>
    <row r="81" spans="1:39" x14ac:dyDescent="0.3">
      <c r="A81" t="s">
        <v>501</v>
      </c>
      <c r="B81" s="1" t="s">
        <v>502</v>
      </c>
      <c r="C81" t="s">
        <v>192</v>
      </c>
      <c r="D81" s="1" t="s">
        <v>193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 t="s">
        <v>34</v>
      </c>
      <c r="AF81" t="s">
        <v>34</v>
      </c>
      <c r="AG81" t="str">
        <f t="shared" si="4"/>
        <v>NA</v>
      </c>
      <c r="AI81" s="7" t="str">
        <f t="shared" si="5"/>
        <v>NA</v>
      </c>
      <c r="AK81" s="7" t="str">
        <f t="shared" si="6"/>
        <v>NA</v>
      </c>
      <c r="AM81" s="7" t="str">
        <f t="shared" si="7"/>
        <v>NA</v>
      </c>
    </row>
    <row r="82" spans="1:39" x14ac:dyDescent="0.3">
      <c r="A82" t="s">
        <v>501</v>
      </c>
      <c r="B82" s="1" t="s">
        <v>502</v>
      </c>
      <c r="C82" t="s">
        <v>194</v>
      </c>
      <c r="D82" s="1" t="s">
        <v>195</v>
      </c>
      <c r="E82">
        <v>3308040000</v>
      </c>
      <c r="F82">
        <v>4429500000</v>
      </c>
      <c r="G82">
        <v>5365230000</v>
      </c>
      <c r="H82">
        <v>7311630000</v>
      </c>
      <c r="I82">
        <v>8885700000</v>
      </c>
      <c r="J82">
        <v>9376130000</v>
      </c>
      <c r="K82">
        <v>9679220000</v>
      </c>
      <c r="L82">
        <v>11435170000</v>
      </c>
      <c r="M82">
        <v>12146070000</v>
      </c>
      <c r="N82">
        <v>13535950000</v>
      </c>
      <c r="O82">
        <v>12800230000</v>
      </c>
      <c r="P82">
        <v>16398300000</v>
      </c>
      <c r="Q82">
        <v>19623400000</v>
      </c>
      <c r="R82">
        <v>20610200000</v>
      </c>
      <c r="S82">
        <v>19155423245.68</v>
      </c>
      <c r="T82">
        <v>21265737667.740002</v>
      </c>
      <c r="U82">
        <v>24109314473.66</v>
      </c>
      <c r="V82">
        <v>25901050815.380001</v>
      </c>
      <c r="W82">
        <v>27540796114</v>
      </c>
      <c r="X82">
        <v>27924854511.799999</v>
      </c>
      <c r="Y82">
        <v>29151744782.73</v>
      </c>
      <c r="Z82">
        <v>30012045251.84</v>
      </c>
      <c r="AA82">
        <v>32242729416.5</v>
      </c>
      <c r="AB82">
        <v>34108299980.790001</v>
      </c>
      <c r="AC82">
        <v>36749348633.300003</v>
      </c>
      <c r="AD82">
        <v>35146368029.589996</v>
      </c>
      <c r="AE82">
        <v>44666889134.040001</v>
      </c>
      <c r="AF82" t="s">
        <v>34</v>
      </c>
      <c r="AG82">
        <f t="shared" si="4"/>
        <v>20106643409.52037</v>
      </c>
      <c r="AI82" s="7">
        <f t="shared" si="5"/>
        <v>6.0931659598799648</v>
      </c>
      <c r="AK82" s="7">
        <f t="shared" si="6"/>
        <v>0.73815269326533328</v>
      </c>
      <c r="AM82" s="7">
        <f t="shared" si="7"/>
        <v>3.3392861696380902</v>
      </c>
    </row>
    <row r="83" spans="1:39" x14ac:dyDescent="0.3">
      <c r="A83" t="s">
        <v>501</v>
      </c>
      <c r="B83" s="1" t="s">
        <v>502</v>
      </c>
      <c r="C83" t="s">
        <v>196</v>
      </c>
      <c r="D83" s="1" t="s">
        <v>197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34</v>
      </c>
      <c r="AG83" t="str">
        <f t="shared" si="4"/>
        <v>NA</v>
      </c>
      <c r="AI83" s="7" t="str">
        <f t="shared" si="5"/>
        <v>NA</v>
      </c>
      <c r="AK83" s="7" t="str">
        <f t="shared" si="6"/>
        <v>NA</v>
      </c>
      <c r="AM83" s="7" t="str">
        <f t="shared" si="7"/>
        <v>NA</v>
      </c>
    </row>
    <row r="84" spans="1:39" x14ac:dyDescent="0.3">
      <c r="A84" t="s">
        <v>501</v>
      </c>
      <c r="B84" s="1" t="s">
        <v>502</v>
      </c>
      <c r="C84" t="s">
        <v>198</v>
      </c>
      <c r="D84" s="1" t="s">
        <v>199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>
        <v>33721498281</v>
      </c>
      <c r="AB84" t="s">
        <v>34</v>
      </c>
      <c r="AC84">
        <v>30212009841</v>
      </c>
      <c r="AD84" t="s">
        <v>34</v>
      </c>
      <c r="AE84" t="s">
        <v>34</v>
      </c>
      <c r="AF84" t="s">
        <v>34</v>
      </c>
      <c r="AG84">
        <f t="shared" si="4"/>
        <v>31966754061</v>
      </c>
      <c r="AI84" s="7">
        <f t="shared" si="5"/>
        <v>7.0254754861218567</v>
      </c>
      <c r="AK84" s="7">
        <f t="shared" si="6"/>
        <v>5.3992392130234821</v>
      </c>
      <c r="AM84" s="7">
        <f t="shared" si="7"/>
        <v>4.8062078591083646</v>
      </c>
    </row>
    <row r="85" spans="1:39" x14ac:dyDescent="0.3">
      <c r="A85" t="s">
        <v>501</v>
      </c>
      <c r="B85" s="1" t="s">
        <v>502</v>
      </c>
      <c r="C85" t="s">
        <v>200</v>
      </c>
      <c r="D85" s="1" t="s">
        <v>201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34</v>
      </c>
      <c r="AE85" t="s">
        <v>34</v>
      </c>
      <c r="AF85" t="s">
        <v>34</v>
      </c>
      <c r="AG85" t="str">
        <f t="shared" si="4"/>
        <v>NA</v>
      </c>
      <c r="AI85" s="7" t="str">
        <f t="shared" si="5"/>
        <v>NA</v>
      </c>
      <c r="AK85" s="7" t="str">
        <f t="shared" si="6"/>
        <v>NA</v>
      </c>
      <c r="AM85" s="7" t="str">
        <f t="shared" si="7"/>
        <v>NA</v>
      </c>
    </row>
    <row r="86" spans="1:39" x14ac:dyDescent="0.3">
      <c r="A86" t="s">
        <v>501</v>
      </c>
      <c r="B86" s="1" t="s">
        <v>502</v>
      </c>
      <c r="C86" t="s">
        <v>202</v>
      </c>
      <c r="D86" s="1" t="s">
        <v>203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34</v>
      </c>
      <c r="AE86" t="s">
        <v>34</v>
      </c>
      <c r="AF86" t="s">
        <v>34</v>
      </c>
      <c r="AG86" t="str">
        <f t="shared" si="4"/>
        <v>NA</v>
      </c>
      <c r="AI86" s="7" t="str">
        <f t="shared" si="5"/>
        <v>NA</v>
      </c>
      <c r="AK86" s="7" t="str">
        <f t="shared" si="6"/>
        <v>NA</v>
      </c>
      <c r="AM86" s="7" t="str">
        <f t="shared" si="7"/>
        <v>NA</v>
      </c>
    </row>
    <row r="87" spans="1:39" x14ac:dyDescent="0.3">
      <c r="A87" t="s">
        <v>501</v>
      </c>
      <c r="B87" s="1" t="s">
        <v>502</v>
      </c>
      <c r="C87" t="s">
        <v>204</v>
      </c>
      <c r="D87" s="1" t="s">
        <v>205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>
        <v>13357700000</v>
      </c>
      <c r="N87">
        <v>15262800000</v>
      </c>
      <c r="O87">
        <v>17008400000</v>
      </c>
      <c r="P87">
        <v>19687700000</v>
      </c>
      <c r="Q87">
        <v>23384475000</v>
      </c>
      <c r="R87">
        <v>25911400000</v>
      </c>
      <c r="S87">
        <v>24299850000</v>
      </c>
      <c r="T87">
        <v>26686150000</v>
      </c>
      <c r="U87">
        <v>29929640000</v>
      </c>
      <c r="V87">
        <v>32825970000</v>
      </c>
      <c r="W87">
        <v>34470971446</v>
      </c>
      <c r="X87">
        <v>43895244377.980003</v>
      </c>
      <c r="Y87">
        <v>50989917399.945</v>
      </c>
      <c r="Z87" t="s">
        <v>34</v>
      </c>
      <c r="AA87" t="s">
        <v>34</v>
      </c>
      <c r="AB87" t="s">
        <v>34</v>
      </c>
      <c r="AC87" t="s">
        <v>34</v>
      </c>
      <c r="AD87">
        <v>56864648095.050003</v>
      </c>
      <c r="AE87" t="s">
        <v>34</v>
      </c>
      <c r="AF87" t="s">
        <v>34</v>
      </c>
      <c r="AG87">
        <f t="shared" si="4"/>
        <v>29612490451.355354</v>
      </c>
      <c r="AI87" s="7">
        <f t="shared" si="5"/>
        <v>9.5192154685710477</v>
      </c>
      <c r="AK87" s="7">
        <f t="shared" si="6"/>
        <v>0.84730634492000523</v>
      </c>
      <c r="AM87" s="7">
        <f t="shared" si="7"/>
        <v>4.6517991882291483</v>
      </c>
    </row>
    <row r="88" spans="1:39" x14ac:dyDescent="0.3">
      <c r="A88" t="s">
        <v>501</v>
      </c>
      <c r="B88" s="1" t="s">
        <v>502</v>
      </c>
      <c r="C88" t="s">
        <v>206</v>
      </c>
      <c r="D88" s="1" t="s">
        <v>207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  <c r="AE88" t="s">
        <v>34</v>
      </c>
      <c r="AF88" t="s">
        <v>34</v>
      </c>
      <c r="AG88" t="str">
        <f t="shared" si="4"/>
        <v>NA</v>
      </c>
      <c r="AI88" s="7" t="str">
        <f t="shared" si="5"/>
        <v>NA</v>
      </c>
      <c r="AK88" s="7" t="str">
        <f t="shared" si="6"/>
        <v>NA</v>
      </c>
      <c r="AM88" s="7" t="str">
        <f t="shared" si="7"/>
        <v>NA</v>
      </c>
    </row>
    <row r="89" spans="1:39" x14ac:dyDescent="0.3">
      <c r="A89" t="s">
        <v>501</v>
      </c>
      <c r="B89" s="1" t="s">
        <v>502</v>
      </c>
      <c r="C89" t="s">
        <v>208</v>
      </c>
      <c r="D89" s="1" t="s">
        <v>209</v>
      </c>
      <c r="E89">
        <v>709170000000</v>
      </c>
      <c r="F89">
        <v>851827000000</v>
      </c>
      <c r="G89">
        <v>1060478000000</v>
      </c>
      <c r="H89">
        <v>1318474000000</v>
      </c>
      <c r="I89">
        <v>1523111000000</v>
      </c>
      <c r="J89">
        <v>1814330000000</v>
      </c>
      <c r="K89">
        <v>1940379000000</v>
      </c>
      <c r="L89">
        <v>2129841000000</v>
      </c>
      <c r="M89">
        <v>2456599000000</v>
      </c>
      <c r="N89">
        <v>2878030000000</v>
      </c>
      <c r="O89">
        <v>2969404000000</v>
      </c>
      <c r="P89">
        <v>3072181000000</v>
      </c>
      <c r="Q89">
        <v>3407992000000</v>
      </c>
      <c r="R89">
        <v>3536270000000</v>
      </c>
      <c r="S89">
        <v>3625297000000</v>
      </c>
      <c r="T89">
        <v>4025486000000</v>
      </c>
      <c r="U89">
        <v>4165808000000</v>
      </c>
      <c r="V89">
        <v>4586919000000</v>
      </c>
      <c r="W89">
        <v>4766934000000</v>
      </c>
      <c r="X89">
        <v>5145100000000</v>
      </c>
      <c r="Y89">
        <v>5515904000000</v>
      </c>
      <c r="Z89">
        <v>5474777000000</v>
      </c>
      <c r="AA89">
        <v>5847636000000</v>
      </c>
      <c r="AB89">
        <v>6523046000000</v>
      </c>
      <c r="AC89">
        <v>7058851000000</v>
      </c>
      <c r="AD89">
        <v>7337883000000</v>
      </c>
      <c r="AE89">
        <v>8178701000000</v>
      </c>
      <c r="AF89" t="s">
        <v>34</v>
      </c>
      <c r="AG89">
        <f t="shared" si="4"/>
        <v>3774830666666.6665</v>
      </c>
      <c r="AI89" s="7">
        <f t="shared" si="5"/>
        <v>13.618645318232128</v>
      </c>
      <c r="AK89" s="7">
        <f t="shared" si="6"/>
        <v>0.33540372313073591</v>
      </c>
      <c r="AM89" s="7">
        <f t="shared" si="7"/>
        <v>6.5424893272653692</v>
      </c>
    </row>
    <row r="90" spans="1:39" x14ac:dyDescent="0.3">
      <c r="A90" t="s">
        <v>501</v>
      </c>
      <c r="B90" s="1" t="s">
        <v>502</v>
      </c>
      <c r="C90" t="s">
        <v>210</v>
      </c>
      <c r="D90" s="1" t="s">
        <v>211</v>
      </c>
      <c r="E90">
        <v>67508000000</v>
      </c>
      <c r="F90">
        <v>74255800000</v>
      </c>
      <c r="G90">
        <v>78787500000</v>
      </c>
      <c r="H90">
        <v>95357400000</v>
      </c>
      <c r="I90">
        <v>107810600000</v>
      </c>
      <c r="J90">
        <v>110561000000</v>
      </c>
      <c r="K90">
        <v>107397262000</v>
      </c>
      <c r="L90">
        <v>115451773580</v>
      </c>
      <c r="M90">
        <v>125534126091</v>
      </c>
      <c r="N90">
        <v>147628670464</v>
      </c>
      <c r="O90">
        <v>173826680831</v>
      </c>
      <c r="P90">
        <v>193447754217</v>
      </c>
      <c r="Q90">
        <v>205506232508</v>
      </c>
      <c r="R90">
        <v>192842624113.39001</v>
      </c>
      <c r="S90">
        <v>175552237342</v>
      </c>
      <c r="T90">
        <v>185358312942.34</v>
      </c>
      <c r="U90">
        <v>197005002049</v>
      </c>
      <c r="V90">
        <v>213576295760</v>
      </c>
      <c r="W90">
        <v>222835698133</v>
      </c>
      <c r="X90">
        <v>235893672257.79999</v>
      </c>
      <c r="Y90">
        <v>259334214746.57001</v>
      </c>
      <c r="Z90">
        <v>287405296898.72998</v>
      </c>
      <c r="AA90">
        <v>322961437613</v>
      </c>
      <c r="AB90">
        <v>337326062839.974</v>
      </c>
      <c r="AC90">
        <v>337640971442</v>
      </c>
      <c r="AD90">
        <v>327192896824</v>
      </c>
      <c r="AE90">
        <v>369511536077</v>
      </c>
      <c r="AF90">
        <v>430147296189</v>
      </c>
      <c r="AG90">
        <f t="shared" si="4"/>
        <v>203487726961.38589</v>
      </c>
      <c r="AI90" s="7">
        <f t="shared" si="5"/>
        <v>12.253587372173689</v>
      </c>
      <c r="AK90" s="7">
        <f t="shared" si="6"/>
        <v>0.24965063437422988</v>
      </c>
      <c r="AM90" s="7">
        <f t="shared" si="7"/>
        <v>9.1961187429652327</v>
      </c>
    </row>
    <row r="91" spans="1:39" x14ac:dyDescent="0.3">
      <c r="A91" t="s">
        <v>501</v>
      </c>
      <c r="B91" s="1" t="s">
        <v>502</v>
      </c>
      <c r="C91" t="s">
        <v>212</v>
      </c>
      <c r="D91" s="1" t="s">
        <v>213</v>
      </c>
      <c r="E91">
        <v>419050000000</v>
      </c>
      <c r="F91">
        <v>470140000000</v>
      </c>
      <c r="G91">
        <v>507460000000</v>
      </c>
      <c r="H91">
        <v>565270000000</v>
      </c>
      <c r="I91">
        <v>653730000000</v>
      </c>
      <c r="J91">
        <v>726790000000</v>
      </c>
      <c r="K91">
        <v>775930000000</v>
      </c>
      <c r="L91">
        <v>883260000000</v>
      </c>
      <c r="M91">
        <v>1006270000000</v>
      </c>
      <c r="N91">
        <v>1151640000000</v>
      </c>
      <c r="O91">
        <v>1387530000000</v>
      </c>
      <c r="P91">
        <v>1621410000000</v>
      </c>
      <c r="Q91">
        <v>1768090000000</v>
      </c>
      <c r="R91">
        <v>1855250000000</v>
      </c>
      <c r="S91">
        <v>1736160000000</v>
      </c>
      <c r="T91">
        <v>2187440000000</v>
      </c>
      <c r="U91">
        <v>2516400000000</v>
      </c>
      <c r="V91">
        <v>3265750000000</v>
      </c>
      <c r="W91">
        <v>3870900000000</v>
      </c>
      <c r="X91">
        <v>3684626200000</v>
      </c>
      <c r="Y91">
        <v>5106480000000</v>
      </c>
      <c r="Z91">
        <v>6517900000000</v>
      </c>
      <c r="AA91">
        <v>8136460000000</v>
      </c>
      <c r="AB91">
        <v>10197450000000</v>
      </c>
      <c r="AC91" t="s">
        <v>34</v>
      </c>
      <c r="AD91" t="s">
        <v>34</v>
      </c>
      <c r="AE91" t="s">
        <v>34</v>
      </c>
      <c r="AF91" t="s">
        <v>34</v>
      </c>
      <c r="AG91">
        <f t="shared" si="4"/>
        <v>2542141091666.6665</v>
      </c>
      <c r="AI91" s="7">
        <f t="shared" si="5"/>
        <v>2.8323156474700064</v>
      </c>
      <c r="AK91" s="7">
        <f t="shared" si="6"/>
        <v>1.1207294048402452</v>
      </c>
      <c r="AM91" s="7">
        <f t="shared" si="7"/>
        <v>3.9932092724702559</v>
      </c>
    </row>
    <row r="92" spans="1:39" x14ac:dyDescent="0.3">
      <c r="A92" t="s">
        <v>501</v>
      </c>
      <c r="B92" s="1" t="s">
        <v>502</v>
      </c>
      <c r="C92" t="s">
        <v>214</v>
      </c>
      <c r="D92" s="1" t="s">
        <v>215</v>
      </c>
      <c r="E92">
        <v>27183000000000</v>
      </c>
      <c r="F92">
        <v>27342000000000</v>
      </c>
      <c r="G92">
        <v>32119400000000</v>
      </c>
      <c r="H92">
        <v>39305000000000</v>
      </c>
      <c r="I92">
        <v>55952300000000</v>
      </c>
      <c r="J92" t="s">
        <v>34</v>
      </c>
      <c r="K92">
        <v>79781000000000</v>
      </c>
      <c r="L92">
        <v>95128800000000</v>
      </c>
      <c r="M92">
        <v>112300273021133</v>
      </c>
      <c r="N92">
        <v>135167200000000</v>
      </c>
      <c r="O92" t="s">
        <v>34</v>
      </c>
      <c r="P92" t="s">
        <v>34</v>
      </c>
      <c r="Q92" t="s">
        <v>34</v>
      </c>
      <c r="R92">
        <v>266472000000000</v>
      </c>
      <c r="S92">
        <v>256251000000000</v>
      </c>
      <c r="T92">
        <v>304797000000000</v>
      </c>
      <c r="U92">
        <v>354809000000000</v>
      </c>
      <c r="V92">
        <v>432612000000000</v>
      </c>
      <c r="W92">
        <v>493166000000000</v>
      </c>
      <c r="X92">
        <v>527655429222292</v>
      </c>
      <c r="Y92">
        <v>568928959372087</v>
      </c>
      <c r="Z92">
        <v>556820527274173</v>
      </c>
      <c r="AA92">
        <v>634995332475415</v>
      </c>
      <c r="AB92">
        <v>697512871633752</v>
      </c>
      <c r="AC92">
        <v>704537914447775</v>
      </c>
      <c r="AD92">
        <v>627122541837655</v>
      </c>
      <c r="AE92">
        <v>747807437528937</v>
      </c>
      <c r="AF92" t="s">
        <v>34</v>
      </c>
      <c r="AG92">
        <f t="shared" si="4"/>
        <v>338163782035357.38</v>
      </c>
      <c r="AI92" s="7">
        <f t="shared" si="5"/>
        <v>4.8043849696804291</v>
      </c>
      <c r="AK92" s="7">
        <f t="shared" si="6"/>
        <v>0.39955120178794779</v>
      </c>
      <c r="AM92" s="7">
        <f t="shared" si="7"/>
        <v>5.2330341877735878</v>
      </c>
    </row>
    <row r="93" spans="1:39" x14ac:dyDescent="0.3">
      <c r="A93" t="s">
        <v>501</v>
      </c>
      <c r="B93" s="1" t="s">
        <v>502</v>
      </c>
      <c r="C93" t="s">
        <v>216</v>
      </c>
      <c r="D93" s="1" t="s">
        <v>217</v>
      </c>
      <c r="E93">
        <v>2708000000000</v>
      </c>
      <c r="F93">
        <v>3691000000000</v>
      </c>
      <c r="G93">
        <v>6463000000000</v>
      </c>
      <c r="H93">
        <v>7459000000000</v>
      </c>
      <c r="I93">
        <v>17997527000000</v>
      </c>
      <c r="J93">
        <v>10192062000000</v>
      </c>
      <c r="K93">
        <v>9027225000000</v>
      </c>
      <c r="L93">
        <v>10480100000000</v>
      </c>
      <c r="M93">
        <v>13200451662875.5</v>
      </c>
      <c r="N93">
        <v>13453399510543.6</v>
      </c>
      <c r="O93">
        <v>18981504565268.699</v>
      </c>
      <c r="P93">
        <v>19521456242801.199</v>
      </c>
      <c r="Q93">
        <v>24369826424046.602</v>
      </c>
      <c r="R93">
        <v>23640531401088.301</v>
      </c>
      <c r="S93">
        <v>36640900000000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 t="s">
        <v>34</v>
      </c>
      <c r="AF93" t="s">
        <v>34</v>
      </c>
      <c r="AG93">
        <f t="shared" si="4"/>
        <v>14521732253774.928</v>
      </c>
      <c r="AI93" s="7">
        <f t="shared" si="5"/>
        <v>0.11004702718886741</v>
      </c>
      <c r="AK93" s="7">
        <f t="shared" si="6"/>
        <v>0.19255279876424061</v>
      </c>
      <c r="AM93" s="7">
        <f t="shared" si="7"/>
        <v>0.42137896215311876</v>
      </c>
    </row>
    <row r="94" spans="1:39" x14ac:dyDescent="0.3">
      <c r="A94" t="s">
        <v>501</v>
      </c>
      <c r="B94" s="1" t="s">
        <v>502</v>
      </c>
      <c r="C94" t="s">
        <v>218</v>
      </c>
      <c r="D94" s="1" t="s">
        <v>219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>
        <v>264431000000</v>
      </c>
      <c r="Y94">
        <v>329429315556.34998</v>
      </c>
      <c r="Z94">
        <v>798292474482.09998</v>
      </c>
      <c r="AA94">
        <v>295654489607.01202</v>
      </c>
      <c r="AB94">
        <v>311993172634.70801</v>
      </c>
      <c r="AC94">
        <v>374431257275</v>
      </c>
      <c r="AD94" t="s">
        <v>34</v>
      </c>
      <c r="AE94" t="s">
        <v>34</v>
      </c>
      <c r="AF94" t="s">
        <v>34</v>
      </c>
      <c r="AG94">
        <f t="shared" si="4"/>
        <v>395705284925.86163</v>
      </c>
      <c r="AI94" s="7">
        <f t="shared" si="5"/>
        <v>0.27055042051797989</v>
      </c>
      <c r="AK94" s="7">
        <f t="shared" si="6"/>
        <v>0.63816572310815334</v>
      </c>
      <c r="AM94" s="7">
        <f t="shared" si="7"/>
        <v>1.6997814837132363</v>
      </c>
    </row>
    <row r="95" spans="1:39" x14ac:dyDescent="0.3">
      <c r="A95" t="s">
        <v>501</v>
      </c>
      <c r="B95" s="1" t="s">
        <v>502</v>
      </c>
      <c r="C95" t="s">
        <v>220</v>
      </c>
      <c r="D95" s="1" t="s">
        <v>221</v>
      </c>
      <c r="E95">
        <v>6886984000</v>
      </c>
      <c r="F95">
        <v>7652192000</v>
      </c>
      <c r="G95">
        <v>8539758000</v>
      </c>
      <c r="H95">
        <v>9727321000</v>
      </c>
      <c r="I95">
        <v>11042869000</v>
      </c>
      <c r="J95">
        <v>13626870000</v>
      </c>
      <c r="K95">
        <v>13937170000</v>
      </c>
      <c r="L95">
        <v>15450335000</v>
      </c>
      <c r="M95">
        <v>16747254000</v>
      </c>
      <c r="N95">
        <v>18749527000</v>
      </c>
      <c r="O95">
        <v>21430111000</v>
      </c>
      <c r="P95">
        <v>24176944000</v>
      </c>
      <c r="Q95">
        <v>24769644000</v>
      </c>
      <c r="R95">
        <v>21463799000</v>
      </c>
      <c r="S95">
        <v>17314576000</v>
      </c>
      <c r="T95">
        <v>16962954000</v>
      </c>
      <c r="U95">
        <v>16621732000</v>
      </c>
      <c r="V95">
        <v>17011464000</v>
      </c>
      <c r="W95">
        <v>18091820000</v>
      </c>
      <c r="X95">
        <v>20042862000</v>
      </c>
      <c r="Y95">
        <v>21249984000</v>
      </c>
      <c r="Z95">
        <v>22187994000</v>
      </c>
      <c r="AA95">
        <v>23300004000</v>
      </c>
      <c r="AB95">
        <v>24129168000</v>
      </c>
      <c r="AC95">
        <v>25678637000</v>
      </c>
      <c r="AD95">
        <v>22598502000</v>
      </c>
      <c r="AE95">
        <v>27442710000</v>
      </c>
      <c r="AF95" t="s">
        <v>34</v>
      </c>
      <c r="AG95">
        <f t="shared" si="4"/>
        <v>18030858703.703705</v>
      </c>
      <c r="AI95" s="7">
        <f t="shared" si="5"/>
        <v>8.9271272023806176</v>
      </c>
      <c r="AK95" s="7" t="str">
        <f t="shared" si="6"/>
        <v>NA</v>
      </c>
      <c r="AM95" s="7">
        <f t="shared" si="7"/>
        <v>10.63005510678828</v>
      </c>
    </row>
    <row r="96" spans="1:39" x14ac:dyDescent="0.3">
      <c r="A96" t="s">
        <v>501</v>
      </c>
      <c r="B96" s="1" t="s">
        <v>502</v>
      </c>
      <c r="C96" t="s">
        <v>222</v>
      </c>
      <c r="D96" s="1" t="s">
        <v>223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34</v>
      </c>
      <c r="AE96" t="s">
        <v>34</v>
      </c>
      <c r="AF96" t="s">
        <v>34</v>
      </c>
      <c r="AG96" t="str">
        <f t="shared" si="4"/>
        <v>NA</v>
      </c>
      <c r="AI96" s="7" t="str">
        <f t="shared" si="5"/>
        <v>NA</v>
      </c>
      <c r="AK96" s="7" t="str">
        <f t="shared" si="6"/>
        <v>NA</v>
      </c>
      <c r="AM96" s="7" t="str">
        <f t="shared" si="7"/>
        <v>NA</v>
      </c>
    </row>
    <row r="97" spans="1:39" x14ac:dyDescent="0.3">
      <c r="A97" t="s">
        <v>501</v>
      </c>
      <c r="B97" s="1" t="s">
        <v>502</v>
      </c>
      <c r="C97" t="s">
        <v>224</v>
      </c>
      <c r="D97" s="1" t="s">
        <v>225</v>
      </c>
      <c r="E97">
        <v>35915000000</v>
      </c>
      <c r="F97">
        <v>41523000000</v>
      </c>
      <c r="G97">
        <v>45970000000</v>
      </c>
      <c r="H97">
        <v>49164000000</v>
      </c>
      <c r="I97">
        <v>54153000000</v>
      </c>
      <c r="J97">
        <v>60881001000</v>
      </c>
      <c r="K97">
        <v>61056140000</v>
      </c>
      <c r="L97">
        <v>66865300000</v>
      </c>
      <c r="M97">
        <v>67362584112.974403</v>
      </c>
      <c r="N97">
        <v>70743665956.373703</v>
      </c>
      <c r="O97">
        <v>74723301982.240707</v>
      </c>
      <c r="P97">
        <v>78555400000</v>
      </c>
      <c r="Q97">
        <v>85312228210.311295</v>
      </c>
      <c r="R97">
        <v>88500786413.942902</v>
      </c>
      <c r="S97">
        <v>91675811926.300003</v>
      </c>
      <c r="T97">
        <v>103071196806.825</v>
      </c>
      <c r="U97">
        <v>109651835637.577</v>
      </c>
      <c r="V97">
        <v>112496700765.30701</v>
      </c>
      <c r="W97">
        <v>123342503638.354</v>
      </c>
      <c r="X97">
        <v>132849454972.2</v>
      </c>
      <c r="Y97">
        <v>137568101621.89999</v>
      </c>
      <c r="Z97">
        <v>143082928176.73099</v>
      </c>
      <c r="AA97">
        <v>142758917030.5</v>
      </c>
      <c r="AB97">
        <v>148660505714</v>
      </c>
      <c r="AC97">
        <v>153122590607.80701</v>
      </c>
      <c r="AD97">
        <v>148716242752.88199</v>
      </c>
      <c r="AE97">
        <v>177535591851.242</v>
      </c>
      <c r="AF97" t="s">
        <v>34</v>
      </c>
      <c r="AG97">
        <f t="shared" si="4"/>
        <v>96491029228.795105</v>
      </c>
      <c r="AI97" s="7">
        <f t="shared" si="5"/>
        <v>10.785748849336668</v>
      </c>
      <c r="AK97" s="7">
        <f t="shared" si="6"/>
        <v>0.239489483489327</v>
      </c>
      <c r="AM97" s="7">
        <f t="shared" si="7"/>
        <v>10.418939309829602</v>
      </c>
    </row>
    <row r="98" spans="1:39" x14ac:dyDescent="0.3">
      <c r="A98" t="s">
        <v>501</v>
      </c>
      <c r="B98" s="1" t="s">
        <v>502</v>
      </c>
      <c r="C98" t="s">
        <v>226</v>
      </c>
      <c r="D98" s="1" t="s">
        <v>227</v>
      </c>
      <c r="E98">
        <v>90225000000</v>
      </c>
      <c r="F98">
        <v>90631000000</v>
      </c>
      <c r="G98">
        <v>98781000000</v>
      </c>
      <c r="H98">
        <v>107783000000</v>
      </c>
      <c r="I98">
        <v>114046000000</v>
      </c>
      <c r="J98">
        <v>113727000000</v>
      </c>
      <c r="K98">
        <v>113826000000</v>
      </c>
      <c r="L98">
        <v>117741000000</v>
      </c>
      <c r="M98">
        <v>116775000000</v>
      </c>
      <c r="N98">
        <v>122741000000</v>
      </c>
      <c r="O98">
        <v>127098000000</v>
      </c>
      <c r="P98">
        <v>136104000000</v>
      </c>
      <c r="Q98">
        <v>139407000000</v>
      </c>
      <c r="R98">
        <v>135424000000</v>
      </c>
      <c r="S98">
        <v>130994000000</v>
      </c>
      <c r="T98">
        <v>142841000000</v>
      </c>
      <c r="U98">
        <v>148537000000</v>
      </c>
      <c r="V98">
        <v>153534000000</v>
      </c>
      <c r="W98">
        <v>152599000000</v>
      </c>
      <c r="X98">
        <v>158345000000</v>
      </c>
      <c r="Y98">
        <v>159878000000</v>
      </c>
      <c r="Z98">
        <v>166473000000</v>
      </c>
      <c r="AA98">
        <v>170349000000</v>
      </c>
      <c r="AB98">
        <v>173197000000</v>
      </c>
      <c r="AC98">
        <v>176603000000</v>
      </c>
      <c r="AD98">
        <v>154309000000</v>
      </c>
      <c r="AE98">
        <v>178020000000</v>
      </c>
      <c r="AF98" t="s">
        <v>34</v>
      </c>
      <c r="AG98">
        <f t="shared" si="4"/>
        <v>136666222222.22223</v>
      </c>
      <c r="AI98" s="7">
        <f t="shared" si="5"/>
        <v>9.0529046494509711</v>
      </c>
      <c r="AK98" s="7" t="str">
        <f t="shared" si="6"/>
        <v>NA</v>
      </c>
      <c r="AM98" s="7">
        <f t="shared" si="7"/>
        <v>12.877965572002006</v>
      </c>
    </row>
    <row r="99" spans="1:39" x14ac:dyDescent="0.3">
      <c r="A99" t="s">
        <v>501</v>
      </c>
      <c r="B99" s="1" t="s">
        <v>502</v>
      </c>
      <c r="C99" t="s">
        <v>228</v>
      </c>
      <c r="D99" s="1" t="s">
        <v>229</v>
      </c>
      <c r="E99">
        <v>21813173312.32</v>
      </c>
      <c r="F99">
        <v>23044093943.130001</v>
      </c>
      <c r="G99">
        <v>24463683028.349998</v>
      </c>
      <c r="H99">
        <v>28442709577.98</v>
      </c>
      <c r="I99">
        <v>33106373744.200001</v>
      </c>
      <c r="J99">
        <v>36569399991.389999</v>
      </c>
      <c r="K99">
        <v>39089942291</v>
      </c>
      <c r="L99">
        <v>44826778315</v>
      </c>
      <c r="M99">
        <v>57006371500</v>
      </c>
      <c r="N99">
        <v>65017303900</v>
      </c>
      <c r="O99">
        <v>70226143000</v>
      </c>
      <c r="P99">
        <v>82792997500</v>
      </c>
      <c r="Q99">
        <v>92286990983</v>
      </c>
      <c r="R99">
        <v>101087478547.78</v>
      </c>
      <c r="S99">
        <v>110993518706</v>
      </c>
      <c r="T99">
        <v>133807329032.83</v>
      </c>
      <c r="U99">
        <v>138818477926.82999</v>
      </c>
      <c r="V99">
        <v>155244446718.51001</v>
      </c>
      <c r="W99">
        <v>174308539291</v>
      </c>
      <c r="X99">
        <v>189900857222</v>
      </c>
      <c r="Y99">
        <v>215611006421.64001</v>
      </c>
      <c r="Z99">
        <v>243468684914.72</v>
      </c>
      <c r="AA99">
        <v>276424721418.66998</v>
      </c>
      <c r="AB99">
        <v>300651900924.67102</v>
      </c>
      <c r="AC99">
        <v>313438600000</v>
      </c>
      <c r="AD99">
        <v>263602010885.35001</v>
      </c>
      <c r="AE99" t="s">
        <v>34</v>
      </c>
      <c r="AF99" t="s">
        <v>34</v>
      </c>
      <c r="AG99">
        <f t="shared" si="4"/>
        <v>124463212811.3989</v>
      </c>
      <c r="AI99" s="7">
        <f t="shared" si="5"/>
        <v>11.138618436701622</v>
      </c>
      <c r="AK99" s="7">
        <f t="shared" si="6"/>
        <v>2.5754469222676426</v>
      </c>
      <c r="AM99" s="7">
        <f t="shared" si="7"/>
        <v>8.836562711874306</v>
      </c>
    </row>
    <row r="100" spans="1:39" x14ac:dyDescent="0.3">
      <c r="A100" t="s">
        <v>501</v>
      </c>
      <c r="B100" s="1" t="s">
        <v>502</v>
      </c>
      <c r="C100" t="s">
        <v>230</v>
      </c>
      <c r="D100" s="1" t="s">
        <v>231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  <c r="AE100" t="s">
        <v>34</v>
      </c>
      <c r="AF100" t="s">
        <v>34</v>
      </c>
      <c r="AG100" t="str">
        <f t="shared" si="4"/>
        <v>NA</v>
      </c>
      <c r="AI100" s="7" t="str">
        <f t="shared" si="5"/>
        <v>NA</v>
      </c>
      <c r="AK100" s="7" t="str">
        <f t="shared" si="6"/>
        <v>NA</v>
      </c>
      <c r="AM100" s="7" t="str">
        <f t="shared" si="7"/>
        <v>NA</v>
      </c>
    </row>
    <row r="101" spans="1:39" x14ac:dyDescent="0.3">
      <c r="A101" t="s">
        <v>501</v>
      </c>
      <c r="B101" s="1" t="s">
        <v>502</v>
      </c>
      <c r="C101" t="s">
        <v>232</v>
      </c>
      <c r="D101" s="1" t="s">
        <v>233</v>
      </c>
      <c r="E101">
        <v>416970000</v>
      </c>
      <c r="F101">
        <v>473780000</v>
      </c>
      <c r="G101">
        <v>464220000</v>
      </c>
      <c r="H101">
        <v>484660000</v>
      </c>
      <c r="I101">
        <v>506310000</v>
      </c>
      <c r="J101">
        <v>586350000</v>
      </c>
      <c r="K101">
        <v>628540000</v>
      </c>
      <c r="L101">
        <v>624060000</v>
      </c>
      <c r="M101">
        <v>753100000</v>
      </c>
      <c r="N101">
        <v>1019595000</v>
      </c>
      <c r="O101">
        <v>1337900000</v>
      </c>
      <c r="P101">
        <v>1607440000</v>
      </c>
      <c r="Q101">
        <v>1871800000</v>
      </c>
      <c r="R101">
        <v>1801000000</v>
      </c>
      <c r="S101">
        <v>1698300000</v>
      </c>
      <c r="T101">
        <v>2075700000</v>
      </c>
      <c r="U101">
        <v>2107700000</v>
      </c>
      <c r="V101">
        <v>2377500000</v>
      </c>
      <c r="W101">
        <v>2645600000</v>
      </c>
      <c r="X101">
        <v>2943500000</v>
      </c>
      <c r="Y101">
        <v>2779900000</v>
      </c>
      <c r="Z101">
        <v>2883900000</v>
      </c>
      <c r="AA101">
        <v>2993400000</v>
      </c>
      <c r="AB101">
        <v>3184600000</v>
      </c>
      <c r="AC101">
        <v>3302400000</v>
      </c>
      <c r="AD101">
        <v>3533900000</v>
      </c>
      <c r="AE101" t="s">
        <v>34</v>
      </c>
      <c r="AF101" t="s">
        <v>34</v>
      </c>
      <c r="AG101">
        <f t="shared" si="4"/>
        <v>1734697115.3846154</v>
      </c>
      <c r="AI101" s="7">
        <f t="shared" si="5"/>
        <v>10.009207140718082</v>
      </c>
      <c r="AK101" s="7">
        <f t="shared" si="6"/>
        <v>1.7721072368269446</v>
      </c>
      <c r="AM101" s="7">
        <f t="shared" si="7"/>
        <v>3.0070635683102025</v>
      </c>
    </row>
    <row r="102" spans="1:39" x14ac:dyDescent="0.3">
      <c r="A102" t="s">
        <v>501</v>
      </c>
      <c r="B102" s="1" t="s">
        <v>502</v>
      </c>
      <c r="C102" t="s">
        <v>234</v>
      </c>
      <c r="D102" s="1" t="s">
        <v>235</v>
      </c>
      <c r="E102" t="s">
        <v>34</v>
      </c>
      <c r="F102" t="s">
        <v>34</v>
      </c>
      <c r="G102">
        <v>67970000000</v>
      </c>
      <c r="H102">
        <v>85906000000</v>
      </c>
      <c r="I102">
        <v>108676000000</v>
      </c>
      <c r="J102">
        <v>141025788000</v>
      </c>
      <c r="K102">
        <v>196015453000</v>
      </c>
      <c r="L102">
        <v>208453864000</v>
      </c>
      <c r="M102">
        <v>286037711000</v>
      </c>
      <c r="N102">
        <v>381743919000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>
        <v>724177558361.59998</v>
      </c>
      <c r="U102">
        <v>916918440712.59998</v>
      </c>
      <c r="V102">
        <v>968627194012.19995</v>
      </c>
      <c r="W102">
        <v>1391305530681.3</v>
      </c>
      <c r="X102">
        <v>1276759141759.2</v>
      </c>
      <c r="Y102">
        <v>1042288836834.23</v>
      </c>
      <c r="Z102">
        <v>1669014633777.5</v>
      </c>
      <c r="AA102">
        <v>1771764933838.3</v>
      </c>
      <c r="AB102">
        <v>2190576063250.5</v>
      </c>
      <c r="AC102">
        <v>2860457927478.3999</v>
      </c>
      <c r="AD102">
        <v>2687200267087.8999</v>
      </c>
      <c r="AE102">
        <v>2940400000000</v>
      </c>
      <c r="AF102" t="s">
        <v>34</v>
      </c>
      <c r="AG102">
        <f t="shared" si="4"/>
        <v>1095765963139.6865</v>
      </c>
      <c r="AI102" s="7">
        <f t="shared" si="5"/>
        <v>3.9316214485855694</v>
      </c>
      <c r="AK102" s="7">
        <f t="shared" si="6"/>
        <v>3.1525114201085436</v>
      </c>
      <c r="AM102" s="7">
        <f t="shared" si="7"/>
        <v>5.4681621255409594</v>
      </c>
    </row>
    <row r="103" spans="1:39" x14ac:dyDescent="0.3">
      <c r="A103" t="s">
        <v>501</v>
      </c>
      <c r="B103" s="1" t="s">
        <v>502</v>
      </c>
      <c r="C103" t="s">
        <v>236</v>
      </c>
      <c r="D103" s="1" t="s">
        <v>237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>
        <v>357994224855.65002</v>
      </c>
      <c r="Y103">
        <v>399928519496</v>
      </c>
      <c r="Z103" t="s">
        <v>34</v>
      </c>
      <c r="AA103">
        <v>528005512466.85999</v>
      </c>
      <c r="AB103">
        <v>553591210000</v>
      </c>
      <c r="AC103">
        <v>706557862915.59998</v>
      </c>
      <c r="AD103">
        <v>673815282805.65002</v>
      </c>
      <c r="AE103">
        <v>723401144565.15002</v>
      </c>
      <c r="AF103" t="s">
        <v>34</v>
      </c>
      <c r="AG103">
        <f t="shared" si="4"/>
        <v>563327679586.41565</v>
      </c>
      <c r="AI103" s="7">
        <f t="shared" si="5"/>
        <v>12.845438822574097</v>
      </c>
      <c r="AK103" s="7">
        <f t="shared" si="6"/>
        <v>2.9568257596771788</v>
      </c>
      <c r="AM103" s="7">
        <f t="shared" si="7"/>
        <v>14.10780249049604</v>
      </c>
    </row>
    <row r="104" spans="1:39" x14ac:dyDescent="0.3">
      <c r="A104" t="s">
        <v>501</v>
      </c>
      <c r="B104" s="1" t="s">
        <v>502</v>
      </c>
      <c r="C104" t="s">
        <v>238</v>
      </c>
      <c r="D104" s="1" t="s">
        <v>239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>
        <v>74621.820000000007</v>
      </c>
      <c r="V104">
        <v>477328.78</v>
      </c>
      <c r="W104">
        <v>1345169.79</v>
      </c>
      <c r="X104">
        <v>14768639.359999999</v>
      </c>
      <c r="Y104">
        <v>30796711.949999999</v>
      </c>
      <c r="Z104">
        <v>38782657.460000001</v>
      </c>
      <c r="AA104">
        <v>30786387.879999999</v>
      </c>
      <c r="AB104">
        <v>34311982.520000003</v>
      </c>
      <c r="AC104">
        <v>42881026.869999997</v>
      </c>
      <c r="AD104">
        <v>41814270.920000002</v>
      </c>
      <c r="AE104">
        <v>47214333.979999997</v>
      </c>
      <c r="AF104" t="s">
        <v>34</v>
      </c>
      <c r="AG104">
        <f t="shared" si="4"/>
        <v>25750284.666363642</v>
      </c>
      <c r="AI104" s="7">
        <f t="shared" si="5"/>
        <v>14.628376209316764</v>
      </c>
      <c r="AK104" s="7">
        <f t="shared" si="6"/>
        <v>5.06056886228561</v>
      </c>
      <c r="AM104" s="7">
        <f t="shared" si="7"/>
        <v>10.060152094623827</v>
      </c>
    </row>
    <row r="105" spans="1:39" x14ac:dyDescent="0.3">
      <c r="A105" t="s">
        <v>501</v>
      </c>
      <c r="B105" s="1" t="s">
        <v>502</v>
      </c>
      <c r="C105" t="s">
        <v>240</v>
      </c>
      <c r="D105" s="1" t="s">
        <v>241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 t="s">
        <v>34</v>
      </c>
      <c r="AF105" t="s">
        <v>34</v>
      </c>
      <c r="AG105" t="str">
        <f t="shared" si="4"/>
        <v>NA</v>
      </c>
      <c r="AI105" s="7" t="str">
        <f t="shared" si="5"/>
        <v>NA</v>
      </c>
      <c r="AK105" s="7" t="str">
        <f t="shared" si="6"/>
        <v>NA</v>
      </c>
      <c r="AM105" s="7" t="str">
        <f t="shared" si="7"/>
        <v>NA</v>
      </c>
    </row>
    <row r="106" spans="1:39" x14ac:dyDescent="0.3">
      <c r="A106" t="s">
        <v>501</v>
      </c>
      <c r="B106" s="1" t="s">
        <v>502</v>
      </c>
      <c r="C106" t="s">
        <v>242</v>
      </c>
      <c r="D106" s="1" t="s">
        <v>243</v>
      </c>
      <c r="E106">
        <v>23496000000000</v>
      </c>
      <c r="F106">
        <v>27768000000000</v>
      </c>
      <c r="G106">
        <v>30912000000000</v>
      </c>
      <c r="H106">
        <v>27401076000000</v>
      </c>
      <c r="I106">
        <v>34961081000000</v>
      </c>
      <c r="J106">
        <v>40756006000000</v>
      </c>
      <c r="K106">
        <v>45615491000000</v>
      </c>
      <c r="L106">
        <v>50083118000000</v>
      </c>
      <c r="M106">
        <v>52512747000000</v>
      </c>
      <c r="N106">
        <v>53101860000000</v>
      </c>
      <c r="O106">
        <v>55771200000000</v>
      </c>
      <c r="P106">
        <v>57521900000000</v>
      </c>
      <c r="Q106">
        <v>63303331000000</v>
      </c>
      <c r="R106">
        <v>65847080000000</v>
      </c>
      <c r="S106">
        <v>67030321000000</v>
      </c>
      <c r="T106">
        <v>74702494000000</v>
      </c>
      <c r="U106">
        <v>75798085000000</v>
      </c>
      <c r="V106">
        <v>86543100000000</v>
      </c>
      <c r="W106">
        <v>85012000000000</v>
      </c>
      <c r="X106">
        <v>86772281564906</v>
      </c>
      <c r="Y106">
        <v>88352814003310</v>
      </c>
      <c r="Z106">
        <v>99360141855856</v>
      </c>
      <c r="AA106">
        <v>105370123497602</v>
      </c>
      <c r="AB106">
        <v>111336653688500</v>
      </c>
      <c r="AC106">
        <v>108042347972102</v>
      </c>
      <c r="AD106">
        <v>107264536897229</v>
      </c>
      <c r="AE106">
        <v>117699502778418</v>
      </c>
      <c r="AF106" t="s">
        <v>34</v>
      </c>
      <c r="AG106">
        <f t="shared" si="4"/>
        <v>68234640453997.148</v>
      </c>
      <c r="AI106" s="7">
        <f t="shared" si="5"/>
        <v>5.5612119380541216</v>
      </c>
      <c r="AK106" s="7">
        <f t="shared" si="6"/>
        <v>0.61187034393931272</v>
      </c>
      <c r="AM106" s="7">
        <f t="shared" si="7"/>
        <v>6.4801826786221346</v>
      </c>
    </row>
    <row r="107" spans="1:39" x14ac:dyDescent="0.3">
      <c r="A107" t="s">
        <v>501</v>
      </c>
      <c r="B107" s="1" t="s">
        <v>502</v>
      </c>
      <c r="C107" t="s">
        <v>244</v>
      </c>
      <c r="D107" s="1" t="s">
        <v>245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  <c r="AD107" t="s">
        <v>34</v>
      </c>
      <c r="AE107" t="s">
        <v>34</v>
      </c>
      <c r="AF107" t="s">
        <v>34</v>
      </c>
      <c r="AG107" t="str">
        <f t="shared" si="4"/>
        <v>NA</v>
      </c>
      <c r="AI107" s="7" t="str">
        <f t="shared" si="5"/>
        <v>NA</v>
      </c>
      <c r="AK107" s="7" t="str">
        <f t="shared" si="6"/>
        <v>NA</v>
      </c>
      <c r="AM107" s="7" t="str">
        <f t="shared" si="7"/>
        <v>NA</v>
      </c>
    </row>
    <row r="108" spans="1:39" x14ac:dyDescent="0.3">
      <c r="A108" t="s">
        <v>501</v>
      </c>
      <c r="B108" s="1" t="s">
        <v>502</v>
      </c>
      <c r="C108" t="s">
        <v>246</v>
      </c>
      <c r="D108" s="1" t="s">
        <v>247</v>
      </c>
      <c r="E108">
        <v>1000000</v>
      </c>
      <c r="F108" t="s">
        <v>34</v>
      </c>
      <c r="G108">
        <v>1000000</v>
      </c>
      <c r="H108">
        <v>1000000</v>
      </c>
      <c r="I108" t="s">
        <v>34</v>
      </c>
      <c r="J108" t="s">
        <v>34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t="s">
        <v>34</v>
      </c>
      <c r="AE108" t="s">
        <v>34</v>
      </c>
      <c r="AF108" t="s">
        <v>34</v>
      </c>
      <c r="AG108">
        <f t="shared" si="4"/>
        <v>1000000</v>
      </c>
      <c r="AI108" s="7">
        <f t="shared" si="5"/>
        <v>3.4998175387625252E-3</v>
      </c>
      <c r="AK108" s="7">
        <f t="shared" si="6"/>
        <v>0.26511117856126126</v>
      </c>
      <c r="AM108" s="7">
        <f t="shared" si="7"/>
        <v>7.5246077083394286E-2</v>
      </c>
    </row>
    <row r="109" spans="1:39" x14ac:dyDescent="0.3">
      <c r="A109" t="s">
        <v>501</v>
      </c>
      <c r="B109" s="1" t="s">
        <v>502</v>
      </c>
      <c r="C109" t="s">
        <v>248</v>
      </c>
      <c r="D109" s="1" t="s">
        <v>249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>
        <v>42634400000</v>
      </c>
      <c r="Y109">
        <v>47045000000</v>
      </c>
      <c r="Z109">
        <v>51364300000</v>
      </c>
      <c r="AA109">
        <v>56654400000</v>
      </c>
      <c r="AB109">
        <v>65224200000</v>
      </c>
      <c r="AC109">
        <v>62965100000</v>
      </c>
      <c r="AD109">
        <v>51291683064.010002</v>
      </c>
      <c r="AE109">
        <v>79934703122.630005</v>
      </c>
      <c r="AF109" t="s">
        <v>34</v>
      </c>
      <c r="AG109">
        <f t="shared" si="4"/>
        <v>57139223273.330002</v>
      </c>
      <c r="AI109" s="7">
        <f t="shared" si="5"/>
        <v>20.203565020157114</v>
      </c>
      <c r="AK109" s="7">
        <f t="shared" si="6"/>
        <v>6.0230040537013094</v>
      </c>
      <c r="AM109" s="7">
        <f t="shared" si="7"/>
        <v>6.4594566246549325</v>
      </c>
    </row>
    <row r="110" spans="1:39" x14ac:dyDescent="0.3">
      <c r="A110" t="s">
        <v>501</v>
      </c>
      <c r="B110" s="1" t="s">
        <v>502</v>
      </c>
      <c r="C110" t="s">
        <v>250</v>
      </c>
      <c r="D110" s="1" t="s">
        <v>251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  <c r="AD110" t="s">
        <v>34</v>
      </c>
      <c r="AE110" t="s">
        <v>34</v>
      </c>
      <c r="AF110" t="s">
        <v>34</v>
      </c>
      <c r="AG110" t="str">
        <f t="shared" si="4"/>
        <v>NA</v>
      </c>
      <c r="AI110" s="7" t="str">
        <f t="shared" si="5"/>
        <v>NA</v>
      </c>
      <c r="AK110" s="7" t="str">
        <f t="shared" si="6"/>
        <v>NA</v>
      </c>
      <c r="AM110" s="7" t="str">
        <f t="shared" si="7"/>
        <v>NA</v>
      </c>
    </row>
    <row r="111" spans="1:39" x14ac:dyDescent="0.3">
      <c r="A111" t="s">
        <v>501</v>
      </c>
      <c r="B111" s="1" t="s">
        <v>502</v>
      </c>
      <c r="C111" t="s">
        <v>252</v>
      </c>
      <c r="D111" s="1" t="s">
        <v>253</v>
      </c>
      <c r="E111">
        <v>651908640.2467829</v>
      </c>
      <c r="F111">
        <v>719772511.25491607</v>
      </c>
      <c r="G111">
        <v>891826170.59663868</v>
      </c>
      <c r="H111">
        <v>1073202486.0416275</v>
      </c>
      <c r="I111">
        <v>1074574134.4670777</v>
      </c>
      <c r="J111">
        <v>1077556473.7821641</v>
      </c>
      <c r="K111">
        <v>1134203846.3070786</v>
      </c>
      <c r="L111">
        <v>1205728766.4839699</v>
      </c>
      <c r="M111">
        <v>1450055776.5749769</v>
      </c>
      <c r="N111">
        <v>1690432894.5196669</v>
      </c>
      <c r="O111">
        <v>2240202104.7119823</v>
      </c>
      <c r="P111">
        <v>2908756922.271359</v>
      </c>
      <c r="Q111">
        <v>3640387647.1960888</v>
      </c>
      <c r="R111">
        <v>3539020836.5347948</v>
      </c>
      <c r="S111">
        <v>2803841469.3143468</v>
      </c>
      <c r="T111">
        <v>2913866454.9433413</v>
      </c>
      <c r="U111">
        <v>3363283362.0753441</v>
      </c>
      <c r="V111">
        <v>3752731913.8764153</v>
      </c>
      <c r="W111">
        <v>4029588619.3021097</v>
      </c>
      <c r="X111">
        <v>4280886278.3934069</v>
      </c>
      <c r="Y111">
        <v>4515315792.169652</v>
      </c>
      <c r="Z111">
        <v>4847468141.9001598</v>
      </c>
      <c r="AA111">
        <v>5125983915.8570528</v>
      </c>
      <c r="AB111">
        <v>5700023050.5233326</v>
      </c>
      <c r="AC111">
        <v>5870917069.3393888</v>
      </c>
      <c r="AD111">
        <v>5785002646.5415678</v>
      </c>
      <c r="AE111">
        <v>6186309412.0124531</v>
      </c>
      <c r="AF111" t="s">
        <v>34</v>
      </c>
      <c r="AG111">
        <f t="shared" si="4"/>
        <v>3054549901.3791738</v>
      </c>
      <c r="AI111" s="7">
        <f t="shared" si="5"/>
        <v>16.702384761973299</v>
      </c>
      <c r="AK111" s="7">
        <f t="shared" si="6"/>
        <v>0.11087100764135217</v>
      </c>
      <c r="AM111" s="7">
        <f t="shared" si="7"/>
        <v>3.7549611652394845</v>
      </c>
    </row>
    <row r="112" spans="1:39" x14ac:dyDescent="0.3">
      <c r="A112" t="s">
        <v>501</v>
      </c>
      <c r="B112" s="1" t="s">
        <v>502</v>
      </c>
      <c r="C112" t="s">
        <v>254</v>
      </c>
      <c r="D112" s="1" t="s">
        <v>255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>
        <v>1066400000000</v>
      </c>
      <c r="K112">
        <v>1213400000000</v>
      </c>
      <c r="L112">
        <v>2355800000000</v>
      </c>
      <c r="M112">
        <v>2858000000000</v>
      </c>
      <c r="N112">
        <v>3155600000000</v>
      </c>
      <c r="O112">
        <v>2731796000000</v>
      </c>
      <c r="P112">
        <v>2517483000000</v>
      </c>
      <c r="Q112">
        <v>2921104000000</v>
      </c>
      <c r="R112">
        <v>3821810000000</v>
      </c>
      <c r="S112">
        <v>5183256000000</v>
      </c>
      <c r="T112">
        <v>5361420000000</v>
      </c>
      <c r="U112">
        <v>5059490000000</v>
      </c>
      <c r="V112">
        <v>5101540000000</v>
      </c>
      <c r="W112">
        <v>4947900000000</v>
      </c>
      <c r="X112">
        <v>4929251000000</v>
      </c>
      <c r="Y112">
        <v>4871797000000</v>
      </c>
      <c r="Z112">
        <v>5014649000000</v>
      </c>
      <c r="AA112">
        <v>5397724001000</v>
      </c>
      <c r="AB112">
        <v>5697866722000</v>
      </c>
      <c r="AC112">
        <v>4879338684000</v>
      </c>
      <c r="AD112">
        <v>3285127632000</v>
      </c>
      <c r="AE112">
        <v>6696746121000</v>
      </c>
      <c r="AF112" t="s">
        <v>34</v>
      </c>
      <c r="AG112">
        <f t="shared" si="4"/>
        <v>4048522689090.9092</v>
      </c>
      <c r="AI112" s="7">
        <f t="shared" si="5"/>
        <v>6.949499397239852</v>
      </c>
      <c r="AK112" s="7">
        <f t="shared" si="6"/>
        <v>1.3628094324386728</v>
      </c>
      <c r="AM112" s="7">
        <f t="shared" si="7"/>
        <v>3.4697852510080724</v>
      </c>
    </row>
    <row r="113" spans="1:39" x14ac:dyDescent="0.3">
      <c r="A113" t="s">
        <v>501</v>
      </c>
      <c r="B113" s="1" t="s">
        <v>502</v>
      </c>
      <c r="C113" t="s">
        <v>256</v>
      </c>
      <c r="D113" s="1" t="s">
        <v>257</v>
      </c>
      <c r="E113">
        <v>503438879.69999999</v>
      </c>
      <c r="F113">
        <v>489975414.39999998</v>
      </c>
      <c r="G113">
        <v>641755600.20000005</v>
      </c>
      <c r="H113">
        <v>584476345</v>
      </c>
      <c r="I113">
        <v>619988763</v>
      </c>
      <c r="J113">
        <v>645976039.60000002</v>
      </c>
      <c r="K113">
        <v>784850264</v>
      </c>
      <c r="L113">
        <v>866606716.23211896</v>
      </c>
      <c r="M113">
        <v>1032800000</v>
      </c>
      <c r="N113">
        <v>1323400000</v>
      </c>
      <c r="O113">
        <v>1442000000</v>
      </c>
      <c r="P113">
        <v>1972029413.6500001</v>
      </c>
      <c r="Q113">
        <v>2206824100.98175</v>
      </c>
      <c r="R113">
        <v>2567875752.24123</v>
      </c>
      <c r="S113">
        <v>2645026128.62608</v>
      </c>
      <c r="T113">
        <v>2190722437.0223598</v>
      </c>
      <c r="U113">
        <v>2415718629.9785199</v>
      </c>
      <c r="V113">
        <v>3608670570.32512</v>
      </c>
      <c r="W113">
        <v>3702922709.35356</v>
      </c>
      <c r="X113">
        <v>4453846018.4849195</v>
      </c>
      <c r="Y113">
        <v>4602758723.5829</v>
      </c>
      <c r="Z113">
        <v>4024727703.6457601</v>
      </c>
      <c r="AA113">
        <v>4728776792.6508503</v>
      </c>
      <c r="AB113">
        <v>4962283589.8500004</v>
      </c>
      <c r="AC113">
        <v>5320718716.1800003</v>
      </c>
      <c r="AD113">
        <v>5750530148.6967602</v>
      </c>
      <c r="AE113">
        <v>5470876062.8540001</v>
      </c>
      <c r="AF113">
        <v>5800026350.8227596</v>
      </c>
      <c r="AG113">
        <f t="shared" si="4"/>
        <v>2691414352.5385246</v>
      </c>
      <c r="AI113" s="7">
        <f t="shared" si="5"/>
        <v>15.153745410791585</v>
      </c>
      <c r="AK113" s="7">
        <f t="shared" si="6"/>
        <v>6.4386270945745858</v>
      </c>
      <c r="AM113" s="7">
        <f t="shared" si="7"/>
        <v>11.120534043019831</v>
      </c>
    </row>
    <row r="114" spans="1:39" x14ac:dyDescent="0.3">
      <c r="A114" t="s">
        <v>501</v>
      </c>
      <c r="B114" s="1" t="s">
        <v>502</v>
      </c>
      <c r="C114" t="s">
        <v>258</v>
      </c>
      <c r="D114" s="1" t="s">
        <v>259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>
        <v>13651196.77</v>
      </c>
      <c r="P114">
        <v>20318242</v>
      </c>
      <c r="Q114">
        <v>26731323</v>
      </c>
      <c r="R114">
        <v>30046695</v>
      </c>
      <c r="S114" t="s">
        <v>34</v>
      </c>
      <c r="T114">
        <v>48747702</v>
      </c>
      <c r="U114">
        <v>52941146.380000003</v>
      </c>
      <c r="V114">
        <v>61114647.229999997</v>
      </c>
      <c r="W114">
        <v>63902824.909999996</v>
      </c>
      <c r="X114" t="s">
        <v>34</v>
      </c>
      <c r="Y114" t="s">
        <v>34</v>
      </c>
      <c r="Z114" t="s">
        <v>34</v>
      </c>
      <c r="AA114" t="s">
        <v>34</v>
      </c>
      <c r="AB114" t="s">
        <v>34</v>
      </c>
      <c r="AC114" t="s">
        <v>34</v>
      </c>
      <c r="AD114" t="s">
        <v>34</v>
      </c>
      <c r="AE114" t="s">
        <v>34</v>
      </c>
      <c r="AF114" t="s">
        <v>34</v>
      </c>
      <c r="AG114">
        <f t="shared" si="4"/>
        <v>39681722.161249995</v>
      </c>
      <c r="AI114" s="7">
        <f t="shared" si="5"/>
        <v>1.7488959638883579</v>
      </c>
      <c r="AK114" s="7">
        <f t="shared" si="6"/>
        <v>3.9715579706572486</v>
      </c>
      <c r="AM114" s="7">
        <f t="shared" si="7"/>
        <v>3.353934162166837</v>
      </c>
    </row>
    <row r="115" spans="1:39" x14ac:dyDescent="0.3">
      <c r="A115" t="s">
        <v>501</v>
      </c>
      <c r="B115" s="1" t="s">
        <v>502</v>
      </c>
      <c r="C115" t="s">
        <v>260</v>
      </c>
      <c r="D115" s="1" t="s">
        <v>261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  <c r="AC115" t="s">
        <v>34</v>
      </c>
      <c r="AD115" t="s">
        <v>34</v>
      </c>
      <c r="AE115" t="s">
        <v>34</v>
      </c>
      <c r="AF115" t="s">
        <v>34</v>
      </c>
      <c r="AG115" t="str">
        <f t="shared" si="4"/>
        <v>NA</v>
      </c>
      <c r="AI115" s="7" t="str">
        <f t="shared" si="5"/>
        <v>NA</v>
      </c>
      <c r="AK115" s="7" t="str">
        <f t="shared" si="6"/>
        <v>NA</v>
      </c>
      <c r="AM115" s="7" t="str">
        <f t="shared" si="7"/>
        <v>NA</v>
      </c>
    </row>
    <row r="116" spans="1:39" x14ac:dyDescent="0.3">
      <c r="A116" t="s">
        <v>501</v>
      </c>
      <c r="B116" s="1" t="s">
        <v>502</v>
      </c>
      <c r="C116" t="s">
        <v>262</v>
      </c>
      <c r="D116" s="1" t="s">
        <v>263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  <c r="AD116" t="s">
        <v>34</v>
      </c>
      <c r="AE116" t="s">
        <v>34</v>
      </c>
      <c r="AF116" t="s">
        <v>34</v>
      </c>
      <c r="AG116" t="str">
        <f t="shared" si="4"/>
        <v>NA</v>
      </c>
      <c r="AI116" s="7" t="str">
        <f t="shared" si="5"/>
        <v>NA</v>
      </c>
      <c r="AK116" s="7" t="str">
        <f t="shared" si="6"/>
        <v>NA</v>
      </c>
      <c r="AM116" s="7" t="str">
        <f t="shared" si="7"/>
        <v>NA</v>
      </c>
    </row>
    <row r="117" spans="1:39" x14ac:dyDescent="0.3">
      <c r="A117" t="s">
        <v>501</v>
      </c>
      <c r="B117" s="1" t="s">
        <v>502</v>
      </c>
      <c r="C117" t="s">
        <v>264</v>
      </c>
      <c r="D117" s="1" t="s">
        <v>265</v>
      </c>
      <c r="E117">
        <v>822373000</v>
      </c>
      <c r="F117">
        <v>982452000</v>
      </c>
      <c r="G117">
        <v>1416489000</v>
      </c>
      <c r="H117">
        <v>1630834000</v>
      </c>
      <c r="I117">
        <v>1591669000</v>
      </c>
      <c r="J117">
        <v>1536916000</v>
      </c>
      <c r="K117">
        <v>1606532000</v>
      </c>
      <c r="L117">
        <v>1750330000</v>
      </c>
      <c r="M117">
        <v>1805303000</v>
      </c>
      <c r="N117">
        <v>1914714000</v>
      </c>
      <c r="O117">
        <v>2254733000</v>
      </c>
      <c r="P117">
        <v>2613567000</v>
      </c>
      <c r="Q117">
        <v>3258939000</v>
      </c>
      <c r="R117">
        <v>3653316000</v>
      </c>
      <c r="S117">
        <v>2971033000</v>
      </c>
      <c r="T117">
        <v>3168769000</v>
      </c>
      <c r="U117">
        <v>3476148000</v>
      </c>
      <c r="V117">
        <v>3560845000</v>
      </c>
      <c r="W117">
        <v>3720753000</v>
      </c>
      <c r="X117">
        <v>3946891000</v>
      </c>
      <c r="Y117">
        <v>4198911000</v>
      </c>
      <c r="Z117">
        <v>4386275000</v>
      </c>
      <c r="AA117">
        <v>4769195000</v>
      </c>
      <c r="AB117">
        <v>5093725000</v>
      </c>
      <c r="AC117">
        <v>5477493000</v>
      </c>
      <c r="AD117">
        <v>5657531000</v>
      </c>
      <c r="AE117">
        <v>6566419000</v>
      </c>
      <c r="AF117" t="s">
        <v>34</v>
      </c>
      <c r="AG117">
        <f t="shared" si="4"/>
        <v>3104894629.6296296</v>
      </c>
      <c r="AI117" s="7">
        <f t="shared" si="5"/>
        <v>10.638057249502546</v>
      </c>
      <c r="AK117" s="7">
        <f t="shared" si="6"/>
        <v>0.1752762496145944</v>
      </c>
      <c r="AM117" s="7">
        <f t="shared" si="7"/>
        <v>6.7384020506871716</v>
      </c>
    </row>
    <row r="118" spans="1:39" x14ac:dyDescent="0.3">
      <c r="A118" t="s">
        <v>501</v>
      </c>
      <c r="B118" s="1" t="s">
        <v>502</v>
      </c>
      <c r="C118" t="s">
        <v>266</v>
      </c>
      <c r="D118" s="1" t="s">
        <v>267</v>
      </c>
      <c r="E118">
        <v>1736099000</v>
      </c>
      <c r="F118">
        <v>1814930000</v>
      </c>
      <c r="G118">
        <v>2037569000</v>
      </c>
      <c r="H118">
        <v>2229912000</v>
      </c>
      <c r="I118">
        <v>2592023000</v>
      </c>
      <c r="J118">
        <v>3013314000</v>
      </c>
      <c r="K118">
        <v>2995480000</v>
      </c>
      <c r="L118">
        <v>3048723000</v>
      </c>
      <c r="M118">
        <v>3198980000</v>
      </c>
      <c r="N118">
        <v>3642205000</v>
      </c>
      <c r="O118">
        <v>3984794000</v>
      </c>
      <c r="P118">
        <v>4207896000</v>
      </c>
      <c r="Q118">
        <v>4794988000</v>
      </c>
      <c r="R118">
        <v>4692779000</v>
      </c>
      <c r="S118">
        <v>4585415000</v>
      </c>
      <c r="T118">
        <v>4929055000</v>
      </c>
      <c r="U118">
        <v>5278411000</v>
      </c>
      <c r="V118">
        <v>5642818000</v>
      </c>
      <c r="W118">
        <v>5955270000</v>
      </c>
      <c r="X118">
        <v>6497660000</v>
      </c>
      <c r="Y118">
        <v>5710324000</v>
      </c>
      <c r="Z118">
        <v>5987354000</v>
      </c>
      <c r="AA118">
        <v>6419580000</v>
      </c>
      <c r="AB118">
        <v>6801132000</v>
      </c>
      <c r="AC118">
        <v>7007172000</v>
      </c>
      <c r="AD118">
        <v>6958370000</v>
      </c>
      <c r="AE118">
        <v>8346364000</v>
      </c>
      <c r="AF118" t="s">
        <v>34</v>
      </c>
      <c r="AG118">
        <f t="shared" si="4"/>
        <v>4596615444.4444447</v>
      </c>
      <c r="AI118" s="7">
        <f t="shared" si="5"/>
        <v>11.345858717163978</v>
      </c>
      <c r="AK118" s="7" t="str">
        <f t="shared" si="6"/>
        <v>NA</v>
      </c>
      <c r="AM118" s="7">
        <f t="shared" si="7"/>
        <v>11.630251123508796</v>
      </c>
    </row>
    <row r="119" spans="1:39" x14ac:dyDescent="0.3">
      <c r="A119" t="s">
        <v>501</v>
      </c>
      <c r="B119" s="1" t="s">
        <v>502</v>
      </c>
      <c r="C119" t="s">
        <v>268</v>
      </c>
      <c r="D119" s="1" t="s">
        <v>269</v>
      </c>
      <c r="E119" t="s">
        <v>34</v>
      </c>
      <c r="F119">
        <v>6239150000</v>
      </c>
      <c r="G119">
        <v>7937950000</v>
      </c>
      <c r="H119">
        <v>6323560000</v>
      </c>
      <c r="I119">
        <v>5926079381</v>
      </c>
      <c r="J119">
        <v>6774610709.8000002</v>
      </c>
      <c r="K119">
        <v>7574407988</v>
      </c>
      <c r="L119">
        <v>8862957844</v>
      </c>
      <c r="M119">
        <v>12007558614.68</v>
      </c>
      <c r="N119">
        <v>16656978101.200001</v>
      </c>
      <c r="O119">
        <v>18816000000</v>
      </c>
      <c r="P119">
        <v>23129000000</v>
      </c>
      <c r="Q119">
        <v>33944223371.950001</v>
      </c>
      <c r="R119">
        <v>47426599424.139999</v>
      </c>
      <c r="S119">
        <v>47118162501.769997</v>
      </c>
      <c r="T119">
        <v>73736275256.809998</v>
      </c>
      <c r="U119">
        <v>106070924494.12</v>
      </c>
      <c r="V119">
        <v>121652398108.56</v>
      </c>
      <c r="W119">
        <v>143803000000</v>
      </c>
      <c r="X119">
        <v>146201249944.04999</v>
      </c>
      <c r="Y119">
        <v>95564099326.619995</v>
      </c>
      <c r="Z119">
        <v>90771052126.330002</v>
      </c>
      <c r="AA119">
        <v>107685915022.28</v>
      </c>
      <c r="AB119">
        <v>121460480301</v>
      </c>
      <c r="AC119">
        <v>121134964425.82001</v>
      </c>
      <c r="AD119">
        <v>33913047850.02</v>
      </c>
      <c r="AE119">
        <v>38382189981.989998</v>
      </c>
      <c r="AF119" t="s">
        <v>34</v>
      </c>
      <c r="AG119">
        <f t="shared" si="4"/>
        <v>55735109029.77462</v>
      </c>
      <c r="AI119" s="7">
        <f t="shared" si="5"/>
        <v>27.478643386753856</v>
      </c>
      <c r="AK119" s="7" t="str">
        <f t="shared" si="6"/>
        <v>NA</v>
      </c>
      <c r="AM119" s="7">
        <f t="shared" si="7"/>
        <v>1.8905422445543199</v>
      </c>
    </row>
    <row r="120" spans="1:39" x14ac:dyDescent="0.3">
      <c r="A120" t="s">
        <v>501</v>
      </c>
      <c r="B120" s="1" t="s">
        <v>502</v>
      </c>
      <c r="C120" t="s">
        <v>270</v>
      </c>
      <c r="D120" s="1" t="s">
        <v>271</v>
      </c>
      <c r="E120">
        <v>62080000000</v>
      </c>
      <c r="F120" t="s">
        <v>34</v>
      </c>
      <c r="G120" t="s">
        <v>34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>
        <v>211489200000</v>
      </c>
      <c r="N120">
        <v>272447400000</v>
      </c>
      <c r="O120">
        <v>297500000000</v>
      </c>
      <c r="P120">
        <v>302200000000</v>
      </c>
      <c r="Q120">
        <v>448741000000</v>
      </c>
      <c r="R120">
        <v>524700000000</v>
      </c>
      <c r="S120">
        <v>347702000000</v>
      </c>
      <c r="T120">
        <v>1023842000000</v>
      </c>
      <c r="U120">
        <v>1203526000000</v>
      </c>
      <c r="V120">
        <v>1307387000000</v>
      </c>
      <c r="W120">
        <v>1535185000000</v>
      </c>
      <c r="X120">
        <v>1586763000000</v>
      </c>
      <c r="Y120">
        <v>1806810000000</v>
      </c>
      <c r="Z120">
        <v>2044729074081</v>
      </c>
      <c r="AA120">
        <v>2471133393308.8901</v>
      </c>
      <c r="AB120">
        <v>2755338229515.8999</v>
      </c>
      <c r="AC120">
        <v>3030618626459.98</v>
      </c>
      <c r="AD120">
        <v>2664830436555.4502</v>
      </c>
      <c r="AE120">
        <v>3377574582988.5098</v>
      </c>
      <c r="AF120" t="s">
        <v>34</v>
      </c>
      <c r="AG120">
        <f t="shared" si="4"/>
        <v>1363729847145.4863</v>
      </c>
      <c r="AI120" s="7">
        <f t="shared" si="5"/>
        <v>5.9434605660546485</v>
      </c>
      <c r="AK120" s="7">
        <f t="shared" si="6"/>
        <v>2.3872717257325311</v>
      </c>
      <c r="AM120" s="7">
        <f t="shared" si="7"/>
        <v>2.7199516238449046</v>
      </c>
    </row>
    <row r="121" spans="1:39" x14ac:dyDescent="0.3">
      <c r="A121" t="s">
        <v>501</v>
      </c>
      <c r="B121" s="1" t="s">
        <v>502</v>
      </c>
      <c r="C121" t="s">
        <v>272</v>
      </c>
      <c r="D121" s="1" t="s">
        <v>273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>
        <v>61143379288</v>
      </c>
      <c r="T121">
        <v>78134147083</v>
      </c>
      <c r="U121">
        <v>93005676378</v>
      </c>
      <c r="V121">
        <v>94519932423</v>
      </c>
      <c r="W121">
        <v>119101242017.423</v>
      </c>
      <c r="X121">
        <v>184625768151.84</v>
      </c>
      <c r="Y121">
        <v>202407190241.22</v>
      </c>
      <c r="Z121">
        <v>258360853438.91299</v>
      </c>
      <c r="AA121">
        <v>338219763336.03302</v>
      </c>
      <c r="AB121">
        <v>380984017405.24701</v>
      </c>
      <c r="AC121">
        <v>436980386429.58301</v>
      </c>
      <c r="AD121">
        <v>477954782007.49902</v>
      </c>
      <c r="AE121">
        <v>522659787852.716</v>
      </c>
      <c r="AF121" t="s">
        <v>34</v>
      </c>
      <c r="AG121">
        <f t="shared" si="4"/>
        <v>249853609696.34412</v>
      </c>
      <c r="AI121" s="7">
        <f t="shared" si="5"/>
        <v>8.4380914566856902</v>
      </c>
      <c r="AK121" s="7">
        <f t="shared" si="6"/>
        <v>1.6838289240831432</v>
      </c>
      <c r="AM121" s="7">
        <f t="shared" si="7"/>
        <v>8.9707095250139499</v>
      </c>
    </row>
    <row r="122" spans="1:39" x14ac:dyDescent="0.3">
      <c r="A122" t="s">
        <v>501</v>
      </c>
      <c r="B122" s="1" t="s">
        <v>502</v>
      </c>
      <c r="C122" t="s">
        <v>274</v>
      </c>
      <c r="D122" s="1" t="s">
        <v>275</v>
      </c>
      <c r="E122" t="s">
        <v>34</v>
      </c>
      <c r="F122">
        <v>15966000000</v>
      </c>
      <c r="G122">
        <v>17607000000</v>
      </c>
      <c r="H122">
        <v>12716000000</v>
      </c>
      <c r="I122">
        <v>14525400000</v>
      </c>
      <c r="J122">
        <v>15448600000</v>
      </c>
      <c r="K122">
        <v>17918541000</v>
      </c>
      <c r="L122">
        <v>18038000000</v>
      </c>
      <c r="M122">
        <v>16800000000</v>
      </c>
      <c r="N122">
        <v>17873000000</v>
      </c>
      <c r="O122">
        <v>21580000000</v>
      </c>
      <c r="P122">
        <v>20018173000</v>
      </c>
      <c r="Q122">
        <v>21025605519.509998</v>
      </c>
      <c r="R122">
        <v>25345478640.779999</v>
      </c>
      <c r="S122">
        <v>24862608270.740002</v>
      </c>
      <c r="T122">
        <v>26730174994.599998</v>
      </c>
      <c r="U122">
        <v>28536000000</v>
      </c>
      <c r="V122">
        <v>30456000000</v>
      </c>
      <c r="W122">
        <v>30974900000</v>
      </c>
      <c r="X122">
        <v>32899790000</v>
      </c>
      <c r="Y122">
        <v>49899000000</v>
      </c>
      <c r="Z122">
        <v>61537900000</v>
      </c>
      <c r="AA122">
        <v>63160828298.550003</v>
      </c>
      <c r="AB122">
        <v>45328260506.800003</v>
      </c>
      <c r="AC122">
        <v>48197280092.910004</v>
      </c>
      <c r="AD122">
        <v>44300437538.050003</v>
      </c>
      <c r="AE122">
        <v>45224645553.959999</v>
      </c>
      <c r="AF122" t="s">
        <v>34</v>
      </c>
      <c r="AG122">
        <f t="shared" si="4"/>
        <v>29498831669.842312</v>
      </c>
      <c r="AI122" s="7">
        <f t="shared" si="5"/>
        <v>3.5969181908508188</v>
      </c>
      <c r="AK122" s="7">
        <f t="shared" si="6"/>
        <v>0.56980765937187372</v>
      </c>
      <c r="AM122" s="7">
        <f t="shared" si="7"/>
        <v>8.8703285521838531</v>
      </c>
    </row>
    <row r="123" spans="1:39" x14ac:dyDescent="0.3">
      <c r="A123" t="s">
        <v>501</v>
      </c>
      <c r="B123" s="1" t="s">
        <v>502</v>
      </c>
      <c r="C123" t="s">
        <v>276</v>
      </c>
      <c r="D123" s="1" t="s">
        <v>277</v>
      </c>
      <c r="E123">
        <v>201300000</v>
      </c>
      <c r="F123">
        <v>229800000</v>
      </c>
      <c r="G123">
        <v>272800000</v>
      </c>
      <c r="H123">
        <v>279600000</v>
      </c>
      <c r="I123">
        <v>295600000</v>
      </c>
      <c r="J123">
        <v>300900000</v>
      </c>
      <c r="K123">
        <v>320600000</v>
      </c>
      <c r="L123">
        <v>338600000</v>
      </c>
      <c r="M123">
        <v>394800000</v>
      </c>
      <c r="N123">
        <v>450500000</v>
      </c>
      <c r="O123">
        <v>391200000</v>
      </c>
      <c r="P123">
        <v>549400000</v>
      </c>
      <c r="Q123">
        <v>607800000</v>
      </c>
      <c r="R123">
        <v>637500000</v>
      </c>
      <c r="S123">
        <v>610400000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  <c r="AD123" t="s">
        <v>34</v>
      </c>
      <c r="AE123" t="s">
        <v>34</v>
      </c>
      <c r="AF123" t="s">
        <v>34</v>
      </c>
      <c r="AG123">
        <f t="shared" si="4"/>
        <v>392053333.33333331</v>
      </c>
      <c r="AI123" s="7">
        <f t="shared" si="5"/>
        <v>1.0546218979516362</v>
      </c>
      <c r="AK123" s="7">
        <f t="shared" si="6"/>
        <v>2.8501583604841438</v>
      </c>
      <c r="AM123" s="7">
        <f t="shared" si="7"/>
        <v>0.21616807845716612</v>
      </c>
    </row>
    <row r="124" spans="1:39" x14ac:dyDescent="0.3">
      <c r="A124" t="s">
        <v>501</v>
      </c>
      <c r="B124" s="1" t="s">
        <v>502</v>
      </c>
      <c r="C124" t="s">
        <v>278</v>
      </c>
      <c r="D124" s="1" t="s">
        <v>279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>
        <v>139576251000</v>
      </c>
      <c r="K124">
        <v>166711853000</v>
      </c>
      <c r="L124">
        <v>187949246000</v>
      </c>
      <c r="M124">
        <v>196201252000</v>
      </c>
      <c r="N124">
        <v>233016520689</v>
      </c>
      <c r="O124">
        <v>244672084877</v>
      </c>
      <c r="P124">
        <v>274628700000</v>
      </c>
      <c r="Q124">
        <v>252200000000</v>
      </c>
      <c r="R124">
        <v>227896000000</v>
      </c>
      <c r="S124">
        <v>265713000000</v>
      </c>
      <c r="T124">
        <v>281610000000</v>
      </c>
      <c r="U124">
        <v>315110000000</v>
      </c>
      <c r="V124">
        <v>312085000000</v>
      </c>
      <c r="W124">
        <v>353185000000</v>
      </c>
      <c r="X124">
        <v>385800000000</v>
      </c>
      <c r="Y124">
        <v>565700000000</v>
      </c>
      <c r="Z124">
        <v>761600000000</v>
      </c>
      <c r="AA124">
        <v>824400000000</v>
      </c>
      <c r="AB124">
        <v>610973000000</v>
      </c>
      <c r="AC124">
        <v>778206160998</v>
      </c>
      <c r="AD124">
        <v>642285079202.00806</v>
      </c>
      <c r="AE124" t="s">
        <v>34</v>
      </c>
      <c r="AF124" t="s">
        <v>34</v>
      </c>
      <c r="AG124">
        <f t="shared" si="4"/>
        <v>381881864179.33368</v>
      </c>
      <c r="AI124" s="7">
        <f t="shared" si="5"/>
        <v>7.1451572766267208</v>
      </c>
      <c r="AK124" s="7">
        <f t="shared" si="6"/>
        <v>1.89619943849284</v>
      </c>
      <c r="AM124" s="7">
        <f t="shared" si="7"/>
        <v>4.0435634029444394</v>
      </c>
    </row>
    <row r="125" spans="1:39" x14ac:dyDescent="0.3">
      <c r="A125" t="s">
        <v>501</v>
      </c>
      <c r="B125" s="1" t="s">
        <v>502</v>
      </c>
      <c r="C125" t="s">
        <v>280</v>
      </c>
      <c r="D125" s="1" t="s">
        <v>281</v>
      </c>
      <c r="E125">
        <v>793498718.84463072</v>
      </c>
      <c r="F125">
        <v>786708595.38784063</v>
      </c>
      <c r="G125">
        <v>880342417.88958764</v>
      </c>
      <c r="H125">
        <v>860645236.43139994</v>
      </c>
      <c r="I125">
        <v>994428138.8306545</v>
      </c>
      <c r="J125">
        <v>1093233170.2771955</v>
      </c>
      <c r="K125">
        <v>1186508269.2755649</v>
      </c>
      <c r="L125">
        <v>1241206615.4204519</v>
      </c>
      <c r="M125">
        <v>1317705567.2024226</v>
      </c>
      <c r="N125">
        <v>1528621010.948055</v>
      </c>
      <c r="O125">
        <v>1745599813.6501281</v>
      </c>
      <c r="P125">
        <v>1839189378.0573025</v>
      </c>
      <c r="Q125">
        <v>1947230375.0291171</v>
      </c>
      <c r="R125">
        <v>866164000</v>
      </c>
      <c r="S125">
        <v>852830000</v>
      </c>
      <c r="T125">
        <v>939948000</v>
      </c>
      <c r="U125">
        <v>961626000</v>
      </c>
      <c r="V125">
        <v>980266000</v>
      </c>
      <c r="W125">
        <v>1028663000</v>
      </c>
      <c r="X125">
        <v>1153767000</v>
      </c>
      <c r="Y125">
        <v>1231408000</v>
      </c>
      <c r="Z125">
        <v>1312070000</v>
      </c>
      <c r="AA125">
        <v>1455786000</v>
      </c>
      <c r="AB125">
        <v>1629795000</v>
      </c>
      <c r="AC125">
        <v>1675906000</v>
      </c>
      <c r="AD125">
        <v>1456636000</v>
      </c>
      <c r="AE125">
        <v>1639282000</v>
      </c>
      <c r="AF125" t="s">
        <v>34</v>
      </c>
      <c r="AG125">
        <f t="shared" si="4"/>
        <v>1237002381.7497907</v>
      </c>
      <c r="AI125" s="7">
        <f t="shared" si="5"/>
        <v>16.371276204891281</v>
      </c>
      <c r="AK125" s="7">
        <f t="shared" si="6"/>
        <v>0.94002463285598648</v>
      </c>
      <c r="AM125" s="7">
        <f t="shared" si="7"/>
        <v>14.230186293873727</v>
      </c>
    </row>
    <row r="126" spans="1:39" x14ac:dyDescent="0.3">
      <c r="A126" t="s">
        <v>501</v>
      </c>
      <c r="B126" s="1" t="s">
        <v>502</v>
      </c>
      <c r="C126" t="s">
        <v>282</v>
      </c>
      <c r="D126" s="1" t="s">
        <v>283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>
        <v>7901248</v>
      </c>
      <c r="S126">
        <v>8690373</v>
      </c>
      <c r="T126">
        <v>9252142</v>
      </c>
      <c r="U126">
        <v>8993741</v>
      </c>
      <c r="V126">
        <v>10448608</v>
      </c>
      <c r="W126">
        <v>10514541</v>
      </c>
      <c r="X126">
        <v>10583229</v>
      </c>
      <c r="Y126">
        <v>11072830</v>
      </c>
      <c r="Z126">
        <v>11901781</v>
      </c>
      <c r="AA126">
        <v>13038099</v>
      </c>
      <c r="AB126">
        <v>14539000</v>
      </c>
      <c r="AC126">
        <v>16176488</v>
      </c>
      <c r="AD126">
        <v>14364000</v>
      </c>
      <c r="AE126" t="s">
        <v>34</v>
      </c>
      <c r="AF126" t="s">
        <v>34</v>
      </c>
      <c r="AG126">
        <f t="shared" si="4"/>
        <v>11344313.846153846</v>
      </c>
      <c r="AI126" s="7">
        <f t="shared" si="5"/>
        <v>6.8797321799293565</v>
      </c>
      <c r="AK126" s="7">
        <f t="shared" si="6"/>
        <v>4.8442715268594361</v>
      </c>
      <c r="AM126" s="7">
        <f t="shared" si="7"/>
        <v>7.7887442031056624</v>
      </c>
    </row>
    <row r="127" spans="1:39" x14ac:dyDescent="0.3">
      <c r="A127" t="s">
        <v>501</v>
      </c>
      <c r="B127" s="1" t="s">
        <v>502</v>
      </c>
      <c r="C127" t="s">
        <v>284</v>
      </c>
      <c r="D127" s="1" t="s">
        <v>285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  <c r="AD127" t="s">
        <v>34</v>
      </c>
      <c r="AE127" t="s">
        <v>34</v>
      </c>
      <c r="AF127" t="s">
        <v>34</v>
      </c>
      <c r="AG127" t="str">
        <f t="shared" si="4"/>
        <v>NA</v>
      </c>
      <c r="AI127" s="7" t="str">
        <f t="shared" si="5"/>
        <v>NA</v>
      </c>
      <c r="AK127" s="7" t="str">
        <f t="shared" si="6"/>
        <v>NA</v>
      </c>
      <c r="AM127" s="7" t="str">
        <f t="shared" si="7"/>
        <v>NA</v>
      </c>
    </row>
    <row r="128" spans="1:39" x14ac:dyDescent="0.3">
      <c r="A128" t="s">
        <v>501</v>
      </c>
      <c r="B128" s="1" t="s">
        <v>502</v>
      </c>
      <c r="C128" t="s">
        <v>286</v>
      </c>
      <c r="D128" s="1" t="s">
        <v>287</v>
      </c>
      <c r="E128">
        <v>4423900000</v>
      </c>
      <c r="F128">
        <v>4762900000</v>
      </c>
      <c r="G128">
        <v>6120600000</v>
      </c>
      <c r="H128">
        <v>7295000000</v>
      </c>
      <c r="I128">
        <v>9501000000</v>
      </c>
      <c r="J128">
        <v>10772000000</v>
      </c>
      <c r="K128">
        <v>10783900000</v>
      </c>
      <c r="L128">
        <v>12204600000</v>
      </c>
      <c r="M128">
        <v>15401900000</v>
      </c>
      <c r="N128">
        <v>17129100000</v>
      </c>
      <c r="O128">
        <v>19249800000</v>
      </c>
      <c r="P128">
        <v>20824100000</v>
      </c>
      <c r="Q128">
        <v>24313800000</v>
      </c>
      <c r="R128">
        <v>30607000000</v>
      </c>
      <c r="S128">
        <v>34969800000</v>
      </c>
      <c r="T128">
        <v>38591810000</v>
      </c>
      <c r="U128">
        <v>42730500000</v>
      </c>
      <c r="V128">
        <v>47686600000</v>
      </c>
      <c r="W128">
        <v>49514700000</v>
      </c>
      <c r="X128">
        <v>51461800000</v>
      </c>
      <c r="Y128">
        <v>26020800000</v>
      </c>
      <c r="Z128">
        <v>55822167000</v>
      </c>
      <c r="AA128">
        <v>59539061050</v>
      </c>
      <c r="AB128">
        <v>65273935914</v>
      </c>
      <c r="AC128">
        <v>68367800000</v>
      </c>
      <c r="AD128">
        <v>62171700000</v>
      </c>
      <c r="AE128">
        <v>57099600000</v>
      </c>
      <c r="AF128">
        <v>70808200000</v>
      </c>
      <c r="AG128">
        <f t="shared" si="4"/>
        <v>32980288355.857143</v>
      </c>
      <c r="AI128" s="7">
        <f t="shared" si="5"/>
        <v>11.459812673868809</v>
      </c>
      <c r="AK128" s="7">
        <f t="shared" si="6"/>
        <v>1.32730556075715</v>
      </c>
      <c r="AM128" s="7">
        <f t="shared" si="7"/>
        <v>4.192466885834901</v>
      </c>
    </row>
    <row r="129" spans="1:39" x14ac:dyDescent="0.3">
      <c r="A129" t="s">
        <v>501</v>
      </c>
      <c r="B129" s="1" t="s">
        <v>502</v>
      </c>
      <c r="C129" t="s">
        <v>288</v>
      </c>
      <c r="D129" s="1" t="s">
        <v>289</v>
      </c>
      <c r="E129">
        <v>152613000000</v>
      </c>
      <c r="F129">
        <v>218864000000</v>
      </c>
      <c r="G129">
        <v>278741000000</v>
      </c>
      <c r="H129">
        <v>294764000000</v>
      </c>
      <c r="I129">
        <v>366616000000</v>
      </c>
      <c r="J129">
        <v>503622000000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>
        <v>555797252127.72998</v>
      </c>
      <c r="S129">
        <v>530157515477.83002</v>
      </c>
      <c r="T129">
        <v>617065131045.01001</v>
      </c>
      <c r="U129">
        <v>638925054932.33997</v>
      </c>
      <c r="V129">
        <v>681687619235.80005</v>
      </c>
      <c r="W129">
        <v>655324799654.43005</v>
      </c>
      <c r="X129">
        <v>815464161630.19995</v>
      </c>
      <c r="Y129">
        <v>1065928519866</v>
      </c>
      <c r="Z129">
        <v>1211456545089</v>
      </c>
      <c r="AA129">
        <v>1194471764475</v>
      </c>
      <c r="AB129">
        <v>1288367473031</v>
      </c>
      <c r="AC129">
        <v>1411580787350</v>
      </c>
      <c r="AD129">
        <v>1463041576124</v>
      </c>
      <c r="AE129">
        <v>1544652769629</v>
      </c>
      <c r="AF129" t="s">
        <v>34</v>
      </c>
      <c r="AG129">
        <f t="shared" si="4"/>
        <v>774457048483.36694</v>
      </c>
      <c r="AI129" s="7">
        <f t="shared" si="5"/>
        <v>5.5244620068906816</v>
      </c>
      <c r="AK129" s="7">
        <f t="shared" si="6"/>
        <v>0.27586879685721094</v>
      </c>
      <c r="AM129" s="7">
        <f t="shared" si="7"/>
        <v>6.3071151148629498</v>
      </c>
    </row>
    <row r="130" spans="1:39" x14ac:dyDescent="0.3">
      <c r="A130" t="s">
        <v>501</v>
      </c>
      <c r="B130" s="1" t="s">
        <v>502</v>
      </c>
      <c r="C130" t="s">
        <v>290</v>
      </c>
      <c r="D130" s="1" t="s">
        <v>291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>
        <v>3533189</v>
      </c>
      <c r="S130">
        <v>4002041</v>
      </c>
      <c r="T130">
        <v>4301990</v>
      </c>
      <c r="U130">
        <v>4657683</v>
      </c>
      <c r="V130">
        <v>4984897</v>
      </c>
      <c r="W130">
        <v>4852794</v>
      </c>
      <c r="X130">
        <v>4450264</v>
      </c>
      <c r="Y130">
        <v>4322007</v>
      </c>
      <c r="Z130">
        <v>4394421</v>
      </c>
      <c r="AA130">
        <v>4731783</v>
      </c>
      <c r="AB130">
        <v>5702006</v>
      </c>
      <c r="AC130">
        <v>5423762</v>
      </c>
      <c r="AD130">
        <v>4687666</v>
      </c>
      <c r="AE130" t="s">
        <v>34</v>
      </c>
      <c r="AF130" t="s">
        <v>34</v>
      </c>
      <c r="AG130">
        <f t="shared" si="4"/>
        <v>4618807.923076923</v>
      </c>
      <c r="AI130" s="7">
        <f t="shared" si="5"/>
        <v>1.5703452145117949</v>
      </c>
      <c r="AK130" s="7">
        <f t="shared" si="6"/>
        <v>1.6778238833970947</v>
      </c>
      <c r="AM130" s="7">
        <f t="shared" si="7"/>
        <v>7.3301906915476263</v>
      </c>
    </row>
    <row r="131" spans="1:39" x14ac:dyDescent="0.3">
      <c r="A131" t="s">
        <v>501</v>
      </c>
      <c r="B131" s="1" t="s">
        <v>502</v>
      </c>
      <c r="C131" t="s">
        <v>292</v>
      </c>
      <c r="D131" s="1" t="s">
        <v>293</v>
      </c>
      <c r="E131" t="s">
        <v>34</v>
      </c>
      <c r="F131">
        <v>723900000</v>
      </c>
      <c r="G131">
        <v>1338700000</v>
      </c>
      <c r="H131">
        <v>1429300000</v>
      </c>
      <c r="I131">
        <v>1487400000</v>
      </c>
      <c r="J131">
        <v>1987800000</v>
      </c>
      <c r="K131">
        <v>1965100000</v>
      </c>
      <c r="L131">
        <v>2378200000</v>
      </c>
      <c r="M131">
        <v>3364200000</v>
      </c>
      <c r="N131">
        <v>4461800000</v>
      </c>
      <c r="O131">
        <v>5882500000</v>
      </c>
      <c r="P131">
        <v>7686000000</v>
      </c>
      <c r="Q131">
        <v>9425100000</v>
      </c>
      <c r="R131">
        <v>11393200000</v>
      </c>
      <c r="S131">
        <v>9596100000</v>
      </c>
      <c r="T131">
        <v>11783300000</v>
      </c>
      <c r="U131">
        <v>13614300000</v>
      </c>
      <c r="V131">
        <v>14391800000</v>
      </c>
      <c r="W131">
        <v>16271900000</v>
      </c>
      <c r="X131">
        <v>18122000000</v>
      </c>
      <c r="Y131">
        <v>18593900000</v>
      </c>
      <c r="Z131">
        <v>19972400000</v>
      </c>
      <c r="AA131">
        <v>24023700000</v>
      </c>
      <c r="AB131">
        <v>25476600000</v>
      </c>
      <c r="AC131">
        <v>27707600000</v>
      </c>
      <c r="AD131">
        <v>27518500000</v>
      </c>
      <c r="AE131">
        <v>34519200000</v>
      </c>
      <c r="AF131">
        <v>38526900000</v>
      </c>
      <c r="AG131">
        <f t="shared" ref="AG131:AG194" si="8">IFERROR(AVERAGE(E131:AF131),"NA")</f>
        <v>13097829629.629629</v>
      </c>
      <c r="AI131" s="7">
        <f t="shared" ref="AI131:AI194" si="9">IFERROR(AG131*100/AG351,"NA")</f>
        <v>14.346902928655634</v>
      </c>
      <c r="AK131" s="7">
        <f t="shared" ref="AK131:AK194" si="10">IFERROR(AG572*100/AG351,"NA")</f>
        <v>1.1183797403390228</v>
      </c>
      <c r="AM131" s="7">
        <f t="shared" ref="AM131:AM194" si="11">IFERROR(AG793*100/AG351,"NA")</f>
        <v>2.4597473773082354</v>
      </c>
    </row>
    <row r="132" spans="1:39" x14ac:dyDescent="0.3">
      <c r="A132" t="s">
        <v>501</v>
      </c>
      <c r="B132" s="1" t="s">
        <v>502</v>
      </c>
      <c r="C132" t="s">
        <v>294</v>
      </c>
      <c r="D132" s="1" t="s">
        <v>295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34</v>
      </c>
      <c r="AA132" t="s">
        <v>34</v>
      </c>
      <c r="AB132" t="s">
        <v>34</v>
      </c>
      <c r="AC132" t="s">
        <v>34</v>
      </c>
      <c r="AD132" t="s">
        <v>34</v>
      </c>
      <c r="AE132" t="s">
        <v>34</v>
      </c>
      <c r="AF132" t="s">
        <v>34</v>
      </c>
      <c r="AG132" t="str">
        <f t="shared" si="8"/>
        <v>NA</v>
      </c>
      <c r="AI132" s="7" t="str">
        <f t="shared" si="9"/>
        <v>NA</v>
      </c>
      <c r="AK132" s="7" t="str">
        <f t="shared" si="10"/>
        <v>NA</v>
      </c>
      <c r="AM132" s="7" t="str">
        <f t="shared" si="11"/>
        <v>NA</v>
      </c>
    </row>
    <row r="133" spans="1:39" x14ac:dyDescent="0.3">
      <c r="A133" t="s">
        <v>501</v>
      </c>
      <c r="B133" s="1" t="s">
        <v>502</v>
      </c>
      <c r="C133" t="s">
        <v>296</v>
      </c>
      <c r="D133" s="1" t="s">
        <v>297</v>
      </c>
      <c r="E133" t="s">
        <v>34</v>
      </c>
      <c r="F133">
        <v>27003000000</v>
      </c>
      <c r="G133">
        <v>45959000000</v>
      </c>
      <c r="H133">
        <v>57091000000</v>
      </c>
      <c r="I133">
        <v>80667000000</v>
      </c>
      <c r="J133">
        <v>109223000000</v>
      </c>
      <c r="K133">
        <v>145335000000</v>
      </c>
      <c r="L133">
        <v>136596266466.774</v>
      </c>
      <c r="M133">
        <v>204202429540</v>
      </c>
      <c r="N133" t="s">
        <v>34</v>
      </c>
      <c r="O133" t="s">
        <v>34</v>
      </c>
      <c r="P133">
        <v>508835960000</v>
      </c>
      <c r="Q133">
        <v>391741462941.66998</v>
      </c>
      <c r="R133">
        <v>514524603200</v>
      </c>
      <c r="S133">
        <v>573413331770</v>
      </c>
      <c r="T133">
        <v>856329000000</v>
      </c>
      <c r="U133">
        <v>1440047477400</v>
      </c>
      <c r="V133">
        <v>1646412822275.46</v>
      </c>
      <c r="W133">
        <v>1958790000000</v>
      </c>
      <c r="X133">
        <v>1881183594994.23</v>
      </c>
      <c r="Y133">
        <v>1708048724623.6001</v>
      </c>
      <c r="Z133">
        <v>1850158901157.0701</v>
      </c>
      <c r="AA133">
        <v>2229541761000</v>
      </c>
      <c r="AB133">
        <v>3049251834708.9302</v>
      </c>
      <c r="AC133">
        <v>3459007594701.23</v>
      </c>
      <c r="AD133">
        <v>3076486530526</v>
      </c>
      <c r="AE133">
        <v>4160926048700.0801</v>
      </c>
      <c r="AF133" t="s">
        <v>34</v>
      </c>
      <c r="AG133">
        <f t="shared" si="8"/>
        <v>1254615681000.2102</v>
      </c>
      <c r="AI133" s="7">
        <f t="shared" si="9"/>
        <v>8.8039668635198645</v>
      </c>
      <c r="AK133" s="7">
        <f t="shared" si="10"/>
        <v>1.8435942798686162</v>
      </c>
      <c r="AM133" s="7">
        <f t="shared" si="11"/>
        <v>4.1954682340077909</v>
      </c>
    </row>
    <row r="134" spans="1:39" x14ac:dyDescent="0.3">
      <c r="A134" t="s">
        <v>501</v>
      </c>
      <c r="B134" s="1" t="s">
        <v>502</v>
      </c>
      <c r="C134" t="s">
        <v>298</v>
      </c>
      <c r="D134" s="1" t="s">
        <v>299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  <c r="AD134" t="s">
        <v>34</v>
      </c>
      <c r="AE134" t="s">
        <v>34</v>
      </c>
      <c r="AF134" t="s">
        <v>34</v>
      </c>
      <c r="AG134" t="str">
        <f t="shared" si="8"/>
        <v>NA</v>
      </c>
      <c r="AI134" s="7" t="str">
        <f t="shared" si="9"/>
        <v>NA</v>
      </c>
      <c r="AK134" s="7" t="str">
        <f t="shared" si="10"/>
        <v>NA</v>
      </c>
      <c r="AM134" s="7" t="str">
        <f t="shared" si="11"/>
        <v>NA</v>
      </c>
    </row>
    <row r="135" spans="1:39" x14ac:dyDescent="0.3">
      <c r="A135" t="s">
        <v>501</v>
      </c>
      <c r="B135" s="1" t="s">
        <v>502</v>
      </c>
      <c r="C135" t="s">
        <v>300</v>
      </c>
      <c r="D135" s="1" t="s">
        <v>301</v>
      </c>
      <c r="E135">
        <v>32592000000</v>
      </c>
      <c r="F135" t="s">
        <v>34</v>
      </c>
      <c r="G135">
        <v>37445000000</v>
      </c>
      <c r="H135">
        <v>39268000000</v>
      </c>
      <c r="I135">
        <v>39081000000</v>
      </c>
      <c r="J135" t="s">
        <v>34</v>
      </c>
      <c r="K135" t="s">
        <v>34</v>
      </c>
      <c r="L135">
        <v>44013548142.857101</v>
      </c>
      <c r="M135">
        <v>47495017142.857101</v>
      </c>
      <c r="N135">
        <v>50026148571.428596</v>
      </c>
      <c r="O135">
        <v>53256203857.142899</v>
      </c>
      <c r="P135">
        <v>59903294285.714302</v>
      </c>
      <c r="Q135">
        <v>76229795714.285706</v>
      </c>
      <c r="R135">
        <v>90118082857.142899</v>
      </c>
      <c r="S135">
        <v>85597648571.428604</v>
      </c>
      <c r="T135">
        <v>97219951428.571396</v>
      </c>
      <c r="U135">
        <v>104288142857.14301</v>
      </c>
      <c r="V135">
        <v>110589840000</v>
      </c>
      <c r="W135">
        <v>111694320000</v>
      </c>
      <c r="X135">
        <v>114609750000</v>
      </c>
      <c r="Y135">
        <v>117313100000</v>
      </c>
      <c r="Z135">
        <v>118504200000</v>
      </c>
      <c r="AA135">
        <v>124316545714.286</v>
      </c>
      <c r="AB135">
        <v>130173428571.429</v>
      </c>
      <c r="AC135">
        <v>132713930000</v>
      </c>
      <c r="AD135">
        <v>120659995714.286</v>
      </c>
      <c r="AE135">
        <v>140026714285.71399</v>
      </c>
      <c r="AF135">
        <v>157589401428.57101</v>
      </c>
      <c r="AG135">
        <f t="shared" si="8"/>
        <v>89389002365.714279</v>
      </c>
      <c r="AI135" s="7">
        <f t="shared" si="9"/>
        <v>11.203395501304943</v>
      </c>
      <c r="AK135" s="7">
        <f t="shared" si="10"/>
        <v>1.5425965774000818</v>
      </c>
      <c r="AM135" s="7">
        <f t="shared" si="11"/>
        <v>7.9985254499874614</v>
      </c>
    </row>
    <row r="136" spans="1:39" x14ac:dyDescent="0.3">
      <c r="A136" t="s">
        <v>501</v>
      </c>
      <c r="B136" s="1" t="s">
        <v>502</v>
      </c>
      <c r="C136" t="s">
        <v>302</v>
      </c>
      <c r="D136" s="1" t="s">
        <v>303</v>
      </c>
      <c r="E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>
        <v>31741052687.299999</v>
      </c>
      <c r="U136">
        <v>38880259482.386002</v>
      </c>
      <c r="V136">
        <v>42664783867.260002</v>
      </c>
      <c r="W136">
        <v>50752956180</v>
      </c>
      <c r="X136">
        <v>55892486000</v>
      </c>
      <c r="Y136">
        <v>54392562000</v>
      </c>
      <c r="Z136">
        <v>65735587000</v>
      </c>
      <c r="AA136">
        <v>65431242614.001801</v>
      </c>
      <c r="AB136">
        <v>75681537000</v>
      </c>
      <c r="AC136">
        <v>84784811000</v>
      </c>
      <c r="AD136">
        <v>80537500000</v>
      </c>
      <c r="AE136">
        <v>103505129000</v>
      </c>
      <c r="AF136" t="s">
        <v>34</v>
      </c>
      <c r="AG136">
        <f t="shared" si="8"/>
        <v>62499992235.912323</v>
      </c>
      <c r="AI136" s="7">
        <f t="shared" si="9"/>
        <v>14.516485649913985</v>
      </c>
      <c r="AK136" s="7">
        <f t="shared" si="10"/>
        <v>2.6709187136412798</v>
      </c>
      <c r="AM136" s="7">
        <f t="shared" si="11"/>
        <v>16.365702157031123</v>
      </c>
    </row>
    <row r="137" spans="1:39" x14ac:dyDescent="0.3">
      <c r="A137" t="s">
        <v>501</v>
      </c>
      <c r="B137" s="1" t="s">
        <v>502</v>
      </c>
      <c r="C137" t="s">
        <v>304</v>
      </c>
      <c r="D137" s="1" t="s">
        <v>305</v>
      </c>
      <c r="E137">
        <v>10168000000</v>
      </c>
      <c r="F137">
        <v>14112000000</v>
      </c>
      <c r="G137">
        <v>25400000000</v>
      </c>
      <c r="H137">
        <v>30748000000</v>
      </c>
      <c r="I137">
        <v>33750000000</v>
      </c>
      <c r="J137">
        <v>44101000000</v>
      </c>
      <c r="K137">
        <v>45506000000</v>
      </c>
      <c r="L137">
        <v>61680000000</v>
      </c>
      <c r="M137">
        <v>74107000000</v>
      </c>
      <c r="N137">
        <v>136626000000</v>
      </c>
      <c r="O137">
        <v>251821000000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>
        <v>1134017046000</v>
      </c>
      <c r="W137">
        <v>1582240350000</v>
      </c>
      <c r="X137">
        <v>1774683041000</v>
      </c>
      <c r="Y137">
        <v>2104400073000</v>
      </c>
      <c r="Z137">
        <v>3276110289000</v>
      </c>
      <c r="AA137">
        <v>2941891475000</v>
      </c>
      <c r="AB137">
        <v>1693860373000</v>
      </c>
      <c r="AC137">
        <v>4055624695000</v>
      </c>
      <c r="AD137" t="s">
        <v>34</v>
      </c>
      <c r="AE137" t="s">
        <v>34</v>
      </c>
      <c r="AF137" t="s">
        <v>34</v>
      </c>
      <c r="AG137">
        <f t="shared" si="8"/>
        <v>1015307702210.5264</v>
      </c>
      <c r="AI137" s="7">
        <f t="shared" si="9"/>
        <v>2.3443876807548865</v>
      </c>
      <c r="AK137" s="7">
        <f t="shared" si="10"/>
        <v>0.42382912620705465</v>
      </c>
      <c r="AM137" s="7">
        <f t="shared" si="11"/>
        <v>1.5225137979910064</v>
      </c>
    </row>
    <row r="138" spans="1:39" x14ac:dyDescent="0.3">
      <c r="A138" t="s">
        <v>501</v>
      </c>
      <c r="B138" s="1" t="s">
        <v>502</v>
      </c>
      <c r="C138" t="s">
        <v>306</v>
      </c>
      <c r="D138" s="1" t="s">
        <v>307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>
        <v>1978381000</v>
      </c>
      <c r="K138">
        <v>2130722000</v>
      </c>
      <c r="L138">
        <v>2161373000</v>
      </c>
      <c r="M138">
        <v>1989979746</v>
      </c>
      <c r="N138">
        <v>2131896000</v>
      </c>
      <c r="O138">
        <v>3425374740</v>
      </c>
      <c r="P138">
        <v>3368347796</v>
      </c>
      <c r="Q138">
        <v>4220044000</v>
      </c>
      <c r="R138">
        <v>4523842000</v>
      </c>
      <c r="S138">
        <v>5426688000</v>
      </c>
      <c r="T138">
        <v>5515034000</v>
      </c>
      <c r="U138">
        <v>8281278224.1999998</v>
      </c>
      <c r="V138">
        <v>6860589368.21</v>
      </c>
      <c r="W138">
        <v>9973002331.1200008</v>
      </c>
      <c r="X138">
        <v>10795471961.889999</v>
      </c>
      <c r="Y138">
        <v>12443824585.440001</v>
      </c>
      <c r="Z138">
        <v>12786624584.459999</v>
      </c>
      <c r="AA138">
        <v>12833730756.27</v>
      </c>
      <c r="AB138">
        <v>13605484558.700001</v>
      </c>
      <c r="AC138">
        <v>13181490269.33</v>
      </c>
      <c r="AD138">
        <v>9758625717.6100006</v>
      </c>
      <c r="AE138">
        <v>13537272173.17</v>
      </c>
      <c r="AF138" t="s">
        <v>34</v>
      </c>
      <c r="AG138">
        <f t="shared" si="8"/>
        <v>7314958036.9272728</v>
      </c>
      <c r="AI138" s="7">
        <f t="shared" si="9"/>
        <v>8.1272355339810627</v>
      </c>
      <c r="AK138" s="7">
        <f t="shared" si="10"/>
        <v>10.026039599290579</v>
      </c>
      <c r="AM138" s="7">
        <f t="shared" si="11"/>
        <v>11.473858046299865</v>
      </c>
    </row>
    <row r="139" spans="1:39" x14ac:dyDescent="0.3">
      <c r="A139" t="s">
        <v>501</v>
      </c>
      <c r="B139" s="1" t="s">
        <v>502</v>
      </c>
      <c r="C139" t="s">
        <v>308</v>
      </c>
      <c r="D139" s="1" t="s">
        <v>309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>
        <v>2919341.4</v>
      </c>
      <c r="Y139">
        <v>1801457.84</v>
      </c>
      <c r="Z139">
        <v>3281865.17</v>
      </c>
      <c r="AA139">
        <v>3628323</v>
      </c>
      <c r="AB139">
        <v>3253916.38</v>
      </c>
      <c r="AC139">
        <v>2161280.89</v>
      </c>
      <c r="AD139">
        <v>2588686.46</v>
      </c>
      <c r="AE139" t="s">
        <v>34</v>
      </c>
      <c r="AF139" t="s">
        <v>34</v>
      </c>
      <c r="AG139">
        <f t="shared" si="8"/>
        <v>2804981.5914285714</v>
      </c>
      <c r="AI139" s="7">
        <f t="shared" si="9"/>
        <v>2.6835171317795998</v>
      </c>
      <c r="AK139" s="7">
        <f t="shared" si="10"/>
        <v>15.846504993813841</v>
      </c>
      <c r="AM139" s="7">
        <f t="shared" si="11"/>
        <v>25.652735681101039</v>
      </c>
    </row>
    <row r="140" spans="1:39" x14ac:dyDescent="0.3">
      <c r="A140" t="s">
        <v>501</v>
      </c>
      <c r="B140" s="1" t="s">
        <v>502</v>
      </c>
      <c r="C140" t="s">
        <v>310</v>
      </c>
      <c r="D140" s="1" t="s">
        <v>311</v>
      </c>
      <c r="E140">
        <v>9856000000</v>
      </c>
      <c r="F140">
        <v>10947000000</v>
      </c>
      <c r="G140">
        <v>11938000000</v>
      </c>
      <c r="H140">
        <v>12477000000</v>
      </c>
      <c r="I140">
        <v>12994000000</v>
      </c>
      <c r="J140">
        <v>14795000000</v>
      </c>
      <c r="K140">
        <v>17191000000</v>
      </c>
      <c r="L140">
        <v>17765000000</v>
      </c>
      <c r="M140">
        <v>20218600000</v>
      </c>
      <c r="N140">
        <v>23103700000</v>
      </c>
      <c r="O140">
        <v>27937000000</v>
      </c>
      <c r="P140">
        <v>31149795000</v>
      </c>
      <c r="Q140">
        <v>38687300000</v>
      </c>
      <c r="R140">
        <v>45015200000</v>
      </c>
      <c r="S140">
        <v>62995100000</v>
      </c>
      <c r="T140">
        <v>89681363000</v>
      </c>
      <c r="U140">
        <v>100233614000</v>
      </c>
      <c r="V140">
        <v>114120000000</v>
      </c>
      <c r="W140">
        <v>134607000000</v>
      </c>
      <c r="X140">
        <v>164365406000</v>
      </c>
      <c r="Y140">
        <v>189421600000</v>
      </c>
      <c r="Z140">
        <v>218709797236.64001</v>
      </c>
      <c r="AA140">
        <v>278568992000</v>
      </c>
      <c r="AB140">
        <v>367371440000</v>
      </c>
      <c r="AC140">
        <v>424352159000</v>
      </c>
      <c r="AD140">
        <v>269747573000</v>
      </c>
      <c r="AE140">
        <v>353736720000</v>
      </c>
      <c r="AF140" t="s">
        <v>34</v>
      </c>
      <c r="AG140">
        <f t="shared" si="8"/>
        <v>113406865156.9126</v>
      </c>
      <c r="AI140" s="7">
        <f t="shared" si="9"/>
        <v>7.0931288424164212</v>
      </c>
      <c r="AK140" s="7">
        <f t="shared" si="10"/>
        <v>2.9540767119518412</v>
      </c>
      <c r="AM140" s="7">
        <f t="shared" si="11"/>
        <v>3.5265053293378843</v>
      </c>
    </row>
    <row r="141" spans="1:39" x14ac:dyDescent="0.3">
      <c r="A141" t="s">
        <v>501</v>
      </c>
      <c r="B141" s="1" t="s">
        <v>502</v>
      </c>
      <c r="C141" t="s">
        <v>312</v>
      </c>
      <c r="D141" s="1" t="s">
        <v>313</v>
      </c>
      <c r="E141">
        <v>32146000000</v>
      </c>
      <c r="F141">
        <v>34536000000</v>
      </c>
      <c r="G141">
        <v>36953000000</v>
      </c>
      <c r="H141">
        <v>39767000000</v>
      </c>
      <c r="I141">
        <v>44332000000</v>
      </c>
      <c r="J141">
        <v>46857000000</v>
      </c>
      <c r="K141">
        <v>51927000000</v>
      </c>
      <c r="L141">
        <v>53492000000</v>
      </c>
      <c r="M141">
        <v>54883000000</v>
      </c>
      <c r="N141">
        <v>57138000000</v>
      </c>
      <c r="O141">
        <v>59940000000</v>
      </c>
      <c r="P141">
        <v>64428000000</v>
      </c>
      <c r="Q141">
        <v>66422000000</v>
      </c>
      <c r="R141">
        <v>68419000000</v>
      </c>
      <c r="S141">
        <v>64144000000</v>
      </c>
      <c r="T141">
        <v>65206000000</v>
      </c>
      <c r="U141">
        <v>64490000000</v>
      </c>
      <c r="V141">
        <v>63309000000</v>
      </c>
      <c r="W141">
        <v>64835000000</v>
      </c>
      <c r="X141">
        <v>67345000000</v>
      </c>
      <c r="Y141">
        <v>68675000000</v>
      </c>
      <c r="Z141">
        <v>73861000000</v>
      </c>
      <c r="AA141">
        <v>77043000000</v>
      </c>
      <c r="AB141">
        <v>81891000000</v>
      </c>
      <c r="AC141">
        <v>88862000000</v>
      </c>
      <c r="AD141">
        <v>88360000000</v>
      </c>
      <c r="AE141">
        <v>95894000000</v>
      </c>
      <c r="AF141" t="s">
        <v>34</v>
      </c>
      <c r="AG141">
        <f t="shared" si="8"/>
        <v>62042777777.777779</v>
      </c>
      <c r="AI141" s="7">
        <f t="shared" si="9"/>
        <v>10.228156586010876</v>
      </c>
      <c r="AK141" s="7">
        <f t="shared" si="10"/>
        <v>1.2073777689958969E-2</v>
      </c>
      <c r="AM141" s="7">
        <f t="shared" si="11"/>
        <v>10.016822735856707</v>
      </c>
    </row>
    <row r="142" spans="1:39" x14ac:dyDescent="0.3">
      <c r="A142" t="s">
        <v>501</v>
      </c>
      <c r="B142" s="1" t="s">
        <v>502</v>
      </c>
      <c r="C142" t="s">
        <v>314</v>
      </c>
      <c r="D142" s="1" t="s">
        <v>315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34</v>
      </c>
      <c r="AA142" t="s">
        <v>34</v>
      </c>
      <c r="AB142" t="s">
        <v>34</v>
      </c>
      <c r="AC142" t="s">
        <v>34</v>
      </c>
      <c r="AD142" t="s">
        <v>34</v>
      </c>
      <c r="AE142" t="s">
        <v>34</v>
      </c>
      <c r="AF142" t="s">
        <v>34</v>
      </c>
      <c r="AG142" t="str">
        <f t="shared" si="8"/>
        <v>NA</v>
      </c>
      <c r="AI142" s="7" t="str">
        <f t="shared" si="9"/>
        <v>NA</v>
      </c>
      <c r="AK142" s="7" t="str">
        <f t="shared" si="10"/>
        <v>NA</v>
      </c>
      <c r="AM142" s="7" t="str">
        <f t="shared" si="11"/>
        <v>NA</v>
      </c>
    </row>
    <row r="143" spans="1:39" x14ac:dyDescent="0.3">
      <c r="A143" t="s">
        <v>501</v>
      </c>
      <c r="B143" s="1" t="s">
        <v>502</v>
      </c>
      <c r="C143" t="s">
        <v>316</v>
      </c>
      <c r="D143" s="1" t="s">
        <v>317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>
        <v>12364000000</v>
      </c>
      <c r="L143">
        <v>13202702000</v>
      </c>
      <c r="M143">
        <v>14422946000</v>
      </c>
      <c r="N143">
        <v>15537824000</v>
      </c>
      <c r="O143">
        <v>16065691000</v>
      </c>
      <c r="P143">
        <v>16835000000</v>
      </c>
      <c r="Q143">
        <v>17048000000</v>
      </c>
      <c r="R143">
        <v>16475626800</v>
      </c>
      <c r="S143">
        <v>16980250000</v>
      </c>
      <c r="T143">
        <v>17589920000</v>
      </c>
      <c r="U143">
        <v>19880040000</v>
      </c>
      <c r="V143">
        <v>21076930000</v>
      </c>
      <c r="W143">
        <v>21938570000</v>
      </c>
      <c r="X143">
        <v>22942330000</v>
      </c>
      <c r="Y143">
        <v>24340590000</v>
      </c>
      <c r="Z143">
        <v>25733240000</v>
      </c>
      <c r="AA143">
        <v>27305140000</v>
      </c>
      <c r="AB143">
        <v>28902270000</v>
      </c>
      <c r="AC143">
        <v>30560260000</v>
      </c>
      <c r="AD143">
        <v>30796220000</v>
      </c>
      <c r="AE143">
        <v>35770536695.652199</v>
      </c>
      <c r="AF143">
        <v>36548616608.695702</v>
      </c>
      <c r="AG143">
        <f t="shared" si="8"/>
        <v>21923486504.743088</v>
      </c>
      <c r="AI143" s="7">
        <f t="shared" si="9"/>
        <v>10.681283504022847</v>
      </c>
      <c r="AK143" s="7">
        <f t="shared" si="10"/>
        <v>1.0404745967443165</v>
      </c>
      <c r="AM143" s="7">
        <f t="shared" si="11"/>
        <v>20.230822531696649</v>
      </c>
    </row>
    <row r="144" spans="1:39" x14ac:dyDescent="0.3">
      <c r="A144" t="s">
        <v>501</v>
      </c>
      <c r="B144" s="1" t="s">
        <v>502</v>
      </c>
      <c r="C144" t="s">
        <v>318</v>
      </c>
      <c r="D144" s="1" t="s">
        <v>319</v>
      </c>
      <c r="E144">
        <v>2219520000</v>
      </c>
      <c r="F144">
        <v>2602760000</v>
      </c>
      <c r="G144">
        <v>3175820000</v>
      </c>
      <c r="H144">
        <v>3735600000</v>
      </c>
      <c r="I144">
        <v>4585400000</v>
      </c>
      <c r="J144">
        <v>5080270000</v>
      </c>
      <c r="K144">
        <v>4987000000</v>
      </c>
      <c r="L144">
        <v>5472911000</v>
      </c>
      <c r="M144">
        <v>6333085000</v>
      </c>
      <c r="N144">
        <v>7376807400</v>
      </c>
      <c r="O144">
        <v>8826000000</v>
      </c>
      <c r="P144">
        <v>10491000000</v>
      </c>
      <c r="Q144">
        <v>12124144000</v>
      </c>
      <c r="R144">
        <v>13523621000</v>
      </c>
      <c r="S144">
        <v>13315818000</v>
      </c>
      <c r="T144">
        <v>15893829000</v>
      </c>
      <c r="U144">
        <v>18945849000</v>
      </c>
      <c r="V144">
        <v>22035407993</v>
      </c>
      <c r="W144">
        <v>23989750000</v>
      </c>
      <c r="X144">
        <v>27139390000</v>
      </c>
      <c r="Y144">
        <v>30486470000</v>
      </c>
      <c r="Z144">
        <v>33771590000</v>
      </c>
      <c r="AA144">
        <v>37315203950.949997</v>
      </c>
      <c r="AB144">
        <v>32746169068.349998</v>
      </c>
      <c r="AC144">
        <v>37611700000</v>
      </c>
      <c r="AD144">
        <v>39035700000</v>
      </c>
      <c r="AE144">
        <v>49410300000</v>
      </c>
      <c r="AF144">
        <v>56124700000</v>
      </c>
      <c r="AG144">
        <f t="shared" si="8"/>
        <v>18869850550.439285</v>
      </c>
      <c r="AI144" s="7">
        <f t="shared" si="9"/>
        <v>8.810298204489742</v>
      </c>
      <c r="AK144" s="7">
        <f t="shared" si="10"/>
        <v>0.68346113829515787</v>
      </c>
      <c r="AM144" s="7">
        <f t="shared" si="11"/>
        <v>6.1085823337746508</v>
      </c>
    </row>
    <row r="145" spans="1:39" x14ac:dyDescent="0.3">
      <c r="A145" t="s">
        <v>501</v>
      </c>
      <c r="B145" s="1" t="s">
        <v>502</v>
      </c>
      <c r="C145" t="s">
        <v>320</v>
      </c>
      <c r="D145" s="1" t="s">
        <v>321</v>
      </c>
      <c r="E145" t="s">
        <v>34</v>
      </c>
      <c r="F145" t="s">
        <v>34</v>
      </c>
      <c r="G145" t="s">
        <v>34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t="s">
        <v>34</v>
      </c>
      <c r="AE145" t="s">
        <v>34</v>
      </c>
      <c r="AF145" t="s">
        <v>34</v>
      </c>
      <c r="AG145" t="str">
        <f t="shared" si="8"/>
        <v>NA</v>
      </c>
      <c r="AI145" s="7" t="str">
        <f t="shared" si="9"/>
        <v>NA</v>
      </c>
      <c r="AK145" s="7" t="str">
        <f t="shared" si="10"/>
        <v>NA</v>
      </c>
      <c r="AM145" s="7" t="str">
        <f t="shared" si="11"/>
        <v>NA</v>
      </c>
    </row>
    <row r="146" spans="1:39" x14ac:dyDescent="0.3">
      <c r="A146" t="s">
        <v>501</v>
      </c>
      <c r="B146" s="1" t="s">
        <v>502</v>
      </c>
      <c r="C146" t="s">
        <v>322</v>
      </c>
      <c r="D146" s="1" t="s">
        <v>323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  <c r="AC146" t="s">
        <v>34</v>
      </c>
      <c r="AD146" t="s">
        <v>34</v>
      </c>
      <c r="AE146" t="s">
        <v>34</v>
      </c>
      <c r="AF146" t="s">
        <v>34</v>
      </c>
      <c r="AG146" t="str">
        <f t="shared" si="8"/>
        <v>NA</v>
      </c>
      <c r="AI146" s="7" t="str">
        <f t="shared" si="9"/>
        <v>NA</v>
      </c>
      <c r="AK146" s="7" t="str">
        <f t="shared" si="10"/>
        <v>NA</v>
      </c>
      <c r="AM146" s="7" t="str">
        <f t="shared" si="11"/>
        <v>NA</v>
      </c>
    </row>
    <row r="147" spans="1:39" x14ac:dyDescent="0.3">
      <c r="A147" t="s">
        <v>501</v>
      </c>
      <c r="B147" s="1" t="s">
        <v>502</v>
      </c>
      <c r="C147" t="s">
        <v>324</v>
      </c>
      <c r="D147" s="1" t="s">
        <v>325</v>
      </c>
      <c r="E147" t="s">
        <v>34</v>
      </c>
      <c r="F147" t="s">
        <v>34</v>
      </c>
      <c r="G147" t="s">
        <v>34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>
        <v>40473346357</v>
      </c>
      <c r="P147">
        <v>41996406322.5</v>
      </c>
      <c r="Q147">
        <v>50161716531.5</v>
      </c>
      <c r="R147">
        <v>50449000000</v>
      </c>
      <c r="S147">
        <v>49706000000</v>
      </c>
      <c r="T147">
        <v>52619000000</v>
      </c>
      <c r="U147">
        <v>57737000000</v>
      </c>
      <c r="V147">
        <v>55065000000</v>
      </c>
      <c r="W147">
        <v>57944266874.5</v>
      </c>
      <c r="X147">
        <v>63448862931</v>
      </c>
      <c r="Y147">
        <v>64183287310</v>
      </c>
      <c r="Z147">
        <v>70667163525</v>
      </c>
      <c r="AA147">
        <v>73863099801</v>
      </c>
      <c r="AB147">
        <v>77584669010</v>
      </c>
      <c r="AC147">
        <v>81403708006</v>
      </c>
      <c r="AD147">
        <v>71703832255</v>
      </c>
      <c r="AE147">
        <v>86608000000</v>
      </c>
      <c r="AF147" t="s">
        <v>34</v>
      </c>
      <c r="AG147">
        <f t="shared" si="8"/>
        <v>61506726995.5</v>
      </c>
      <c r="AI147" s="7">
        <f t="shared" si="9"/>
        <v>14.525957479407655</v>
      </c>
      <c r="AK147" s="7">
        <f t="shared" si="10"/>
        <v>1.2394201435630339</v>
      </c>
      <c r="AM147" s="7">
        <f t="shared" si="11"/>
        <v>5.9232548283776412</v>
      </c>
    </row>
    <row r="148" spans="1:39" x14ac:dyDescent="0.3">
      <c r="A148" t="s">
        <v>501</v>
      </c>
      <c r="B148" s="1" t="s">
        <v>502</v>
      </c>
      <c r="C148" t="s">
        <v>326</v>
      </c>
      <c r="D148" s="1" t="s">
        <v>327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34</v>
      </c>
      <c r="AE148" t="s">
        <v>34</v>
      </c>
      <c r="AF148" t="s">
        <v>34</v>
      </c>
      <c r="AG148" t="str">
        <f t="shared" si="8"/>
        <v>NA</v>
      </c>
      <c r="AI148" s="7" t="str">
        <f t="shared" si="9"/>
        <v>NA</v>
      </c>
      <c r="AK148" s="7" t="str">
        <f t="shared" si="10"/>
        <v>NA</v>
      </c>
      <c r="AM148" s="7" t="str">
        <f t="shared" si="11"/>
        <v>NA</v>
      </c>
    </row>
    <row r="149" spans="1:39" x14ac:dyDescent="0.3">
      <c r="A149" t="s">
        <v>501</v>
      </c>
      <c r="B149" s="1" t="s">
        <v>502</v>
      </c>
      <c r="C149" t="s">
        <v>328</v>
      </c>
      <c r="D149" s="1" t="s">
        <v>329</v>
      </c>
      <c r="E149">
        <v>142855000000</v>
      </c>
      <c r="F149">
        <v>154961000000</v>
      </c>
      <c r="G149">
        <v>167468000000</v>
      </c>
      <c r="H149">
        <v>175438000000</v>
      </c>
      <c r="I149">
        <v>185572000000</v>
      </c>
      <c r="J149">
        <v>197076000000</v>
      </c>
      <c r="K149">
        <v>202501000000</v>
      </c>
      <c r="L149">
        <v>204518000000</v>
      </c>
      <c r="M149">
        <v>206261000000</v>
      </c>
      <c r="N149">
        <v>222260000000</v>
      </c>
      <c r="O149">
        <v>238836000000</v>
      </c>
      <c r="P149">
        <v>263621000000</v>
      </c>
      <c r="Q149">
        <v>286644000000</v>
      </c>
      <c r="R149">
        <v>284414000000</v>
      </c>
      <c r="S149">
        <v>284051000000</v>
      </c>
      <c r="T149">
        <v>304918000000</v>
      </c>
      <c r="U149">
        <v>316569000000</v>
      </c>
      <c r="V149">
        <v>330053000000</v>
      </c>
      <c r="W149">
        <v>344277000000</v>
      </c>
      <c r="X149">
        <v>357341000000</v>
      </c>
      <c r="Y149">
        <v>368671000000</v>
      </c>
      <c r="Z149">
        <v>385576000000</v>
      </c>
      <c r="AA149">
        <v>403185000000</v>
      </c>
      <c r="AB149">
        <v>420616000000</v>
      </c>
      <c r="AC149">
        <v>428384000000</v>
      </c>
      <c r="AD149">
        <v>429604000000</v>
      </c>
      <c r="AE149">
        <v>461125000000</v>
      </c>
      <c r="AF149" t="s">
        <v>34</v>
      </c>
      <c r="AG149">
        <f t="shared" si="8"/>
        <v>287659074074.0741</v>
      </c>
      <c r="AI149" s="7">
        <f t="shared" si="9"/>
        <v>11.478682611788177</v>
      </c>
      <c r="AK149" s="7">
        <f t="shared" si="10"/>
        <v>0.10323845230418095</v>
      </c>
      <c r="AM149" s="7">
        <f t="shared" si="11"/>
        <v>11.990362791039136</v>
      </c>
    </row>
    <row r="150" spans="1:39" x14ac:dyDescent="0.3">
      <c r="A150" t="s">
        <v>501</v>
      </c>
      <c r="B150" s="1" t="s">
        <v>502</v>
      </c>
      <c r="C150" t="s">
        <v>330</v>
      </c>
      <c r="D150" s="1" t="s">
        <v>331</v>
      </c>
      <c r="E150" t="s">
        <v>34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  <c r="AD150" t="s">
        <v>34</v>
      </c>
      <c r="AE150" t="s">
        <v>34</v>
      </c>
      <c r="AF150" t="s">
        <v>34</v>
      </c>
      <c r="AG150" t="str">
        <f t="shared" si="8"/>
        <v>NA</v>
      </c>
      <c r="AI150" s="7" t="str">
        <f t="shared" si="9"/>
        <v>NA</v>
      </c>
      <c r="AK150" s="7" t="str">
        <f t="shared" si="10"/>
        <v>NA</v>
      </c>
      <c r="AM150" s="7" t="str">
        <f t="shared" si="11"/>
        <v>NA</v>
      </c>
    </row>
    <row r="151" spans="1:39" x14ac:dyDescent="0.3">
      <c r="A151" t="s">
        <v>501</v>
      </c>
      <c r="B151" s="1" t="s">
        <v>502</v>
      </c>
      <c r="C151" t="s">
        <v>332</v>
      </c>
      <c r="D151" s="1" t="s">
        <v>333</v>
      </c>
      <c r="E151" t="s">
        <v>34</v>
      </c>
      <c r="F151" t="s">
        <v>34</v>
      </c>
      <c r="G151">
        <v>112450000000</v>
      </c>
      <c r="H151">
        <v>117439000000</v>
      </c>
      <c r="I151">
        <v>134334000000</v>
      </c>
      <c r="J151">
        <v>172495000000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34</v>
      </c>
      <c r="AA151" t="s">
        <v>34</v>
      </c>
      <c r="AB151" t="s">
        <v>34</v>
      </c>
      <c r="AC151" t="s">
        <v>34</v>
      </c>
      <c r="AD151" t="s">
        <v>34</v>
      </c>
      <c r="AE151" t="s">
        <v>34</v>
      </c>
      <c r="AF151" t="s">
        <v>34</v>
      </c>
      <c r="AG151">
        <f t="shared" si="8"/>
        <v>134179500000</v>
      </c>
      <c r="AI151" s="7">
        <f t="shared" si="9"/>
        <v>0.66714124639277983</v>
      </c>
      <c r="AK151" s="7">
        <f t="shared" si="10"/>
        <v>0.35741387680127423</v>
      </c>
      <c r="AM151" s="7">
        <f t="shared" si="11"/>
        <v>0.4885331266065514</v>
      </c>
    </row>
    <row r="152" spans="1:39" x14ac:dyDescent="0.3">
      <c r="A152" t="s">
        <v>501</v>
      </c>
      <c r="B152" s="1" t="s">
        <v>502</v>
      </c>
      <c r="C152" t="s">
        <v>334</v>
      </c>
      <c r="D152" s="1" t="s">
        <v>335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>
        <v>15377615</v>
      </c>
      <c r="S152">
        <v>13890442</v>
      </c>
      <c r="T152">
        <v>15291782</v>
      </c>
      <c r="U152">
        <v>18941113</v>
      </c>
      <c r="V152">
        <v>20802433</v>
      </c>
      <c r="W152">
        <v>23183873</v>
      </c>
      <c r="X152">
        <v>25766138</v>
      </c>
      <c r="Y152">
        <v>30957313</v>
      </c>
      <c r="Z152">
        <v>30739120</v>
      </c>
      <c r="AA152">
        <v>28798747</v>
      </c>
      <c r="AB152">
        <v>31322892</v>
      </c>
      <c r="AC152">
        <v>25237669</v>
      </c>
      <c r="AD152">
        <v>18079000</v>
      </c>
      <c r="AE152" t="s">
        <v>34</v>
      </c>
      <c r="AF152" t="s">
        <v>34</v>
      </c>
      <c r="AG152">
        <f t="shared" si="8"/>
        <v>22952933.615384616</v>
      </c>
      <c r="AI152" s="7">
        <f t="shared" si="9"/>
        <v>10.660498685536668</v>
      </c>
      <c r="AK152" s="7">
        <f t="shared" si="10"/>
        <v>5.4461234827783729</v>
      </c>
      <c r="AM152" s="7">
        <f t="shared" si="11"/>
        <v>4.0471006196214114</v>
      </c>
    </row>
    <row r="153" spans="1:39" x14ac:dyDescent="0.3">
      <c r="A153" t="s">
        <v>501</v>
      </c>
      <c r="B153" s="1" t="s">
        <v>502</v>
      </c>
      <c r="C153" t="s">
        <v>336</v>
      </c>
      <c r="D153" s="1" t="s">
        <v>337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>
        <v>2472892438.4499998</v>
      </c>
      <c r="Y153">
        <v>2624094823.941</v>
      </c>
      <c r="Z153">
        <v>2828773006.1300001</v>
      </c>
      <c r="AA153">
        <v>2925092117.1500001</v>
      </c>
      <c r="AB153">
        <v>2926576348.0100002</v>
      </c>
      <c r="AC153">
        <v>2901302962.5900002</v>
      </c>
      <c r="AD153">
        <v>2209725734.7800002</v>
      </c>
      <c r="AE153">
        <v>2517713744.1199999</v>
      </c>
      <c r="AF153" t="s">
        <v>34</v>
      </c>
      <c r="AG153">
        <f t="shared" si="8"/>
        <v>2675771396.8963747</v>
      </c>
      <c r="AI153" s="7">
        <f t="shared" si="9"/>
        <v>7.9641855779350701</v>
      </c>
      <c r="AK153" s="7">
        <f t="shared" si="10"/>
        <v>0.98447842127498209</v>
      </c>
      <c r="AM153" s="7">
        <f t="shared" si="11"/>
        <v>7.2418376302903615</v>
      </c>
    </row>
    <row r="154" spans="1:39" x14ac:dyDescent="0.3">
      <c r="A154" t="s">
        <v>501</v>
      </c>
      <c r="B154" s="1" t="s">
        <v>502</v>
      </c>
      <c r="C154" t="s">
        <v>338</v>
      </c>
      <c r="D154" s="1" t="s">
        <v>339</v>
      </c>
      <c r="E154">
        <v>122510000</v>
      </c>
      <c r="F154">
        <v>125500000</v>
      </c>
      <c r="G154">
        <v>161800000</v>
      </c>
      <c r="H154">
        <v>188970000</v>
      </c>
      <c r="I154">
        <v>216159000</v>
      </c>
      <c r="J154">
        <v>255095000</v>
      </c>
      <c r="K154">
        <v>342463000</v>
      </c>
      <c r="L154">
        <v>342796000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>
        <v>2883600000</v>
      </c>
      <c r="Y154">
        <v>2680129274.1599998</v>
      </c>
      <c r="Z154">
        <v>2584074229</v>
      </c>
      <c r="AA154">
        <v>3255053551.8639998</v>
      </c>
      <c r="AB154">
        <v>3537299257.3299999</v>
      </c>
      <c r="AC154">
        <v>3936557251.96</v>
      </c>
      <c r="AD154">
        <v>3372711161.5749998</v>
      </c>
      <c r="AE154" t="s">
        <v>34</v>
      </c>
      <c r="AF154" t="s">
        <v>34</v>
      </c>
      <c r="AG154">
        <f t="shared" si="8"/>
        <v>1600314515.0592666</v>
      </c>
      <c r="AI154" s="7">
        <f t="shared" si="9"/>
        <v>4.062007941677872</v>
      </c>
      <c r="AK154" s="7">
        <f t="shared" si="10"/>
        <v>1.539132326842152</v>
      </c>
      <c r="AM154" s="7">
        <f t="shared" si="11"/>
        <v>8.3524268101146983</v>
      </c>
    </row>
    <row r="155" spans="1:39" x14ac:dyDescent="0.3">
      <c r="A155" t="s">
        <v>501</v>
      </c>
      <c r="B155" s="1" t="s">
        <v>502</v>
      </c>
      <c r="C155" t="s">
        <v>340</v>
      </c>
      <c r="D155" s="1" t="s">
        <v>341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>
        <v>3443200000000</v>
      </c>
      <c r="P155">
        <v>3953600000000</v>
      </c>
      <c r="Q155">
        <v>4860338398280</v>
      </c>
      <c r="R155">
        <v>5947970377368</v>
      </c>
      <c r="S155">
        <v>5988047624417</v>
      </c>
      <c r="T155">
        <v>7741911834522</v>
      </c>
      <c r="U155">
        <v>8853765507335</v>
      </c>
      <c r="V155">
        <v>9282952748348</v>
      </c>
      <c r="W155">
        <v>10013847732348</v>
      </c>
      <c r="X155">
        <v>11917609830077</v>
      </c>
      <c r="Y155">
        <v>12324928926914</v>
      </c>
      <c r="Z155">
        <v>13157579241796</v>
      </c>
      <c r="AA155">
        <v>14211349432427</v>
      </c>
      <c r="AB155">
        <v>15114847793573</v>
      </c>
      <c r="AC155">
        <v>14812580464900</v>
      </c>
      <c r="AD155">
        <v>14566201699330</v>
      </c>
      <c r="AE155">
        <v>16737310865393</v>
      </c>
      <c r="AF155" t="s">
        <v>34</v>
      </c>
      <c r="AG155">
        <f t="shared" si="8"/>
        <v>10172237792766.354</v>
      </c>
      <c r="AI155" s="7">
        <f t="shared" si="9"/>
        <v>8.3225957422127159</v>
      </c>
      <c r="AK155" s="7">
        <f t="shared" si="10"/>
        <v>1.3373908595407638</v>
      </c>
      <c r="AM155" s="7">
        <f t="shared" si="11"/>
        <v>2.8322859638856439</v>
      </c>
    </row>
    <row r="156" spans="1:39" x14ac:dyDescent="0.3">
      <c r="A156" t="s">
        <v>501</v>
      </c>
      <c r="B156" s="1" t="s">
        <v>502</v>
      </c>
      <c r="C156" t="s">
        <v>342</v>
      </c>
      <c r="D156" s="1" t="s">
        <v>343</v>
      </c>
      <c r="E156">
        <v>9575450000</v>
      </c>
      <c r="F156">
        <v>10662850000</v>
      </c>
      <c r="G156">
        <v>12417300000</v>
      </c>
      <c r="H156">
        <v>12837500000</v>
      </c>
      <c r="I156">
        <v>12628750000</v>
      </c>
      <c r="J156">
        <v>13040080000</v>
      </c>
      <c r="K156">
        <v>12903220000</v>
      </c>
      <c r="L156">
        <v>14217520000</v>
      </c>
      <c r="M156">
        <v>15883140000</v>
      </c>
      <c r="N156">
        <v>17669430000</v>
      </c>
      <c r="O156">
        <v>18782700000</v>
      </c>
      <c r="P156">
        <v>21325601158.577</v>
      </c>
      <c r="Q156">
        <v>24159418025.2981</v>
      </c>
      <c r="R156">
        <v>27813485932.692402</v>
      </c>
      <c r="S156">
        <v>27293916518.5359</v>
      </c>
      <c r="T156">
        <v>33202038285.154598</v>
      </c>
      <c r="U156">
        <v>35830337709.149101</v>
      </c>
      <c r="V156">
        <v>38499037118.420502</v>
      </c>
      <c r="W156">
        <v>42169423286.141197</v>
      </c>
      <c r="X156">
        <v>44936719214.539703</v>
      </c>
      <c r="Y156">
        <v>45646818706.8283</v>
      </c>
      <c r="Z156">
        <v>42406148794.753098</v>
      </c>
      <c r="AA156">
        <v>43924527852.602501</v>
      </c>
      <c r="AB156">
        <v>51142390250.853203</v>
      </c>
      <c r="AC156">
        <v>53893946741.341003</v>
      </c>
      <c r="AD156">
        <v>45323835756.579399</v>
      </c>
      <c r="AE156">
        <v>67683544031.256699</v>
      </c>
      <c r="AF156" t="s">
        <v>34</v>
      </c>
      <c r="AG156">
        <f t="shared" si="8"/>
        <v>29476634421.582325</v>
      </c>
      <c r="AI156" s="7">
        <f t="shared" si="9"/>
        <v>7.0192287441278349</v>
      </c>
      <c r="AK156" s="7">
        <f t="shared" si="10"/>
        <v>0.46309671549612441</v>
      </c>
      <c r="AM156" s="7">
        <f t="shared" si="11"/>
        <v>5.4640166311100238</v>
      </c>
    </row>
    <row r="157" spans="1:39" x14ac:dyDescent="0.3">
      <c r="A157" t="s">
        <v>501</v>
      </c>
      <c r="B157" s="1" t="s">
        <v>502</v>
      </c>
      <c r="C157" t="s">
        <v>344</v>
      </c>
      <c r="D157" s="1" t="s">
        <v>345</v>
      </c>
      <c r="E157">
        <v>86936000000</v>
      </c>
      <c r="F157">
        <v>109951000000</v>
      </c>
      <c r="G157">
        <v>133388000000</v>
      </c>
      <c r="H157">
        <v>128716000000</v>
      </c>
      <c r="I157">
        <v>138957000000</v>
      </c>
      <c r="J157">
        <v>143098000000</v>
      </c>
      <c r="K157">
        <v>149445000000</v>
      </c>
      <c r="L157">
        <v>150675000000</v>
      </c>
      <c r="M157">
        <v>161580000000</v>
      </c>
      <c r="N157">
        <v>172870000000</v>
      </c>
      <c r="O157">
        <v>189320000000</v>
      </c>
      <c r="P157">
        <v>244629000000</v>
      </c>
      <c r="Q157">
        <v>249823000000</v>
      </c>
      <c r="R157">
        <v>251128000000</v>
      </c>
      <c r="S157">
        <v>280711000000</v>
      </c>
      <c r="T157">
        <v>294290000000</v>
      </c>
      <c r="U157">
        <v>308186000000</v>
      </c>
      <c r="V157">
        <v>365030000000</v>
      </c>
      <c r="W157">
        <v>440820000000</v>
      </c>
      <c r="X157">
        <v>482301000000</v>
      </c>
      <c r="Y157">
        <v>527451000000</v>
      </c>
      <c r="Z157">
        <v>571660000000</v>
      </c>
      <c r="AA157">
        <v>666439000000</v>
      </c>
      <c r="AB157">
        <v>773158000000</v>
      </c>
      <c r="AC157">
        <v>860410420000</v>
      </c>
      <c r="AD157">
        <v>775508230000</v>
      </c>
      <c r="AE157">
        <v>851733240000</v>
      </c>
      <c r="AF157">
        <v>916549000000</v>
      </c>
      <c r="AG157">
        <f t="shared" si="8"/>
        <v>372312960357.14288</v>
      </c>
      <c r="AI157" s="7">
        <f t="shared" si="9"/>
        <v>3.8508835754180435</v>
      </c>
      <c r="AK157" s="7">
        <f t="shared" si="10"/>
        <v>2.9518870498487848</v>
      </c>
      <c r="AM157" s="7">
        <f t="shared" si="11"/>
        <v>5.7402281196223033</v>
      </c>
    </row>
    <row r="158" spans="1:39" x14ac:dyDescent="0.3">
      <c r="A158" t="s">
        <v>501</v>
      </c>
      <c r="B158" s="1" t="s">
        <v>502</v>
      </c>
      <c r="C158" t="s">
        <v>346</v>
      </c>
      <c r="D158" s="1" t="s">
        <v>347</v>
      </c>
      <c r="E158">
        <v>37549000000</v>
      </c>
      <c r="F158">
        <v>48993000000</v>
      </c>
      <c r="G158">
        <v>57558000000</v>
      </c>
      <c r="H158">
        <v>65610000000</v>
      </c>
      <c r="I158">
        <v>76878000000</v>
      </c>
      <c r="J158">
        <v>80307000000</v>
      </c>
      <c r="K158">
        <v>83638000000</v>
      </c>
      <c r="L158">
        <v>91917000000</v>
      </c>
      <c r="M158">
        <v>96719000000</v>
      </c>
      <c r="N158">
        <v>107776000000</v>
      </c>
      <c r="O158">
        <v>120207000000</v>
      </c>
      <c r="P158">
        <v>132971000000</v>
      </c>
      <c r="Q158">
        <v>151273000000</v>
      </c>
      <c r="R158">
        <v>165313000000</v>
      </c>
      <c r="S158">
        <v>156867000000</v>
      </c>
      <c r="T158">
        <v>176978000000</v>
      </c>
      <c r="U158">
        <v>193469000000</v>
      </c>
      <c r="V158">
        <v>187942000000</v>
      </c>
      <c r="W158">
        <v>188188000000</v>
      </c>
      <c r="X158">
        <v>196383000000</v>
      </c>
      <c r="Y158">
        <v>207129000000</v>
      </c>
      <c r="Z158">
        <v>223045000000</v>
      </c>
      <c r="AA158">
        <v>246271000000</v>
      </c>
      <c r="AB158">
        <v>269186000000</v>
      </c>
      <c r="AC158">
        <v>285675000000</v>
      </c>
      <c r="AD158">
        <v>292680000000</v>
      </c>
      <c r="AE158">
        <v>355382000000</v>
      </c>
      <c r="AF158" t="s">
        <v>34</v>
      </c>
      <c r="AG158">
        <f t="shared" si="8"/>
        <v>159107555555.55554</v>
      </c>
      <c r="AI158" s="7">
        <f t="shared" si="9"/>
        <v>11.533685615679111</v>
      </c>
      <c r="AK158" s="7">
        <f t="shared" si="10"/>
        <v>0.35583826143615682</v>
      </c>
      <c r="AM158" s="7">
        <f t="shared" si="11"/>
        <v>4.4478118097377699</v>
      </c>
    </row>
    <row r="159" spans="1:39" x14ac:dyDescent="0.3">
      <c r="A159" t="s">
        <v>501</v>
      </c>
      <c r="B159" s="1" t="s">
        <v>502</v>
      </c>
      <c r="C159" t="s">
        <v>348</v>
      </c>
      <c r="D159" s="1" t="s">
        <v>349</v>
      </c>
      <c r="E159">
        <v>10015970000</v>
      </c>
      <c r="F159">
        <v>10897775000</v>
      </c>
      <c r="G159">
        <v>11534950000</v>
      </c>
      <c r="H159">
        <v>13005083000</v>
      </c>
      <c r="I159">
        <v>14062508000</v>
      </c>
      <c r="J159">
        <v>14490000000</v>
      </c>
      <c r="K159">
        <v>15384938000</v>
      </c>
      <c r="L159">
        <v>16733225000</v>
      </c>
      <c r="M159">
        <v>17044310000</v>
      </c>
      <c r="N159">
        <v>17666334000</v>
      </c>
      <c r="O159">
        <v>19439155000</v>
      </c>
      <c r="P159">
        <v>20701876000</v>
      </c>
      <c r="Q159">
        <v>21117822000</v>
      </c>
      <c r="R159">
        <v>20848506000</v>
      </c>
      <c r="S159">
        <v>18166664000</v>
      </c>
      <c r="T159">
        <v>20011216000</v>
      </c>
      <c r="U159">
        <v>20559433000</v>
      </c>
      <c r="V159">
        <v>19807959000</v>
      </c>
      <c r="W159">
        <v>19666158000</v>
      </c>
      <c r="X159">
        <v>20595257000</v>
      </c>
      <c r="Y159">
        <v>21907177000</v>
      </c>
      <c r="Z159">
        <v>23015354000</v>
      </c>
      <c r="AA159">
        <v>24334061000</v>
      </c>
      <c r="AB159">
        <v>25734395000</v>
      </c>
      <c r="AC159">
        <v>26654662000</v>
      </c>
      <c r="AD159">
        <v>23990304000</v>
      </c>
      <c r="AE159">
        <v>26586890000</v>
      </c>
      <c r="AF159" t="s">
        <v>34</v>
      </c>
      <c r="AG159">
        <f t="shared" si="8"/>
        <v>19035999333.333332</v>
      </c>
      <c r="AI159" s="7">
        <f t="shared" si="9"/>
        <v>11.62576337326327</v>
      </c>
      <c r="AK159" s="7">
        <f t="shared" si="10"/>
        <v>3.8742876119981758E-4</v>
      </c>
      <c r="AM159" s="7">
        <f t="shared" si="11"/>
        <v>8.2953195097443118</v>
      </c>
    </row>
    <row r="160" spans="1:39" x14ac:dyDescent="0.3">
      <c r="A160" t="s">
        <v>501</v>
      </c>
      <c r="B160" s="1" t="s">
        <v>502</v>
      </c>
      <c r="C160" t="s">
        <v>350</v>
      </c>
      <c r="D160" s="1" t="s">
        <v>351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  <c r="AA160" t="s">
        <v>34</v>
      </c>
      <c r="AB160" t="s">
        <v>34</v>
      </c>
      <c r="AC160" t="s">
        <v>34</v>
      </c>
      <c r="AD160" t="s">
        <v>34</v>
      </c>
      <c r="AE160" t="s">
        <v>34</v>
      </c>
      <c r="AF160" t="s">
        <v>34</v>
      </c>
      <c r="AG160" t="str">
        <f t="shared" si="8"/>
        <v>NA</v>
      </c>
      <c r="AI160" s="7" t="str">
        <f t="shared" si="9"/>
        <v>NA</v>
      </c>
      <c r="AK160" s="7" t="str">
        <f t="shared" si="10"/>
        <v>NA</v>
      </c>
      <c r="AM160" s="7" t="str">
        <f t="shared" si="11"/>
        <v>NA</v>
      </c>
    </row>
    <row r="161" spans="1:39" x14ac:dyDescent="0.3">
      <c r="A161" t="s">
        <v>501</v>
      </c>
      <c r="B161" s="1" t="s">
        <v>502</v>
      </c>
      <c r="C161" t="s">
        <v>352</v>
      </c>
      <c r="D161" s="1" t="s">
        <v>353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  <c r="AA161" t="s">
        <v>34</v>
      </c>
      <c r="AB161" t="s">
        <v>34</v>
      </c>
      <c r="AC161" t="s">
        <v>34</v>
      </c>
      <c r="AD161" t="s">
        <v>34</v>
      </c>
      <c r="AE161" t="s">
        <v>34</v>
      </c>
      <c r="AF161" t="s">
        <v>34</v>
      </c>
      <c r="AG161" t="str">
        <f t="shared" si="8"/>
        <v>NA</v>
      </c>
      <c r="AI161" s="7" t="str">
        <f t="shared" si="9"/>
        <v>NA</v>
      </c>
      <c r="AK161" s="7" t="str">
        <f t="shared" si="10"/>
        <v>NA</v>
      </c>
      <c r="AM161" s="7" t="str">
        <f t="shared" si="11"/>
        <v>NA</v>
      </c>
    </row>
    <row r="162" spans="1:39" x14ac:dyDescent="0.3">
      <c r="A162" t="s">
        <v>501</v>
      </c>
      <c r="B162" s="1" t="s">
        <v>502</v>
      </c>
      <c r="C162" t="s">
        <v>354</v>
      </c>
      <c r="D162" s="1" t="s">
        <v>355</v>
      </c>
      <c r="E162">
        <v>563300000</v>
      </c>
      <c r="F162">
        <v>781400000</v>
      </c>
      <c r="G162">
        <v>1889300000</v>
      </c>
      <c r="H162">
        <v>3462000000</v>
      </c>
      <c r="I162">
        <v>5632000000</v>
      </c>
      <c r="J162">
        <v>8359200000</v>
      </c>
      <c r="K162">
        <v>11751900000</v>
      </c>
      <c r="L162">
        <v>15867900000</v>
      </c>
      <c r="M162">
        <v>21658600000</v>
      </c>
      <c r="N162">
        <v>25808500000</v>
      </c>
      <c r="O162">
        <v>33447600000</v>
      </c>
      <c r="P162">
        <v>39185700000</v>
      </c>
      <c r="Q162">
        <v>48167500000</v>
      </c>
      <c r="R162">
        <v>57398700000</v>
      </c>
      <c r="S162">
        <v>50954000000</v>
      </c>
      <c r="T162">
        <v>58989100000</v>
      </c>
      <c r="U162">
        <v>69159600000</v>
      </c>
      <c r="V162">
        <v>74514400000</v>
      </c>
      <c r="W162">
        <v>77280100000</v>
      </c>
      <c r="X162">
        <v>79803700000</v>
      </c>
      <c r="Y162">
        <v>89640600000</v>
      </c>
      <c r="Z162">
        <v>81692300000</v>
      </c>
      <c r="AA162">
        <v>83631600000</v>
      </c>
      <c r="AB162">
        <v>94380300000</v>
      </c>
      <c r="AC162">
        <v>106691300000</v>
      </c>
      <c r="AD162">
        <v>104404200000</v>
      </c>
      <c r="AE162">
        <v>120742900000</v>
      </c>
      <c r="AF162" t="s">
        <v>34</v>
      </c>
      <c r="AG162">
        <f t="shared" si="8"/>
        <v>50587322222.222221</v>
      </c>
      <c r="AI162" s="7">
        <f t="shared" si="9"/>
        <v>10.042936031361481</v>
      </c>
      <c r="AK162" s="7">
        <f t="shared" si="10"/>
        <v>9.9989829469994226E-2</v>
      </c>
      <c r="AM162" s="7">
        <f t="shared" si="11"/>
        <v>4.9918651056491452</v>
      </c>
    </row>
    <row r="163" spans="1:39" x14ac:dyDescent="0.3">
      <c r="A163" t="s">
        <v>501</v>
      </c>
      <c r="B163" s="1" t="s">
        <v>502</v>
      </c>
      <c r="C163" t="s">
        <v>356</v>
      </c>
      <c r="D163" s="1" t="s">
        <v>357</v>
      </c>
      <c r="E163" t="s">
        <v>34</v>
      </c>
      <c r="F163" t="s">
        <v>34</v>
      </c>
      <c r="G163" t="s">
        <v>34</v>
      </c>
      <c r="H163" t="s">
        <v>34</v>
      </c>
      <c r="I163">
        <v>347642000000</v>
      </c>
      <c r="J163">
        <v>558229000000</v>
      </c>
      <c r="K163">
        <v>850727000000</v>
      </c>
      <c r="L163">
        <v>972623000000</v>
      </c>
      <c r="M163">
        <v>1138992537200</v>
      </c>
      <c r="N163">
        <v>1188274574800</v>
      </c>
      <c r="O163">
        <v>1585018600000</v>
      </c>
      <c r="P163">
        <v>1629100000000</v>
      </c>
      <c r="Q163">
        <v>2497300000000</v>
      </c>
      <c r="R163">
        <v>2310500000000</v>
      </c>
      <c r="S163">
        <v>2288900000000</v>
      </c>
      <c r="T163">
        <v>2611900000000</v>
      </c>
      <c r="U163">
        <v>3496400000000</v>
      </c>
      <c r="V163">
        <v>3974700000000</v>
      </c>
      <c r="W163">
        <v>4128700000000</v>
      </c>
      <c r="X163">
        <v>4660595716643.0303</v>
      </c>
      <c r="Y163">
        <v>4970250729745.6797</v>
      </c>
      <c r="Z163">
        <v>5577550000000</v>
      </c>
      <c r="AA163">
        <v>6279635000000</v>
      </c>
      <c r="AB163">
        <v>7432583000000</v>
      </c>
      <c r="AC163">
        <v>8015417000000</v>
      </c>
      <c r="AD163">
        <v>8962721000000</v>
      </c>
      <c r="AE163">
        <v>11115594000000</v>
      </c>
      <c r="AF163" t="s">
        <v>34</v>
      </c>
      <c r="AG163">
        <f t="shared" si="8"/>
        <v>3764928398190.814</v>
      </c>
      <c r="AI163" s="7">
        <f t="shared" si="9"/>
        <v>7.3752295248483142</v>
      </c>
      <c r="AK163" s="7">
        <f t="shared" si="10"/>
        <v>4.7820999825110881</v>
      </c>
      <c r="AM163" s="7">
        <f t="shared" si="11"/>
        <v>0.77898829555716509</v>
      </c>
    </row>
    <row r="164" spans="1:39" x14ac:dyDescent="0.3">
      <c r="A164" t="s">
        <v>501</v>
      </c>
      <c r="B164" s="1" t="s">
        <v>502</v>
      </c>
      <c r="C164" t="s">
        <v>358</v>
      </c>
      <c r="D164" s="1" t="s">
        <v>359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>
        <v>382887628262.20001</v>
      </c>
      <c r="Y164">
        <v>418015309982.79999</v>
      </c>
      <c r="Z164">
        <v>516768976659.70502</v>
      </c>
      <c r="AA164">
        <v>530026661674.61102</v>
      </c>
      <c r="AB164">
        <v>614770905420.724</v>
      </c>
      <c r="AC164">
        <v>670497149986.28296</v>
      </c>
      <c r="AD164">
        <v>698453539913.25598</v>
      </c>
      <c r="AE164" t="s">
        <v>34</v>
      </c>
      <c r="AF164" t="s">
        <v>34</v>
      </c>
      <c r="AG164">
        <f t="shared" si="8"/>
        <v>547345738842.797</v>
      </c>
      <c r="AI164" s="7">
        <f t="shared" si="9"/>
        <v>13.306876837537931</v>
      </c>
      <c r="AK164" s="7">
        <f t="shared" si="10"/>
        <v>2.087958316716215</v>
      </c>
      <c r="AM164" s="7">
        <f t="shared" si="11"/>
        <v>10.765174972321109</v>
      </c>
    </row>
    <row r="165" spans="1:39" x14ac:dyDescent="0.3">
      <c r="A165" t="s">
        <v>501</v>
      </c>
      <c r="B165" s="1" t="s">
        <v>502</v>
      </c>
      <c r="C165" t="s">
        <v>360</v>
      </c>
      <c r="D165" s="1" t="s">
        <v>361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>
        <v>237238975.63</v>
      </c>
      <c r="W165">
        <v>265191600.53999999</v>
      </c>
      <c r="X165">
        <v>279168545.87</v>
      </c>
      <c r="Y165">
        <v>290422089.22000003</v>
      </c>
      <c r="Z165">
        <v>335079733.48000002</v>
      </c>
      <c r="AA165">
        <v>351563986.69</v>
      </c>
      <c r="AB165">
        <v>359177622.63999999</v>
      </c>
      <c r="AC165">
        <v>388015921.47000003</v>
      </c>
      <c r="AD165">
        <v>387444850.93000001</v>
      </c>
      <c r="AE165">
        <v>353879760.80000001</v>
      </c>
      <c r="AF165" t="s">
        <v>34</v>
      </c>
      <c r="AG165">
        <f t="shared" si="8"/>
        <v>324718308.727</v>
      </c>
      <c r="AI165" s="7">
        <f t="shared" si="9"/>
        <v>21.319280438263636</v>
      </c>
      <c r="AK165" s="7">
        <f t="shared" si="10"/>
        <v>3.4755020887465675</v>
      </c>
      <c r="AM165" s="7">
        <f t="shared" si="11"/>
        <v>7.4867521410903555</v>
      </c>
    </row>
    <row r="166" spans="1:39" x14ac:dyDescent="0.3">
      <c r="A166" t="s">
        <v>501</v>
      </c>
      <c r="B166" s="1" t="s">
        <v>502</v>
      </c>
      <c r="C166" t="s">
        <v>362</v>
      </c>
      <c r="D166" s="1" t="s">
        <v>363</v>
      </c>
      <c r="E166">
        <v>138200000000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>
        <v>110149715</v>
      </c>
      <c r="M166">
        <v>110100307</v>
      </c>
      <c r="N166">
        <v>115387353.84</v>
      </c>
      <c r="O166">
        <v>130082077.11</v>
      </c>
      <c r="P166">
        <v>133116275.73999999</v>
      </c>
      <c r="Q166">
        <v>145883614.97999999</v>
      </c>
      <c r="R166">
        <v>167042047.13</v>
      </c>
      <c r="S166">
        <v>145265605.69999999</v>
      </c>
      <c r="T166">
        <v>131270718</v>
      </c>
      <c r="U166">
        <v>115097904.22</v>
      </c>
      <c r="V166">
        <v>125421944</v>
      </c>
      <c r="W166">
        <v>125152189.5</v>
      </c>
      <c r="X166">
        <v>119797825.93000001</v>
      </c>
      <c r="Y166">
        <v>120408159.77</v>
      </c>
      <c r="Z166">
        <v>119222087.17</v>
      </c>
      <c r="AA166">
        <v>114591229</v>
      </c>
      <c r="AB166">
        <v>118192362</v>
      </c>
      <c r="AC166">
        <v>115905128</v>
      </c>
      <c r="AD166">
        <v>99507937</v>
      </c>
      <c r="AE166">
        <v>128124358</v>
      </c>
      <c r="AF166" t="s">
        <v>34</v>
      </c>
      <c r="AG166">
        <f t="shared" si="8"/>
        <v>6699510420.9090471</v>
      </c>
      <c r="AI166" s="7">
        <f t="shared" si="9"/>
        <v>509.2429411732316</v>
      </c>
      <c r="AK166" s="7">
        <f t="shared" si="10"/>
        <v>22.037847929798357</v>
      </c>
      <c r="AM166" s="7" t="s">
        <v>37</v>
      </c>
    </row>
    <row r="167" spans="1:39" x14ac:dyDescent="0.3">
      <c r="A167" t="s">
        <v>501</v>
      </c>
      <c r="B167" s="1" t="s">
        <v>502</v>
      </c>
      <c r="C167" t="s">
        <v>364</v>
      </c>
      <c r="D167" s="1" t="s">
        <v>365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34</v>
      </c>
      <c r="AA167" t="s">
        <v>34</v>
      </c>
      <c r="AB167" t="s">
        <v>34</v>
      </c>
      <c r="AC167" t="s">
        <v>34</v>
      </c>
      <c r="AD167" t="s">
        <v>34</v>
      </c>
      <c r="AE167" t="s">
        <v>34</v>
      </c>
      <c r="AF167" t="s">
        <v>34</v>
      </c>
      <c r="AG167" t="str">
        <f t="shared" si="8"/>
        <v>NA</v>
      </c>
      <c r="AI167" s="7" t="str">
        <f t="shared" si="9"/>
        <v>NA</v>
      </c>
      <c r="AK167" s="7" t="str">
        <f t="shared" si="10"/>
        <v>NA</v>
      </c>
      <c r="AM167" s="7" t="str">
        <f t="shared" si="11"/>
        <v>NA</v>
      </c>
    </row>
    <row r="168" spans="1:39" x14ac:dyDescent="0.3">
      <c r="A168" t="s">
        <v>501</v>
      </c>
      <c r="B168" s="1" t="s">
        <v>502</v>
      </c>
      <c r="C168" t="s">
        <v>366</v>
      </c>
      <c r="D168" s="1" t="s">
        <v>367</v>
      </c>
      <c r="E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>
        <v>21866000000</v>
      </c>
      <c r="U168">
        <v>24178000000</v>
      </c>
      <c r="V168">
        <v>27521000000</v>
      </c>
      <c r="W168">
        <v>33669000000</v>
      </c>
      <c r="X168">
        <v>30861000000</v>
      </c>
      <c r="Y168">
        <v>31506000000</v>
      </c>
      <c r="Z168">
        <v>24929000000.77</v>
      </c>
      <c r="AA168">
        <v>37818667531.690002</v>
      </c>
      <c r="AB168">
        <v>209840000000</v>
      </c>
      <c r="AC168">
        <v>153414964028.66</v>
      </c>
      <c r="AD168">
        <v>163345972999.20999</v>
      </c>
      <c r="AE168" t="s">
        <v>34</v>
      </c>
      <c r="AF168" t="s">
        <v>34</v>
      </c>
      <c r="AG168">
        <f t="shared" si="8"/>
        <v>68995418596.393631</v>
      </c>
      <c r="AI168" s="7">
        <f t="shared" si="9"/>
        <v>3.732376947999112</v>
      </c>
      <c r="AK168" s="7">
        <f t="shared" si="10"/>
        <v>0.98541273125499196</v>
      </c>
      <c r="AM168" s="7">
        <f t="shared" si="11"/>
        <v>0.74059696561704003</v>
      </c>
    </row>
    <row r="169" spans="1:39" x14ac:dyDescent="0.3">
      <c r="A169" t="s">
        <v>501</v>
      </c>
      <c r="B169" s="1" t="s">
        <v>502</v>
      </c>
      <c r="C169" t="s">
        <v>368</v>
      </c>
      <c r="D169" s="1" t="s">
        <v>369</v>
      </c>
      <c r="E169" t="s">
        <v>34</v>
      </c>
      <c r="F169" t="s">
        <v>34</v>
      </c>
      <c r="G169" t="s">
        <v>34</v>
      </c>
      <c r="H169" t="s">
        <v>34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>
        <v>914399379478</v>
      </c>
      <c r="Z169">
        <v>1012011213950</v>
      </c>
      <c r="AA169">
        <v>1030445508007</v>
      </c>
      <c r="AB169">
        <v>1080676829656.7</v>
      </c>
      <c r="AC169">
        <v>1357240465676</v>
      </c>
      <c r="AD169">
        <v>1327983240208</v>
      </c>
      <c r="AE169">
        <v>1413166631339.8501</v>
      </c>
      <c r="AF169">
        <v>1634585558251.79</v>
      </c>
      <c r="AG169">
        <f t="shared" si="8"/>
        <v>1221313603320.9175</v>
      </c>
      <c r="AI169" s="7">
        <f t="shared" si="9"/>
        <v>15.019962771308355</v>
      </c>
      <c r="AK169" s="7">
        <f t="shared" si="10"/>
        <v>4.1154218804500449</v>
      </c>
      <c r="AM169" s="7">
        <f t="shared" si="11"/>
        <v>8.1922878174441678</v>
      </c>
    </row>
    <row r="170" spans="1:39" x14ac:dyDescent="0.3">
      <c r="A170" t="s">
        <v>501</v>
      </c>
      <c r="B170" s="1" t="s">
        <v>502</v>
      </c>
      <c r="C170" t="s">
        <v>370</v>
      </c>
      <c r="D170" s="1" t="s">
        <v>371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>
        <v>390013300000</v>
      </c>
      <c r="R170">
        <v>440403134000</v>
      </c>
      <c r="S170">
        <v>461614100000</v>
      </c>
      <c r="T170">
        <v>508117683000</v>
      </c>
      <c r="U170">
        <v>544542091800</v>
      </c>
      <c r="V170">
        <v>575663000000</v>
      </c>
      <c r="W170">
        <v>610376892490.80005</v>
      </c>
      <c r="X170">
        <v>653263863368.68994</v>
      </c>
      <c r="Y170">
        <v>699861988698.19995</v>
      </c>
      <c r="Z170">
        <v>761499647221.29004</v>
      </c>
      <c r="AA170">
        <v>805620403543.00098</v>
      </c>
      <c r="AB170">
        <v>839845064563.07996</v>
      </c>
      <c r="AC170">
        <v>911958965046.42004</v>
      </c>
      <c r="AD170">
        <v>913273931516.75903</v>
      </c>
      <c r="AE170">
        <v>913273931516.75903</v>
      </c>
      <c r="AF170" t="s">
        <v>34</v>
      </c>
      <c r="AG170">
        <f t="shared" si="8"/>
        <v>668621866451</v>
      </c>
      <c r="AI170" s="7">
        <f t="shared" si="9"/>
        <v>23.281238528532079</v>
      </c>
      <c r="AK170" s="7">
        <f t="shared" si="10"/>
        <v>1.5266225674596734</v>
      </c>
      <c r="AM170" s="7">
        <f t="shared" si="11"/>
        <v>7.3109611794200786</v>
      </c>
    </row>
    <row r="171" spans="1:39" x14ac:dyDescent="0.3">
      <c r="A171" t="s">
        <v>501</v>
      </c>
      <c r="B171" s="1" t="s">
        <v>502</v>
      </c>
      <c r="C171" t="s">
        <v>372</v>
      </c>
      <c r="D171" s="1" t="s">
        <v>373</v>
      </c>
      <c r="E171">
        <v>48400000</v>
      </c>
      <c r="F171">
        <v>85000000</v>
      </c>
      <c r="G171">
        <v>95500000</v>
      </c>
      <c r="H171">
        <v>93800000</v>
      </c>
      <c r="I171">
        <v>90400000</v>
      </c>
      <c r="J171">
        <v>72800000</v>
      </c>
      <c r="K171" t="s">
        <v>34</v>
      </c>
      <c r="L171" t="s">
        <v>34</v>
      </c>
      <c r="M171" t="s">
        <v>34</v>
      </c>
      <c r="N171" t="s">
        <v>34</v>
      </c>
      <c r="O171">
        <v>751574033</v>
      </c>
      <c r="P171">
        <v>820616000</v>
      </c>
      <c r="Q171">
        <v>926409473</v>
      </c>
      <c r="R171">
        <v>1146520391</v>
      </c>
      <c r="S171">
        <v>1659241967.1400001</v>
      </c>
      <c r="T171">
        <v>1510269160.02</v>
      </c>
      <c r="U171">
        <v>1482495674.26</v>
      </c>
      <c r="V171">
        <v>1759383929.9300001</v>
      </c>
      <c r="W171">
        <v>2422660497</v>
      </c>
      <c r="X171">
        <v>2888691928.1799998</v>
      </c>
      <c r="Y171">
        <v>2788228186.0999999</v>
      </c>
      <c r="Z171">
        <v>3448477672.9899998</v>
      </c>
      <c r="AA171">
        <v>3929269096.1399999</v>
      </c>
      <c r="AB171">
        <v>4003499900</v>
      </c>
      <c r="AC171">
        <v>4194126226.9699998</v>
      </c>
      <c r="AD171">
        <v>3595225898.8499999</v>
      </c>
      <c r="AE171" t="s">
        <v>34</v>
      </c>
      <c r="AF171" t="s">
        <v>34</v>
      </c>
      <c r="AG171">
        <f t="shared" si="8"/>
        <v>1718754092.4809091</v>
      </c>
      <c r="AI171" s="7">
        <f t="shared" si="9"/>
        <v>15.127886061317843</v>
      </c>
      <c r="AK171" s="7">
        <f t="shared" si="10"/>
        <v>4.2764595869844397</v>
      </c>
      <c r="AM171" s="7">
        <f t="shared" si="11"/>
        <v>9.8870552456141318</v>
      </c>
    </row>
    <row r="172" spans="1:39" x14ac:dyDescent="0.3">
      <c r="A172" t="s">
        <v>501</v>
      </c>
      <c r="B172" s="1" t="s">
        <v>502</v>
      </c>
      <c r="C172" t="s">
        <v>374</v>
      </c>
      <c r="D172" s="1" t="s">
        <v>375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34</v>
      </c>
      <c r="AA172" t="s">
        <v>34</v>
      </c>
      <c r="AB172" t="s">
        <v>34</v>
      </c>
      <c r="AC172" t="s">
        <v>34</v>
      </c>
      <c r="AD172" t="s">
        <v>34</v>
      </c>
      <c r="AE172" t="s">
        <v>34</v>
      </c>
      <c r="AF172" t="s">
        <v>34</v>
      </c>
      <c r="AG172" t="str">
        <f t="shared" si="8"/>
        <v>NA</v>
      </c>
      <c r="AI172" s="7" t="str">
        <f t="shared" si="9"/>
        <v>NA</v>
      </c>
      <c r="AK172" s="7" t="str">
        <f t="shared" si="10"/>
        <v>NA</v>
      </c>
      <c r="AM172" s="7" t="str">
        <f t="shared" si="11"/>
        <v>NA</v>
      </c>
    </row>
    <row r="173" spans="1:39" x14ac:dyDescent="0.3">
      <c r="A173" t="s">
        <v>501</v>
      </c>
      <c r="B173" s="1" t="s">
        <v>502</v>
      </c>
      <c r="C173" t="s">
        <v>376</v>
      </c>
      <c r="D173" s="1" t="s">
        <v>377</v>
      </c>
      <c r="E173">
        <v>6450000000</v>
      </c>
      <c r="F173">
        <v>6446000000</v>
      </c>
      <c r="G173">
        <v>6696000000</v>
      </c>
      <c r="H173">
        <v>5746000000</v>
      </c>
      <c r="I173">
        <v>6595000000</v>
      </c>
      <c r="J173">
        <v>7675000000</v>
      </c>
      <c r="K173">
        <v>7213000000</v>
      </c>
      <c r="L173">
        <v>6502000000</v>
      </c>
      <c r="M173">
        <v>8179000000</v>
      </c>
      <c r="N173">
        <v>8630000000</v>
      </c>
      <c r="O173">
        <v>9050000000</v>
      </c>
      <c r="P173">
        <v>9386000000</v>
      </c>
      <c r="Q173">
        <v>12208000000</v>
      </c>
      <c r="R173">
        <v>12158000000</v>
      </c>
      <c r="S173">
        <v>12622000000</v>
      </c>
      <c r="T173">
        <v>14376000000</v>
      </c>
      <c r="U173">
        <v>15112800000</v>
      </c>
      <c r="V173">
        <v>15287400000</v>
      </c>
      <c r="W173">
        <v>15735500000</v>
      </c>
      <c r="X173">
        <v>16948600000</v>
      </c>
      <c r="Y173">
        <v>17656900000</v>
      </c>
      <c r="Z173">
        <v>18638783829.619999</v>
      </c>
      <c r="AA173">
        <v>18933100000</v>
      </c>
      <c r="AB173">
        <v>19499402587.279999</v>
      </c>
      <c r="AC173">
        <v>19466041446.119999</v>
      </c>
      <c r="AD173">
        <v>17782283992.523998</v>
      </c>
      <c r="AE173">
        <v>20916364541.796001</v>
      </c>
      <c r="AF173" t="s">
        <v>34</v>
      </c>
      <c r="AG173">
        <f t="shared" si="8"/>
        <v>12441080607.308889</v>
      </c>
      <c r="AI173" s="7">
        <f t="shared" si="9"/>
        <v>3.9955347423693364</v>
      </c>
      <c r="AK173" s="7">
        <f t="shared" si="10"/>
        <v>0.1058087367767864</v>
      </c>
      <c r="AM173" s="7">
        <f t="shared" si="11"/>
        <v>5.9715657315953772</v>
      </c>
    </row>
    <row r="174" spans="1:39" x14ac:dyDescent="0.3">
      <c r="A174" t="s">
        <v>501</v>
      </c>
      <c r="B174" s="1" t="s">
        <v>502</v>
      </c>
      <c r="C174" t="s">
        <v>378</v>
      </c>
      <c r="D174" s="1" t="s">
        <v>379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  <c r="AD174" t="s">
        <v>34</v>
      </c>
      <c r="AE174" t="s">
        <v>34</v>
      </c>
      <c r="AF174" t="s">
        <v>34</v>
      </c>
      <c r="AG174" t="str">
        <f t="shared" si="8"/>
        <v>NA</v>
      </c>
      <c r="AI174" s="7" t="str">
        <f t="shared" si="9"/>
        <v>NA</v>
      </c>
      <c r="AK174" s="7" t="str">
        <f t="shared" si="10"/>
        <v>NA</v>
      </c>
      <c r="AM174" s="7" t="str">
        <f t="shared" si="11"/>
        <v>NA</v>
      </c>
    </row>
    <row r="175" spans="1:39" x14ac:dyDescent="0.3">
      <c r="A175" t="s">
        <v>501</v>
      </c>
      <c r="B175" s="1" t="s">
        <v>502</v>
      </c>
      <c r="C175" t="s">
        <v>380</v>
      </c>
      <c r="D175" s="1" t="s">
        <v>381</v>
      </c>
      <c r="E175">
        <v>2477052000</v>
      </c>
      <c r="F175">
        <v>2623460000</v>
      </c>
      <c r="G175">
        <v>2679934000</v>
      </c>
      <c r="H175">
        <v>2965937000</v>
      </c>
      <c r="I175">
        <v>3036185000</v>
      </c>
      <c r="J175">
        <v>3465738000</v>
      </c>
      <c r="K175">
        <v>3687291000</v>
      </c>
      <c r="L175">
        <v>4086763000</v>
      </c>
      <c r="M175">
        <v>4757022000</v>
      </c>
      <c r="N175">
        <v>5509753000</v>
      </c>
      <c r="O175">
        <v>6112157000</v>
      </c>
      <c r="P175">
        <v>6080425000</v>
      </c>
      <c r="Q175">
        <v>6733456000</v>
      </c>
      <c r="R175">
        <v>6891092000</v>
      </c>
      <c r="S175">
        <v>6423028000</v>
      </c>
      <c r="T175">
        <v>6715914000</v>
      </c>
      <c r="U175">
        <v>7621417000</v>
      </c>
      <c r="V175">
        <v>7422639000</v>
      </c>
      <c r="W175">
        <v>7964098000</v>
      </c>
      <c r="X175">
        <v>8358403000</v>
      </c>
      <c r="Y175">
        <v>8966673000</v>
      </c>
      <c r="Z175">
        <v>9026492000</v>
      </c>
      <c r="AA175">
        <v>9760718000</v>
      </c>
      <c r="AB175">
        <v>10299098000</v>
      </c>
      <c r="AC175">
        <v>11080080000</v>
      </c>
      <c r="AD175">
        <v>10881222000</v>
      </c>
      <c r="AE175">
        <v>11652264000</v>
      </c>
      <c r="AF175" t="s">
        <v>34</v>
      </c>
      <c r="AG175">
        <f t="shared" si="8"/>
        <v>6565863370.3703699</v>
      </c>
      <c r="AI175" s="7">
        <f t="shared" si="9"/>
        <v>10.726070532844</v>
      </c>
      <c r="AK175" s="7">
        <f t="shared" si="10"/>
        <v>0.16574683746726829</v>
      </c>
      <c r="AM175" s="7">
        <f t="shared" si="11"/>
        <v>6.2940345984259665</v>
      </c>
    </row>
    <row r="176" spans="1:39" x14ac:dyDescent="0.3">
      <c r="A176" t="s">
        <v>501</v>
      </c>
      <c r="B176" s="1" t="s">
        <v>502</v>
      </c>
      <c r="C176" t="s">
        <v>382</v>
      </c>
      <c r="D176" s="1" t="s">
        <v>383</v>
      </c>
      <c r="E176">
        <v>1238644000</v>
      </c>
      <c r="F176">
        <v>1439393000</v>
      </c>
      <c r="G176">
        <v>1622689000</v>
      </c>
      <c r="H176">
        <v>1962078000</v>
      </c>
      <c r="I176">
        <v>2319769000</v>
      </c>
      <c r="J176">
        <v>2420492000</v>
      </c>
      <c r="K176">
        <v>2675895000</v>
      </c>
      <c r="L176">
        <v>3048438000</v>
      </c>
      <c r="M176">
        <v>3307567000</v>
      </c>
      <c r="N176">
        <v>3586807000</v>
      </c>
      <c r="O176">
        <v>3799225000</v>
      </c>
      <c r="P176">
        <v>4032956000</v>
      </c>
      <c r="Q176">
        <v>4463801000</v>
      </c>
      <c r="R176">
        <v>4907575000</v>
      </c>
      <c r="S176">
        <v>4795008000</v>
      </c>
      <c r="T176">
        <v>4979912000</v>
      </c>
      <c r="U176">
        <v>5046662000</v>
      </c>
      <c r="V176">
        <v>5100669000</v>
      </c>
      <c r="W176">
        <v>5326759000</v>
      </c>
      <c r="X176">
        <v>5495256000</v>
      </c>
      <c r="Y176">
        <v>5627572000</v>
      </c>
      <c r="Z176">
        <v>5783681000</v>
      </c>
      <c r="AA176">
        <v>5994854000</v>
      </c>
      <c r="AB176">
        <v>6289976000</v>
      </c>
      <c r="AC176">
        <v>6562546000</v>
      </c>
      <c r="AD176">
        <v>5826208000</v>
      </c>
      <c r="AE176">
        <v>6712085000</v>
      </c>
      <c r="AF176" t="s">
        <v>34</v>
      </c>
      <c r="AG176">
        <f t="shared" si="8"/>
        <v>4235796925.9259257</v>
      </c>
      <c r="AI176" s="7">
        <f t="shared" si="9"/>
        <v>12.995470283370105</v>
      </c>
      <c r="AK176" s="7">
        <f t="shared" si="10"/>
        <v>0.56699353468134572</v>
      </c>
      <c r="AM176" s="7">
        <f t="shared" si="11"/>
        <v>4.6600455376687133</v>
      </c>
    </row>
    <row r="177" spans="1:39" x14ac:dyDescent="0.3">
      <c r="A177" t="s">
        <v>501</v>
      </c>
      <c r="B177" s="1" t="s">
        <v>502</v>
      </c>
      <c r="C177" t="s">
        <v>384</v>
      </c>
      <c r="D177" s="1" t="s">
        <v>385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>
        <v>542538528.36000001</v>
      </c>
      <c r="V177">
        <v>549098692.79999995</v>
      </c>
      <c r="W177">
        <v>582774407.77999997</v>
      </c>
      <c r="X177">
        <v>642117704.5</v>
      </c>
      <c r="Y177">
        <v>585369210.71000004</v>
      </c>
      <c r="Z177">
        <v>560421485.73000002</v>
      </c>
      <c r="AA177">
        <v>978054499.63</v>
      </c>
      <c r="AB177">
        <v>689323383.25</v>
      </c>
      <c r="AC177">
        <v>657471702.76999998</v>
      </c>
      <c r="AD177">
        <v>605390996.78999996</v>
      </c>
      <c r="AE177" t="s">
        <v>34</v>
      </c>
      <c r="AF177" t="s">
        <v>34</v>
      </c>
      <c r="AG177">
        <f t="shared" si="8"/>
        <v>639256061.23199987</v>
      </c>
      <c r="AI177" s="7">
        <f t="shared" si="9"/>
        <v>9.3932906752861047</v>
      </c>
      <c r="AK177" s="7">
        <f t="shared" si="10"/>
        <v>15.662135012269962</v>
      </c>
      <c r="AM177" s="7">
        <f t="shared" si="11"/>
        <v>13.24703188183719</v>
      </c>
    </row>
    <row r="178" spans="1:39" x14ac:dyDescent="0.3">
      <c r="A178" t="s">
        <v>501</v>
      </c>
      <c r="B178" s="1" t="s">
        <v>502</v>
      </c>
      <c r="C178" t="s">
        <v>386</v>
      </c>
      <c r="D178" s="1" t="s">
        <v>387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  <c r="AA178">
        <v>46284660.039033301</v>
      </c>
      <c r="AB178">
        <v>69960137.787244394</v>
      </c>
      <c r="AC178">
        <v>47057470.926055603</v>
      </c>
      <c r="AD178">
        <v>32315534.183511101</v>
      </c>
      <c r="AE178" t="s">
        <v>34</v>
      </c>
      <c r="AF178" t="s">
        <v>34</v>
      </c>
      <c r="AG178">
        <f t="shared" si="8"/>
        <v>48904450.733961105</v>
      </c>
      <c r="AI178" s="7">
        <f t="shared" si="9"/>
        <v>2.484229200198951E-5</v>
      </c>
      <c r="AK178" s="7">
        <f t="shared" si="10"/>
        <v>4.9976282553041888E-5</v>
      </c>
      <c r="AM178" s="7">
        <f t="shared" si="11"/>
        <v>4.5675915613998583E-6</v>
      </c>
    </row>
    <row r="179" spans="1:39" x14ac:dyDescent="0.3">
      <c r="A179" t="s">
        <v>501</v>
      </c>
      <c r="B179" s="1" t="s">
        <v>502</v>
      </c>
      <c r="C179" t="s">
        <v>388</v>
      </c>
      <c r="D179" s="1" t="s">
        <v>389</v>
      </c>
      <c r="E179">
        <v>50576000000</v>
      </c>
      <c r="F179">
        <v>56721000000</v>
      </c>
      <c r="G179">
        <v>64087300000</v>
      </c>
      <c r="H179">
        <v>70319200000</v>
      </c>
      <c r="I179">
        <v>77485300000</v>
      </c>
      <c r="J179">
        <v>84249400000</v>
      </c>
      <c r="K179">
        <v>93027000000</v>
      </c>
      <c r="L179">
        <v>104511000000</v>
      </c>
      <c r="M179">
        <v>119780200000</v>
      </c>
      <c r="N179">
        <v>144337000000</v>
      </c>
      <c r="O179">
        <v>166582000000</v>
      </c>
      <c r="P179">
        <v>190829000000</v>
      </c>
      <c r="Q179">
        <v>215851000000</v>
      </c>
      <c r="R179">
        <v>220765000000</v>
      </c>
      <c r="S179">
        <v>225371324749.245</v>
      </c>
      <c r="T179">
        <v>272096532404.89801</v>
      </c>
      <c r="U179">
        <v>289545099223.34698</v>
      </c>
      <c r="V179">
        <v>324163349903.57001</v>
      </c>
      <c r="W179">
        <v>356702702944.508</v>
      </c>
      <c r="X179">
        <v>392191320937.71698</v>
      </c>
      <c r="Y179">
        <v>437366296825.06799</v>
      </c>
      <c r="Z179">
        <v>454725827241.51202</v>
      </c>
      <c r="AA179">
        <v>477176365203.92798</v>
      </c>
      <c r="AB179">
        <v>520592909479.44501</v>
      </c>
      <c r="AC179">
        <v>549819118492.14001</v>
      </c>
      <c r="AD179">
        <v>514510855617.74103</v>
      </c>
      <c r="AE179">
        <v>609954139057.46594</v>
      </c>
      <c r="AF179" t="s">
        <v>34</v>
      </c>
      <c r="AG179">
        <f t="shared" si="8"/>
        <v>262345786743.72534</v>
      </c>
      <c r="AI179" s="7">
        <f t="shared" si="9"/>
        <v>8.7606850266413581</v>
      </c>
      <c r="AK179" s="7">
        <f t="shared" si="10"/>
        <v>0.89170829866017964</v>
      </c>
      <c r="AM179" s="7">
        <f t="shared" si="11"/>
        <v>12.76404391620316</v>
      </c>
    </row>
    <row r="180" spans="1:39" x14ac:dyDescent="0.3">
      <c r="A180" t="s">
        <v>501</v>
      </c>
      <c r="B180" s="1" t="s">
        <v>502</v>
      </c>
      <c r="C180" t="s">
        <v>390</v>
      </c>
      <c r="D180" s="1" t="s">
        <v>391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t="s">
        <v>34</v>
      </c>
      <c r="AE180" t="s">
        <v>34</v>
      </c>
      <c r="AF180" t="s">
        <v>34</v>
      </c>
      <c r="AG180" t="str">
        <f t="shared" si="8"/>
        <v>NA</v>
      </c>
      <c r="AI180" s="7" t="str">
        <f t="shared" si="9"/>
        <v>NA</v>
      </c>
      <c r="AK180" s="7" t="str">
        <f t="shared" si="10"/>
        <v>NA</v>
      </c>
      <c r="AM180" s="7" t="str">
        <f t="shared" si="11"/>
        <v>NA</v>
      </c>
    </row>
    <row r="181" spans="1:39" x14ac:dyDescent="0.3">
      <c r="A181" t="s">
        <v>501</v>
      </c>
      <c r="B181" s="1" t="s">
        <v>502</v>
      </c>
      <c r="C181" t="s">
        <v>392</v>
      </c>
      <c r="D181" s="1" t="s">
        <v>393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34</v>
      </c>
      <c r="V181">
        <v>72433000000</v>
      </c>
      <c r="W181">
        <v>78701000000</v>
      </c>
      <c r="X181">
        <v>82753000000</v>
      </c>
      <c r="Y181">
        <v>89138000000</v>
      </c>
      <c r="Z181">
        <v>90247000000</v>
      </c>
      <c r="AA181">
        <v>94248000000</v>
      </c>
      <c r="AB181">
        <v>98179000000</v>
      </c>
      <c r="AC181">
        <v>100275000000</v>
      </c>
      <c r="AD181">
        <v>89284000000</v>
      </c>
      <c r="AE181">
        <v>103108000000</v>
      </c>
      <c r="AF181" t="s">
        <v>34</v>
      </c>
      <c r="AG181">
        <f t="shared" si="8"/>
        <v>89836600000</v>
      </c>
      <c r="AI181" s="7">
        <f t="shared" si="9"/>
        <v>9.5718607572456751</v>
      </c>
      <c r="AK181" s="7" t="str">
        <f t="shared" si="10"/>
        <v>NA</v>
      </c>
      <c r="AM181" s="7">
        <f t="shared" si="11"/>
        <v>6.8830612422192301</v>
      </c>
    </row>
    <row r="182" spans="1:39" x14ac:dyDescent="0.3">
      <c r="A182" t="s">
        <v>501</v>
      </c>
      <c r="B182" s="1" t="s">
        <v>502</v>
      </c>
      <c r="C182" t="s">
        <v>394</v>
      </c>
      <c r="D182" s="1" t="s">
        <v>395</v>
      </c>
      <c r="E182">
        <v>71847000000</v>
      </c>
      <c r="F182">
        <v>78709000000</v>
      </c>
      <c r="G182">
        <v>87830000000</v>
      </c>
      <c r="H182">
        <v>91706000000</v>
      </c>
      <c r="I182">
        <v>102391000000</v>
      </c>
      <c r="J182">
        <v>122802000000</v>
      </c>
      <c r="K182">
        <v>136632000000</v>
      </c>
      <c r="L182">
        <v>149852000000</v>
      </c>
      <c r="M182">
        <v>152533000000</v>
      </c>
      <c r="N182">
        <v>191525000000</v>
      </c>
      <c r="O182">
        <v>227935000000</v>
      </c>
      <c r="P182">
        <v>259183000000</v>
      </c>
      <c r="Q182">
        <v>286157000000</v>
      </c>
      <c r="R182">
        <v>306409000000</v>
      </c>
      <c r="S182">
        <v>272383000000</v>
      </c>
      <c r="T182">
        <v>355365997563.72998</v>
      </c>
      <c r="U182">
        <v>407664000000</v>
      </c>
      <c r="V182">
        <v>492300000000</v>
      </c>
      <c r="W182">
        <v>506906000000</v>
      </c>
      <c r="X182">
        <v>539023290522.95001</v>
      </c>
      <c r="Y182">
        <v>724281558603.34998</v>
      </c>
      <c r="Z182">
        <v>840563919917</v>
      </c>
      <c r="AA182">
        <v>1023695825724.11</v>
      </c>
      <c r="AB182">
        <v>1059089820293.96</v>
      </c>
      <c r="AC182">
        <v>971822175183.95996</v>
      </c>
      <c r="AD182">
        <v>571201514317.5</v>
      </c>
      <c r="AE182">
        <v>643086143023.26001</v>
      </c>
      <c r="AF182" t="s">
        <v>34</v>
      </c>
      <c r="AG182">
        <f t="shared" si="8"/>
        <v>395292379449.99329</v>
      </c>
      <c r="AI182" s="7">
        <f t="shared" si="9"/>
        <v>5.4765906798428086</v>
      </c>
      <c r="AK182" s="7">
        <f t="shared" si="10"/>
        <v>2.0617385489366882</v>
      </c>
      <c r="AM182" s="7">
        <f t="shared" si="11"/>
        <v>1.9102294165951015</v>
      </c>
    </row>
    <row r="183" spans="1:39" x14ac:dyDescent="0.3">
      <c r="A183" t="s">
        <v>501</v>
      </c>
      <c r="B183" s="1" t="s">
        <v>502</v>
      </c>
      <c r="C183" t="s">
        <v>396</v>
      </c>
      <c r="D183" s="1" t="s">
        <v>397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>
        <v>31000000</v>
      </c>
      <c r="K183">
        <v>38200000</v>
      </c>
      <c r="L183">
        <v>55767000</v>
      </c>
      <c r="M183">
        <v>59874000</v>
      </c>
      <c r="N183">
        <v>69955000</v>
      </c>
      <c r="O183">
        <v>70545804</v>
      </c>
      <c r="P183">
        <v>98132049</v>
      </c>
      <c r="Q183">
        <v>185307072</v>
      </c>
      <c r="R183">
        <v>81993389.480000004</v>
      </c>
      <c r="S183">
        <v>67823290</v>
      </c>
      <c r="T183">
        <v>82940000</v>
      </c>
      <c r="U183">
        <v>208070000</v>
      </c>
      <c r="V183">
        <v>203200000</v>
      </c>
      <c r="W183">
        <v>215830000</v>
      </c>
      <c r="X183">
        <v>238060000</v>
      </c>
      <c r="Y183">
        <v>216970000</v>
      </c>
      <c r="Z183">
        <v>207580000</v>
      </c>
      <c r="AA183">
        <v>203310000</v>
      </c>
      <c r="AB183" t="s">
        <v>34</v>
      </c>
      <c r="AC183" t="s">
        <v>34</v>
      </c>
      <c r="AD183">
        <v>148600000</v>
      </c>
      <c r="AE183" t="s">
        <v>34</v>
      </c>
      <c r="AF183" t="s">
        <v>34</v>
      </c>
      <c r="AG183">
        <f t="shared" si="8"/>
        <v>130692505.49894737</v>
      </c>
      <c r="AI183" s="7">
        <f t="shared" si="9"/>
        <v>6.8580742298264896</v>
      </c>
      <c r="AK183" s="7">
        <f t="shared" si="10"/>
        <v>6.877411069468959</v>
      </c>
      <c r="AM183" s="7">
        <f t="shared" si="11"/>
        <v>5.1829880699468314</v>
      </c>
    </row>
    <row r="184" spans="1:39" x14ac:dyDescent="0.3">
      <c r="A184" t="s">
        <v>501</v>
      </c>
      <c r="B184" s="1" t="s">
        <v>502</v>
      </c>
      <c r="C184" t="s">
        <v>398</v>
      </c>
      <c r="D184" s="1" t="s">
        <v>399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  <c r="J184">
        <v>58115201</v>
      </c>
      <c r="K184">
        <v>54459253</v>
      </c>
      <c r="L184">
        <v>68479000</v>
      </c>
      <c r="M184">
        <v>60689000</v>
      </c>
      <c r="N184">
        <v>93333352</v>
      </c>
      <c r="O184">
        <v>89512533</v>
      </c>
      <c r="P184">
        <v>105587571</v>
      </c>
      <c r="Q184">
        <v>119720038</v>
      </c>
      <c r="R184">
        <v>132240899</v>
      </c>
      <c r="S184">
        <v>107433040</v>
      </c>
      <c r="T184">
        <v>125134355</v>
      </c>
      <c r="U184">
        <v>125730602</v>
      </c>
      <c r="V184">
        <v>182577373</v>
      </c>
      <c r="W184">
        <v>362868888</v>
      </c>
      <c r="X184">
        <v>383211134</v>
      </c>
      <c r="Y184">
        <v>413110000</v>
      </c>
      <c r="Z184">
        <v>424610000</v>
      </c>
      <c r="AA184">
        <v>389730000</v>
      </c>
      <c r="AB184" t="s">
        <v>34</v>
      </c>
      <c r="AC184" t="s">
        <v>34</v>
      </c>
      <c r="AD184" t="s">
        <v>34</v>
      </c>
      <c r="AE184" t="s">
        <v>34</v>
      </c>
      <c r="AF184" t="s">
        <v>34</v>
      </c>
      <c r="AG184">
        <f t="shared" si="8"/>
        <v>183141235.5</v>
      </c>
      <c r="AI184" s="7">
        <f t="shared" si="9"/>
        <v>4.8311746328729583</v>
      </c>
      <c r="AK184" s="7">
        <f t="shared" si="10"/>
        <v>7.8976995811909516</v>
      </c>
      <c r="AM184" s="7">
        <f t="shared" si="11"/>
        <v>4.9694624041146565</v>
      </c>
    </row>
    <row r="185" spans="1:39" x14ac:dyDescent="0.3">
      <c r="A185" t="s">
        <v>501</v>
      </c>
      <c r="B185" s="1" t="s">
        <v>502</v>
      </c>
      <c r="C185" t="s">
        <v>400</v>
      </c>
      <c r="D185" s="1" t="s">
        <v>401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  <c r="AD185" t="s">
        <v>34</v>
      </c>
      <c r="AE185" t="s">
        <v>34</v>
      </c>
      <c r="AF185" t="s">
        <v>34</v>
      </c>
      <c r="AG185" t="str">
        <f t="shared" si="8"/>
        <v>NA</v>
      </c>
      <c r="AI185" s="7" t="str">
        <f t="shared" si="9"/>
        <v>NA</v>
      </c>
      <c r="AK185" s="7" t="str">
        <f t="shared" si="10"/>
        <v>NA</v>
      </c>
      <c r="AM185" s="7" t="str">
        <f t="shared" si="11"/>
        <v>NA</v>
      </c>
    </row>
    <row r="186" spans="1:39" x14ac:dyDescent="0.3">
      <c r="A186" t="s">
        <v>501</v>
      </c>
      <c r="B186" s="1" t="s">
        <v>502</v>
      </c>
      <c r="C186" t="s">
        <v>402</v>
      </c>
      <c r="D186" s="1" t="s">
        <v>403</v>
      </c>
      <c r="E186">
        <v>20200000</v>
      </c>
      <c r="F186">
        <v>22500000</v>
      </c>
      <c r="G186">
        <v>24600000</v>
      </c>
      <c r="H186">
        <v>24400000</v>
      </c>
      <c r="I186">
        <v>27300000</v>
      </c>
      <c r="J186">
        <v>51460000</v>
      </c>
      <c r="K186">
        <v>55410000</v>
      </c>
      <c r="L186">
        <v>55770000</v>
      </c>
      <c r="M186">
        <v>59870000</v>
      </c>
      <c r="N186">
        <v>69960000</v>
      </c>
      <c r="O186">
        <v>73260000</v>
      </c>
      <c r="P186">
        <v>98170000</v>
      </c>
      <c r="Q186">
        <v>185310000</v>
      </c>
      <c r="R186">
        <v>245820000</v>
      </c>
      <c r="S186">
        <v>236783708</v>
      </c>
      <c r="T186">
        <v>227964597</v>
      </c>
      <c r="U186">
        <v>213730145</v>
      </c>
      <c r="V186">
        <v>224352198</v>
      </c>
      <c r="W186">
        <v>223298835</v>
      </c>
      <c r="X186">
        <v>204810000</v>
      </c>
      <c r="Y186">
        <v>221160000</v>
      </c>
      <c r="Z186">
        <v>264270000</v>
      </c>
      <c r="AA186">
        <v>265650000</v>
      </c>
      <c r="AB186" t="s">
        <v>34</v>
      </c>
      <c r="AC186" t="s">
        <v>34</v>
      </c>
      <c r="AD186" t="s">
        <v>34</v>
      </c>
      <c r="AE186" t="s">
        <v>34</v>
      </c>
      <c r="AF186" t="s">
        <v>34</v>
      </c>
      <c r="AG186">
        <f t="shared" si="8"/>
        <v>134610847.08695653</v>
      </c>
      <c r="AI186" s="7">
        <f t="shared" si="9"/>
        <v>7.6658246357850288</v>
      </c>
      <c r="AK186" s="7">
        <f t="shared" si="10"/>
        <v>6.0668914077949667</v>
      </c>
      <c r="AM186" s="7">
        <f t="shared" si="11"/>
        <v>5.5558391231599789</v>
      </c>
    </row>
    <row r="187" spans="1:39" x14ac:dyDescent="0.3">
      <c r="A187" t="s">
        <v>501</v>
      </c>
      <c r="B187" s="1" t="s">
        <v>502</v>
      </c>
      <c r="C187" t="s">
        <v>404</v>
      </c>
      <c r="D187" s="1" t="s">
        <v>405</v>
      </c>
      <c r="E187" t="s">
        <v>34</v>
      </c>
      <c r="F187" t="s">
        <v>34</v>
      </c>
      <c r="G187" t="s">
        <v>34</v>
      </c>
      <c r="H187">
        <v>657440000</v>
      </c>
      <c r="I187">
        <v>760500000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>
        <v>4959200000</v>
      </c>
      <c r="T187">
        <v>5178500000</v>
      </c>
      <c r="U187">
        <v>4533800000</v>
      </c>
      <c r="V187">
        <v>9391100000</v>
      </c>
      <c r="W187">
        <v>15518400000</v>
      </c>
      <c r="X187">
        <v>24170900000</v>
      </c>
      <c r="Y187">
        <v>29608100000</v>
      </c>
      <c r="Z187">
        <v>34597600000</v>
      </c>
      <c r="AA187" t="s">
        <v>34</v>
      </c>
      <c r="AB187" t="s">
        <v>34</v>
      </c>
      <c r="AC187" t="s">
        <v>34</v>
      </c>
      <c r="AD187" t="s">
        <v>34</v>
      </c>
      <c r="AE187" t="s">
        <v>34</v>
      </c>
      <c r="AF187" t="s">
        <v>34</v>
      </c>
      <c r="AG187">
        <f t="shared" si="8"/>
        <v>12937554000</v>
      </c>
      <c r="AI187" s="7">
        <f t="shared" si="9"/>
        <v>0.67376592908654964</v>
      </c>
      <c r="AK187" s="7">
        <f t="shared" si="10"/>
        <v>0.23966593829360433</v>
      </c>
      <c r="AM187" s="7">
        <f t="shared" si="11"/>
        <v>8.5135587762528914E-2</v>
      </c>
    </row>
    <row r="188" spans="1:39" x14ac:dyDescent="0.3">
      <c r="A188" t="s">
        <v>501</v>
      </c>
      <c r="B188" s="1" t="s">
        <v>502</v>
      </c>
      <c r="C188" t="s">
        <v>406</v>
      </c>
      <c r="D188" s="1" t="s">
        <v>407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34</v>
      </c>
      <c r="AA188" t="s">
        <v>34</v>
      </c>
      <c r="AB188" t="s">
        <v>34</v>
      </c>
      <c r="AC188" t="s">
        <v>34</v>
      </c>
      <c r="AD188" t="s">
        <v>34</v>
      </c>
      <c r="AE188" t="s">
        <v>34</v>
      </c>
      <c r="AF188" t="s">
        <v>34</v>
      </c>
      <c r="AG188" t="str">
        <f t="shared" si="8"/>
        <v>NA</v>
      </c>
      <c r="AI188" s="7" t="str">
        <f t="shared" si="9"/>
        <v>NA</v>
      </c>
      <c r="AK188" s="7" t="str">
        <f t="shared" si="10"/>
        <v>NA</v>
      </c>
      <c r="AM188" s="7" t="str">
        <f t="shared" si="11"/>
        <v>NA</v>
      </c>
    </row>
    <row r="189" spans="1:39" x14ac:dyDescent="0.3">
      <c r="A189" t="s">
        <v>501</v>
      </c>
      <c r="B189" s="1" t="s">
        <v>502</v>
      </c>
      <c r="C189" t="s">
        <v>408</v>
      </c>
      <c r="D189" s="1" t="s">
        <v>409</v>
      </c>
      <c r="E189">
        <v>247905000000</v>
      </c>
      <c r="F189">
        <v>249140000000</v>
      </c>
      <c r="G189">
        <v>258513000000</v>
      </c>
      <c r="H189">
        <v>272834000000</v>
      </c>
      <c r="I189">
        <v>284943000000</v>
      </c>
      <c r="J189">
        <v>294079000000</v>
      </c>
      <c r="K189">
        <v>307298000000</v>
      </c>
      <c r="L189">
        <v>323195000000</v>
      </c>
      <c r="M189">
        <v>337515000000</v>
      </c>
      <c r="N189">
        <v>349338000000</v>
      </c>
      <c r="O189">
        <v>369186000000</v>
      </c>
      <c r="P189">
        <v>388914000000</v>
      </c>
      <c r="Q189">
        <v>411303000000</v>
      </c>
      <c r="R189">
        <v>431013000000</v>
      </c>
      <c r="S189">
        <v>436445000000</v>
      </c>
      <c r="T189">
        <v>465728000000</v>
      </c>
      <c r="U189">
        <v>470065000000</v>
      </c>
      <c r="V189">
        <v>469772000000</v>
      </c>
      <c r="W189">
        <v>477457000000</v>
      </c>
      <c r="X189">
        <v>492584000000</v>
      </c>
      <c r="Y189">
        <v>526861000000</v>
      </c>
      <c r="Z189">
        <v>564591000000</v>
      </c>
      <c r="AA189">
        <v>583975000000</v>
      </c>
      <c r="AB189">
        <v>610372000000</v>
      </c>
      <c r="AC189">
        <v>624736000000</v>
      </c>
      <c r="AD189">
        <v>624060000000</v>
      </c>
      <c r="AE189">
        <v>670067000000</v>
      </c>
      <c r="AF189" t="s">
        <v>34</v>
      </c>
      <c r="AG189">
        <f t="shared" si="8"/>
        <v>427477370370.37036</v>
      </c>
      <c r="AI189" s="7">
        <f t="shared" si="9"/>
        <v>12.207826235036789</v>
      </c>
      <c r="AK189" s="7" t="str">
        <f t="shared" si="10"/>
        <v>NA</v>
      </c>
      <c r="AM189" s="7">
        <f t="shared" si="11"/>
        <v>4.8283495945397021</v>
      </c>
    </row>
    <row r="190" spans="1:39" x14ac:dyDescent="0.3">
      <c r="A190" t="s">
        <v>501</v>
      </c>
      <c r="B190" s="1" t="s">
        <v>502</v>
      </c>
      <c r="C190" t="s">
        <v>410</v>
      </c>
      <c r="D190" s="1" t="s">
        <v>411</v>
      </c>
      <c r="E190">
        <v>21360199612.93</v>
      </c>
      <c r="F190">
        <v>21249500511.91</v>
      </c>
      <c r="G190">
        <v>22307740270.990002</v>
      </c>
      <c r="H190">
        <v>24483422038.279999</v>
      </c>
      <c r="I190">
        <v>26467503397.419998</v>
      </c>
      <c r="J190">
        <v>29160547323.360001</v>
      </c>
      <c r="K190">
        <v>29032553295.610001</v>
      </c>
      <c r="L190">
        <v>27971252367.02</v>
      </c>
      <c r="M190">
        <v>28452490254.599998</v>
      </c>
      <c r="N190">
        <v>29587471422.240002</v>
      </c>
      <c r="O190">
        <v>30218227024.220001</v>
      </c>
      <c r="P190">
        <v>31563287141.860001</v>
      </c>
      <c r="Q190">
        <v>32626169062.779999</v>
      </c>
      <c r="R190">
        <v>33810606946.150002</v>
      </c>
      <c r="S190">
        <v>32974306574.740002</v>
      </c>
      <c r="T190">
        <v>34653085466.669998</v>
      </c>
      <c r="U190">
        <v>35309566160.010002</v>
      </c>
      <c r="V190">
        <v>35225227176.940002</v>
      </c>
      <c r="W190">
        <v>35627227988.949997</v>
      </c>
      <c r="X190">
        <v>35762368065.589996</v>
      </c>
      <c r="Y190">
        <v>35941967918.989998</v>
      </c>
      <c r="Z190">
        <v>35693288494.160004</v>
      </c>
      <c r="AA190">
        <v>36927188155.519997</v>
      </c>
      <c r="AB190">
        <v>36633988243.050003</v>
      </c>
      <c r="AC190">
        <v>36549016372.690002</v>
      </c>
      <c r="AD190">
        <v>36201035682.550003</v>
      </c>
      <c r="AE190">
        <v>38118067756.330002</v>
      </c>
      <c r="AF190" t="s">
        <v>34</v>
      </c>
      <c r="AG190">
        <f t="shared" si="8"/>
        <v>31626196471.317036</v>
      </c>
      <c r="AI190" s="7">
        <f t="shared" si="9"/>
        <v>5.4116535774124008</v>
      </c>
      <c r="AK190" s="7">
        <f t="shared" si="10"/>
        <v>0.18741722648703019</v>
      </c>
      <c r="AM190" s="7">
        <f t="shared" si="11"/>
        <v>3.5789231536049564</v>
      </c>
    </row>
    <row r="191" spans="1:39" x14ac:dyDescent="0.3">
      <c r="A191" t="s">
        <v>501</v>
      </c>
      <c r="B191" s="1" t="s">
        <v>502</v>
      </c>
      <c r="C191" t="s">
        <v>412</v>
      </c>
      <c r="D191" s="1" t="s">
        <v>413</v>
      </c>
      <c r="E191" t="s">
        <v>34</v>
      </c>
      <c r="F191" t="s">
        <v>34</v>
      </c>
      <c r="G191" t="s">
        <v>34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34</v>
      </c>
      <c r="AA191" t="s">
        <v>34</v>
      </c>
      <c r="AB191" t="s">
        <v>34</v>
      </c>
      <c r="AC191" t="s">
        <v>34</v>
      </c>
      <c r="AD191" t="s">
        <v>34</v>
      </c>
      <c r="AE191" t="s">
        <v>34</v>
      </c>
      <c r="AF191" t="s">
        <v>34</v>
      </c>
      <c r="AG191" t="str">
        <f t="shared" si="8"/>
        <v>NA</v>
      </c>
      <c r="AI191" s="7" t="str">
        <f t="shared" si="9"/>
        <v>NA</v>
      </c>
      <c r="AK191" s="7" t="str">
        <f t="shared" si="10"/>
        <v>NA</v>
      </c>
      <c r="AM191" s="7" t="str">
        <f t="shared" si="11"/>
        <v>NA</v>
      </c>
    </row>
    <row r="192" spans="1:39" x14ac:dyDescent="0.3">
      <c r="A192" t="s">
        <v>501</v>
      </c>
      <c r="B192" s="1" t="s">
        <v>502</v>
      </c>
      <c r="C192" t="s">
        <v>414</v>
      </c>
      <c r="D192" s="1" t="s">
        <v>415</v>
      </c>
      <c r="E192" t="s">
        <v>34</v>
      </c>
      <c r="F192" t="s">
        <v>34</v>
      </c>
      <c r="G192" t="s">
        <v>34</v>
      </c>
      <c r="H192">
        <v>61043000</v>
      </c>
      <c r="I192">
        <v>80880000</v>
      </c>
      <c r="J192">
        <v>103994000</v>
      </c>
      <c r="K192">
        <v>153256000</v>
      </c>
      <c r="L192" t="s">
        <v>34</v>
      </c>
      <c r="M192">
        <v>367686000</v>
      </c>
      <c r="N192">
        <v>470671000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34</v>
      </c>
      <c r="AA192" t="s">
        <v>34</v>
      </c>
      <c r="AB192" t="s">
        <v>34</v>
      </c>
      <c r="AC192" t="s">
        <v>34</v>
      </c>
      <c r="AD192" t="s">
        <v>34</v>
      </c>
      <c r="AE192">
        <v>8101845916</v>
      </c>
      <c r="AF192" t="s">
        <v>34</v>
      </c>
      <c r="AG192">
        <f t="shared" si="8"/>
        <v>1334196559.4285715</v>
      </c>
      <c r="AI192" s="7">
        <f t="shared" si="9"/>
        <v>4.2119828393074163</v>
      </c>
      <c r="AK192" s="7">
        <f t="shared" si="10"/>
        <v>0.53130744196382618</v>
      </c>
      <c r="AM192" s="7">
        <f t="shared" si="11"/>
        <v>0.68410345212873247</v>
      </c>
    </row>
    <row r="193" spans="1:39" x14ac:dyDescent="0.3">
      <c r="A193" t="s">
        <v>501</v>
      </c>
      <c r="B193" s="1" t="s">
        <v>502</v>
      </c>
      <c r="C193" t="s">
        <v>416</v>
      </c>
      <c r="D193" s="1" t="s">
        <v>417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>
        <v>2241586000000</v>
      </c>
      <c r="T193">
        <v>2241586000000</v>
      </c>
      <c r="U193">
        <v>2572909000000</v>
      </c>
      <c r="V193">
        <v>3523150300000</v>
      </c>
      <c r="W193">
        <v>3985112600000</v>
      </c>
      <c r="X193">
        <v>4600548205000</v>
      </c>
      <c r="Y193">
        <v>5082605898000</v>
      </c>
      <c r="Z193">
        <v>6132957800000</v>
      </c>
      <c r="AA193">
        <v>7349181320000</v>
      </c>
      <c r="AB193">
        <v>8274387830000</v>
      </c>
      <c r="AC193" t="s">
        <v>34</v>
      </c>
      <c r="AD193" t="s">
        <v>34</v>
      </c>
      <c r="AE193" t="s">
        <v>34</v>
      </c>
      <c r="AF193" t="s">
        <v>34</v>
      </c>
      <c r="AG193">
        <f t="shared" si="8"/>
        <v>4600402495300</v>
      </c>
      <c r="AI193" s="7">
        <f t="shared" si="9"/>
        <v>7.8662767510494858</v>
      </c>
      <c r="AK193" s="7">
        <f t="shared" si="10"/>
        <v>1.3616528972848805</v>
      </c>
      <c r="AM193" s="7">
        <f t="shared" si="11"/>
        <v>5.3136208613681966</v>
      </c>
    </row>
    <row r="194" spans="1:39" x14ac:dyDescent="0.3">
      <c r="A194" t="s">
        <v>501</v>
      </c>
      <c r="B194" s="1" t="s">
        <v>502</v>
      </c>
      <c r="C194" t="s">
        <v>418</v>
      </c>
      <c r="D194" s="1" t="s">
        <v>419</v>
      </c>
      <c r="E194">
        <v>317916000000</v>
      </c>
      <c r="F194">
        <v>365074000000</v>
      </c>
      <c r="G194">
        <v>372281000000</v>
      </c>
      <c r="H194">
        <v>362420000000</v>
      </c>
      <c r="I194">
        <v>332634000000</v>
      </c>
      <c r="J194">
        <v>331701000000</v>
      </c>
      <c r="K194">
        <v>348726000000</v>
      </c>
      <c r="L194">
        <v>396357892541.14001</v>
      </c>
      <c r="M194">
        <v>464248573879.77002</v>
      </c>
      <c r="N194">
        <v>511216604013.58002</v>
      </c>
      <c r="O194">
        <v>601349580176.97998</v>
      </c>
      <c r="P194">
        <v>629545380000</v>
      </c>
      <c r="Q194">
        <v>659707630000</v>
      </c>
      <c r="R194">
        <v>674100000000</v>
      </c>
      <c r="S194">
        <v>645395460000</v>
      </c>
      <c r="T194">
        <v>826755970000</v>
      </c>
      <c r="U194">
        <v>884855460000</v>
      </c>
      <c r="V194">
        <v>915675096763.31006</v>
      </c>
      <c r="W194">
        <v>1127940623218.3501</v>
      </c>
      <c r="X194">
        <v>1088958107220.46</v>
      </c>
      <c r="Y194">
        <v>1205042327740.03</v>
      </c>
      <c r="Z194">
        <v>1231425198476.55</v>
      </c>
      <c r="AA194">
        <v>1286046666212.3201</v>
      </c>
      <c r="AB194">
        <v>1352051146182.54</v>
      </c>
      <c r="AC194">
        <v>1325739314840.4399</v>
      </c>
      <c r="AD194">
        <v>1249323980316.02</v>
      </c>
      <c r="AE194">
        <v>1281157383613.8501</v>
      </c>
      <c r="AF194" t="s">
        <v>34</v>
      </c>
      <c r="AG194">
        <f t="shared" si="8"/>
        <v>769912755377.60535</v>
      </c>
      <c r="AI194" s="7">
        <f t="shared" si="9"/>
        <v>7.5941205301913088</v>
      </c>
      <c r="AK194" s="7">
        <f t="shared" si="10"/>
        <v>0.96793965015971639</v>
      </c>
      <c r="AM194" s="7">
        <f t="shared" si="11"/>
        <v>6.0341858306002232</v>
      </c>
    </row>
    <row r="195" spans="1:39" x14ac:dyDescent="0.3">
      <c r="A195" t="s">
        <v>501</v>
      </c>
      <c r="B195" s="1" t="s">
        <v>502</v>
      </c>
      <c r="C195" t="s">
        <v>420</v>
      </c>
      <c r="D195" s="1" t="s">
        <v>421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>
        <v>38887797.767975397</v>
      </c>
      <c r="U195">
        <v>54387462.772219099</v>
      </c>
      <c r="V195">
        <v>68195343.680000007</v>
      </c>
      <c r="W195">
        <v>66900000</v>
      </c>
      <c r="X195">
        <v>90209041</v>
      </c>
      <c r="Y195">
        <v>94748807</v>
      </c>
      <c r="Z195">
        <v>72709790.040000007</v>
      </c>
      <c r="AA195">
        <v>68800760.400000006</v>
      </c>
      <c r="AB195">
        <v>70222450.142711997</v>
      </c>
      <c r="AC195">
        <v>69055808.349999994</v>
      </c>
      <c r="AD195">
        <v>62642084</v>
      </c>
      <c r="AE195">
        <v>73280181.829999998</v>
      </c>
      <c r="AF195" t="s">
        <v>34</v>
      </c>
      <c r="AG195">
        <f t="shared" ref="AG195:AG218" si="12">IFERROR(AVERAGE(E195:AF195),"NA")</f>
        <v>69169960.581908882</v>
      </c>
      <c r="AI195" s="7">
        <f t="shared" ref="AI195:AI218" si="13">IFERROR(AG195*100/AG415,"NA")</f>
        <v>5.5946708618237686</v>
      </c>
      <c r="AK195" s="7">
        <f t="shared" ref="AK195:AK217" si="14">IFERROR(AG636*100/AG415,"NA")</f>
        <v>1.1063458395901722</v>
      </c>
      <c r="AM195" s="7">
        <f t="shared" ref="AM195:AM218" si="15">IFERROR(AG857*100/AG415,"NA")</f>
        <v>54.585492567841371</v>
      </c>
    </row>
    <row r="196" spans="1:39" x14ac:dyDescent="0.3">
      <c r="A196" t="s">
        <v>501</v>
      </c>
      <c r="B196" s="1" t="s">
        <v>502</v>
      </c>
      <c r="C196" t="s">
        <v>422</v>
      </c>
      <c r="D196" s="1" t="s">
        <v>423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>
        <v>72164523729</v>
      </c>
      <c r="O196">
        <v>78962434343</v>
      </c>
      <c r="P196">
        <v>90227583350</v>
      </c>
      <c r="Q196">
        <v>102236324753</v>
      </c>
      <c r="R196">
        <v>107512303932</v>
      </c>
      <c r="S196">
        <v>109000262894</v>
      </c>
      <c r="T196">
        <v>128842932202</v>
      </c>
      <c r="U196">
        <v>155700000000</v>
      </c>
      <c r="V196">
        <v>169106914927.267</v>
      </c>
      <c r="W196">
        <v>177783000000</v>
      </c>
      <c r="X196">
        <v>221827666245</v>
      </c>
      <c r="Y196">
        <v>258736147827</v>
      </c>
      <c r="Z196">
        <v>261715146267</v>
      </c>
      <c r="AA196">
        <v>287362616982.22198</v>
      </c>
      <c r="AB196">
        <v>283438924337.66699</v>
      </c>
      <c r="AC196">
        <v>305398868924.79999</v>
      </c>
      <c r="AD196" t="s">
        <v>34</v>
      </c>
      <c r="AE196" t="s">
        <v>34</v>
      </c>
      <c r="AF196" t="s">
        <v>34</v>
      </c>
      <c r="AG196">
        <f t="shared" si="12"/>
        <v>175625978169.62225</v>
      </c>
      <c r="AI196" s="7">
        <f t="shared" si="13"/>
        <v>7.5503166888174915</v>
      </c>
      <c r="AK196" s="7">
        <f t="shared" si="14"/>
        <v>3.253621290944408</v>
      </c>
      <c r="AM196" s="7">
        <f t="shared" si="15"/>
        <v>2.5946237579536779</v>
      </c>
    </row>
    <row r="197" spans="1:39" x14ac:dyDescent="0.3">
      <c r="A197" t="s">
        <v>501</v>
      </c>
      <c r="B197" s="1" t="s">
        <v>502</v>
      </c>
      <c r="C197" t="s">
        <v>424</v>
      </c>
      <c r="D197" s="1" t="s">
        <v>425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  <c r="AA197" t="s">
        <v>34</v>
      </c>
      <c r="AB197" t="s">
        <v>34</v>
      </c>
      <c r="AC197" t="s">
        <v>34</v>
      </c>
      <c r="AD197" t="s">
        <v>34</v>
      </c>
      <c r="AE197" t="s">
        <v>34</v>
      </c>
      <c r="AF197" t="s">
        <v>34</v>
      </c>
      <c r="AG197" t="str">
        <f t="shared" si="12"/>
        <v>NA</v>
      </c>
      <c r="AI197" s="7" t="str">
        <f t="shared" si="13"/>
        <v>NA</v>
      </c>
      <c r="AK197" s="7" t="str">
        <f t="shared" si="14"/>
        <v>NA</v>
      </c>
      <c r="AM197" s="7" t="str">
        <f t="shared" si="15"/>
        <v>NA</v>
      </c>
    </row>
    <row r="198" spans="1:39" x14ac:dyDescent="0.3">
      <c r="A198" t="s">
        <v>501</v>
      </c>
      <c r="B198" s="1" t="s">
        <v>502</v>
      </c>
      <c r="C198" t="s">
        <v>426</v>
      </c>
      <c r="D198" s="1" t="s">
        <v>427</v>
      </c>
      <c r="E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>
        <v>3471200000</v>
      </c>
      <c r="L198">
        <v>3840100000</v>
      </c>
      <c r="M198">
        <v>3588800000</v>
      </c>
      <c r="N198">
        <v>4584400000</v>
      </c>
      <c r="O198">
        <v>4588900000</v>
      </c>
      <c r="P198">
        <v>5324600000</v>
      </c>
      <c r="Q198">
        <v>6080300000</v>
      </c>
      <c r="R198">
        <v>7716800000</v>
      </c>
      <c r="S198">
        <v>6429000000</v>
      </c>
      <c r="T198">
        <v>7436700000</v>
      </c>
      <c r="U198">
        <v>6753400000</v>
      </c>
      <c r="V198">
        <v>7925500000</v>
      </c>
      <c r="W198">
        <v>8295000000</v>
      </c>
      <c r="X198">
        <v>7384100000</v>
      </c>
      <c r="Y198">
        <v>8903700000</v>
      </c>
      <c r="Z198">
        <v>7330500000</v>
      </c>
      <c r="AA198">
        <v>8716100000</v>
      </c>
      <c r="AB198">
        <v>8824500000</v>
      </c>
      <c r="AC198">
        <v>8022600000</v>
      </c>
      <c r="AD198" t="s">
        <v>34</v>
      </c>
      <c r="AE198" t="s">
        <v>34</v>
      </c>
      <c r="AF198" t="s">
        <v>34</v>
      </c>
      <c r="AG198">
        <f t="shared" si="12"/>
        <v>6590326315.7894735</v>
      </c>
      <c r="AI198" s="7">
        <f t="shared" si="13"/>
        <v>5.5321319566163041</v>
      </c>
      <c r="AK198" s="7">
        <f t="shared" si="14"/>
        <v>1.7163339525063519</v>
      </c>
      <c r="AM198" s="7">
        <f t="shared" si="15"/>
        <v>15.829954531027067</v>
      </c>
    </row>
    <row r="199" spans="1:39" x14ac:dyDescent="0.3">
      <c r="A199" t="s">
        <v>501</v>
      </c>
      <c r="B199" s="1" t="s">
        <v>502</v>
      </c>
      <c r="C199" t="s">
        <v>428</v>
      </c>
      <c r="D199" s="1" t="s">
        <v>429</v>
      </c>
      <c r="E199">
        <v>1093400000</v>
      </c>
      <c r="F199">
        <v>1178300000</v>
      </c>
      <c r="G199">
        <v>2074700000</v>
      </c>
      <c r="H199">
        <v>2384200000</v>
      </c>
      <c r="I199">
        <v>2750900000</v>
      </c>
      <c r="J199">
        <v>3018000000</v>
      </c>
      <c r="K199">
        <v>3284000000</v>
      </c>
      <c r="L199">
        <v>3371900000</v>
      </c>
      <c r="M199">
        <v>3489000000</v>
      </c>
      <c r="N199">
        <v>3835200000</v>
      </c>
      <c r="O199">
        <v>3999400000</v>
      </c>
      <c r="P199">
        <v>4250900000</v>
      </c>
      <c r="Q199">
        <v>4581400000</v>
      </c>
      <c r="R199">
        <v>5287500000</v>
      </c>
      <c r="S199">
        <v>5632900000</v>
      </c>
      <c r="T199">
        <v>6018900000</v>
      </c>
      <c r="U199">
        <v>6122900000</v>
      </c>
      <c r="V199">
        <v>6928100000</v>
      </c>
      <c r="W199" t="s">
        <v>34</v>
      </c>
      <c r="X199" t="s">
        <v>34</v>
      </c>
      <c r="Y199" t="s">
        <v>34</v>
      </c>
      <c r="Z199" t="s">
        <v>34</v>
      </c>
      <c r="AA199" t="s">
        <v>34</v>
      </c>
      <c r="AB199" t="s">
        <v>34</v>
      </c>
      <c r="AC199" t="s">
        <v>34</v>
      </c>
      <c r="AD199" t="s">
        <v>34</v>
      </c>
      <c r="AE199" t="s">
        <v>34</v>
      </c>
      <c r="AF199" t="s">
        <v>34</v>
      </c>
      <c r="AG199">
        <f t="shared" si="12"/>
        <v>3850088888.8888888</v>
      </c>
      <c r="AI199" s="7">
        <f t="shared" si="13"/>
        <v>5.92325891328999</v>
      </c>
      <c r="AK199" s="7">
        <f t="shared" si="14"/>
        <v>1.4805070336648296</v>
      </c>
      <c r="AM199" s="7">
        <f t="shared" si="15"/>
        <v>4.3943156122639255</v>
      </c>
    </row>
    <row r="200" spans="1:39" x14ac:dyDescent="0.3">
      <c r="A200" t="s">
        <v>501</v>
      </c>
      <c r="B200" s="1" t="s">
        <v>502</v>
      </c>
      <c r="C200" t="s">
        <v>430</v>
      </c>
      <c r="D200" s="1" t="s">
        <v>431</v>
      </c>
      <c r="E200">
        <v>551188000</v>
      </c>
      <c r="F200">
        <v>1255413000</v>
      </c>
      <c r="G200">
        <v>2855262000</v>
      </c>
      <c r="H200">
        <v>4905317000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>
        <v>109419064362.87</v>
      </c>
      <c r="S200">
        <v>112866501763.28999</v>
      </c>
      <c r="T200">
        <v>142765381897.43301</v>
      </c>
      <c r="U200">
        <v>168916348283.16</v>
      </c>
      <c r="V200">
        <v>182581496620.81</v>
      </c>
      <c r="W200">
        <v>230299261686.32999</v>
      </c>
      <c r="X200">
        <v>240167519327.64001</v>
      </c>
      <c r="Y200">
        <v>283747382592.65002</v>
      </c>
      <c r="Z200">
        <v>312580894972.39001</v>
      </c>
      <c r="AA200">
        <v>356771475434.17999</v>
      </c>
      <c r="AB200">
        <v>391740978536.26001</v>
      </c>
      <c r="AC200">
        <v>426201430423.96997</v>
      </c>
      <c r="AD200">
        <v>561159230614.31995</v>
      </c>
      <c r="AE200">
        <v>769532031911.14001</v>
      </c>
      <c r="AF200">
        <v>1466147083647.72</v>
      </c>
      <c r="AG200">
        <f t="shared" si="12"/>
        <v>303392803267.06122</v>
      </c>
      <c r="AI200" s="7">
        <f t="shared" si="13"/>
        <v>14.65197434461435</v>
      </c>
      <c r="AK200" s="7">
        <f t="shared" si="14"/>
        <v>0.62444292998623308</v>
      </c>
      <c r="AM200" s="7">
        <f t="shared" si="15"/>
        <v>7.6161851354210546</v>
      </c>
    </row>
    <row r="201" spans="1:39" x14ac:dyDescent="0.3">
      <c r="A201" t="s">
        <v>501</v>
      </c>
      <c r="B201" s="1" t="s">
        <v>502</v>
      </c>
      <c r="C201" t="s">
        <v>432</v>
      </c>
      <c r="D201" s="1" t="s">
        <v>433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34</v>
      </c>
      <c r="AA201" t="s">
        <v>34</v>
      </c>
      <c r="AB201" t="s">
        <v>34</v>
      </c>
      <c r="AC201" t="s">
        <v>34</v>
      </c>
      <c r="AD201" t="s">
        <v>34</v>
      </c>
      <c r="AE201" t="s">
        <v>34</v>
      </c>
      <c r="AF201" t="s">
        <v>34</v>
      </c>
      <c r="AG201" t="str">
        <f t="shared" si="12"/>
        <v>NA</v>
      </c>
      <c r="AI201" s="7" t="str">
        <f t="shared" si="13"/>
        <v>NA</v>
      </c>
      <c r="AK201" s="7" t="str">
        <f t="shared" si="14"/>
        <v>NA</v>
      </c>
      <c r="AM201" s="7" t="str">
        <f t="shared" si="15"/>
        <v>NA</v>
      </c>
    </row>
    <row r="202" spans="1:39" x14ac:dyDescent="0.3">
      <c r="A202" t="s">
        <v>501</v>
      </c>
      <c r="B202" s="1" t="s">
        <v>502</v>
      </c>
      <c r="C202" t="s">
        <v>434</v>
      </c>
      <c r="D202" s="1" t="s">
        <v>435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34</v>
      </c>
      <c r="AA202" t="s">
        <v>34</v>
      </c>
      <c r="AB202" t="s">
        <v>34</v>
      </c>
      <c r="AC202" t="s">
        <v>34</v>
      </c>
      <c r="AD202" t="s">
        <v>34</v>
      </c>
      <c r="AE202" t="s">
        <v>34</v>
      </c>
      <c r="AF202" t="s">
        <v>34</v>
      </c>
      <c r="AG202" t="str">
        <f t="shared" si="12"/>
        <v>NA</v>
      </c>
      <c r="AI202" s="7" t="str">
        <f t="shared" si="13"/>
        <v>NA</v>
      </c>
      <c r="AK202" s="7" t="str">
        <f t="shared" si="14"/>
        <v>NA</v>
      </c>
      <c r="AM202" s="7" t="str">
        <f t="shared" si="15"/>
        <v>NA</v>
      </c>
    </row>
    <row r="203" spans="1:39" x14ac:dyDescent="0.3">
      <c r="A203" t="s">
        <v>501</v>
      </c>
      <c r="B203" s="1" t="s">
        <v>502</v>
      </c>
      <c r="C203" t="s">
        <v>436</v>
      </c>
      <c r="D203" s="1" t="s">
        <v>437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  <c r="AA203" t="s">
        <v>34</v>
      </c>
      <c r="AB203" t="s">
        <v>34</v>
      </c>
      <c r="AC203" t="s">
        <v>34</v>
      </c>
      <c r="AD203" t="s">
        <v>34</v>
      </c>
      <c r="AE203" t="s">
        <v>34</v>
      </c>
      <c r="AF203" t="s">
        <v>34</v>
      </c>
      <c r="AG203" t="str">
        <f t="shared" si="12"/>
        <v>NA</v>
      </c>
      <c r="AI203" s="7" t="str">
        <f t="shared" si="13"/>
        <v>NA</v>
      </c>
      <c r="AK203" s="7" t="str">
        <f t="shared" si="14"/>
        <v>NA</v>
      </c>
      <c r="AM203" s="7" t="str">
        <f t="shared" si="15"/>
        <v>NA</v>
      </c>
    </row>
    <row r="204" spans="1:39" x14ac:dyDescent="0.3">
      <c r="A204" t="s">
        <v>501</v>
      </c>
      <c r="B204" s="1" t="s">
        <v>502</v>
      </c>
      <c r="C204" t="s">
        <v>438</v>
      </c>
      <c r="D204" s="1" t="s">
        <v>439</v>
      </c>
      <c r="E204" t="s">
        <v>34</v>
      </c>
      <c r="F204" t="s">
        <v>34</v>
      </c>
      <c r="G204" t="s">
        <v>34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>
        <v>5427541712868.4697</v>
      </c>
      <c r="Z204">
        <v>5989137027057.4004</v>
      </c>
      <c r="AA204">
        <v>6775669690467.9902</v>
      </c>
      <c r="AB204">
        <v>7647380696595.1699</v>
      </c>
      <c r="AC204">
        <v>8690303865222.2305</v>
      </c>
      <c r="AD204">
        <v>8287220000380.3301</v>
      </c>
      <c r="AE204">
        <v>9652864941259.3906</v>
      </c>
      <c r="AF204" t="s">
        <v>34</v>
      </c>
      <c r="AG204">
        <f t="shared" si="12"/>
        <v>7495731133407.2832</v>
      </c>
      <c r="AI204" s="7">
        <f t="shared" si="13"/>
        <v>13.359842636220495</v>
      </c>
      <c r="AK204" s="7">
        <f t="shared" si="14"/>
        <v>2.8162720802807835</v>
      </c>
      <c r="AM204" s="7">
        <f t="shared" si="15"/>
        <v>8.7015786752003006</v>
      </c>
    </row>
    <row r="205" spans="1:39" x14ac:dyDescent="0.3">
      <c r="A205" t="s">
        <v>501</v>
      </c>
      <c r="B205" s="1" t="s">
        <v>502</v>
      </c>
      <c r="C205" t="s">
        <v>440</v>
      </c>
      <c r="D205" s="1" t="s">
        <v>441</v>
      </c>
      <c r="E205" t="s">
        <v>34</v>
      </c>
      <c r="F205" t="s">
        <v>34</v>
      </c>
      <c r="G205" t="s">
        <v>34</v>
      </c>
      <c r="H205" t="s">
        <v>34</v>
      </c>
      <c r="I205">
        <v>11395200000</v>
      </c>
      <c r="J205">
        <v>15362100000</v>
      </c>
      <c r="K205">
        <v>15871600000</v>
      </c>
      <c r="L205">
        <v>18368258590</v>
      </c>
      <c r="M205">
        <v>18876354928.779999</v>
      </c>
      <c r="N205">
        <v>23220400000</v>
      </c>
      <c r="O205">
        <v>43793700000</v>
      </c>
      <c r="P205">
        <v>62242700000</v>
      </c>
      <c r="Q205">
        <v>73629000000</v>
      </c>
      <c r="R205">
        <v>108889334000</v>
      </c>
      <c r="S205">
        <v>109821100000</v>
      </c>
      <c r="T205">
        <v>118800480000</v>
      </c>
      <c r="U205">
        <v>167786500000</v>
      </c>
      <c r="V205">
        <v>181509000000</v>
      </c>
      <c r="W205">
        <v>181864000000</v>
      </c>
      <c r="X205">
        <v>209003600000</v>
      </c>
      <c r="Y205">
        <v>286484200000</v>
      </c>
      <c r="Z205">
        <v>335254300000</v>
      </c>
      <c r="AA205">
        <v>430554400000</v>
      </c>
      <c r="AB205">
        <v>503723600000</v>
      </c>
      <c r="AC205">
        <v>515611500000</v>
      </c>
      <c r="AD205">
        <v>551847500000</v>
      </c>
      <c r="AE205">
        <v>716312400000</v>
      </c>
      <c r="AF205">
        <v>582587800000</v>
      </c>
      <c r="AG205">
        <f t="shared" si="12"/>
        <v>220117042813.2825</v>
      </c>
      <c r="AI205" s="7">
        <f t="shared" si="13"/>
        <v>14.596255340679914</v>
      </c>
      <c r="AK205" s="7">
        <f t="shared" si="14"/>
        <v>1.0194256941271791</v>
      </c>
      <c r="AM205" s="7">
        <f t="shared" si="15"/>
        <v>5.5630547123647744</v>
      </c>
    </row>
    <row r="206" spans="1:39" x14ac:dyDescent="0.3">
      <c r="A206" t="s">
        <v>501</v>
      </c>
      <c r="B206" s="1" t="s">
        <v>502</v>
      </c>
      <c r="C206" t="s">
        <v>442</v>
      </c>
      <c r="D206" s="1" t="s">
        <v>443</v>
      </c>
      <c r="E206" t="s">
        <v>34</v>
      </c>
      <c r="F206" t="s">
        <v>34</v>
      </c>
      <c r="G206">
        <v>2872000000</v>
      </c>
      <c r="H206">
        <v>2990000000</v>
      </c>
      <c r="I206">
        <v>3481000000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>
        <v>4133984906.7399998</v>
      </c>
      <c r="V206">
        <v>4999707821.8999996</v>
      </c>
      <c r="W206">
        <v>5173170943</v>
      </c>
      <c r="X206">
        <v>5108759558.71</v>
      </c>
      <c r="Y206">
        <v>630843985.20000005</v>
      </c>
      <c r="Z206">
        <v>443995150.43000001</v>
      </c>
      <c r="AA206">
        <v>888141856.96000004</v>
      </c>
      <c r="AB206">
        <v>891655037.15999997</v>
      </c>
      <c r="AC206">
        <v>14879825762</v>
      </c>
      <c r="AD206">
        <v>8739906408.6000004</v>
      </c>
      <c r="AE206">
        <v>8148653348.9799995</v>
      </c>
      <c r="AF206" t="s">
        <v>34</v>
      </c>
      <c r="AG206">
        <f t="shared" si="12"/>
        <v>4527260341.405714</v>
      </c>
      <c r="AI206" s="7">
        <f t="shared" si="13"/>
        <v>0.47255896476329545</v>
      </c>
      <c r="AK206" s="7">
        <f t="shared" si="14"/>
        <v>6.7305028377242868E-3</v>
      </c>
      <c r="AM206" s="7" t="str">
        <f t="shared" si="15"/>
        <v>NA</v>
      </c>
    </row>
    <row r="207" spans="1:39" x14ac:dyDescent="0.3">
      <c r="A207" t="s">
        <v>501</v>
      </c>
      <c r="B207" s="1" t="s">
        <v>502</v>
      </c>
      <c r="C207" t="s">
        <v>444</v>
      </c>
      <c r="D207" s="1" t="s">
        <v>445</v>
      </c>
      <c r="E207">
        <v>89027000000</v>
      </c>
      <c r="F207">
        <v>95671000000</v>
      </c>
      <c r="G207">
        <v>102306000000</v>
      </c>
      <c r="H207">
        <v>109403000000</v>
      </c>
      <c r="I207">
        <v>118557000000</v>
      </c>
      <c r="J207">
        <v>124265000000</v>
      </c>
      <c r="K207">
        <v>126185000000</v>
      </c>
      <c r="L207">
        <v>131939000000</v>
      </c>
      <c r="M207">
        <v>139523000000</v>
      </c>
      <c r="N207">
        <v>147512000000</v>
      </c>
      <c r="O207">
        <v>150637000000</v>
      </c>
      <c r="P207">
        <v>159086000000</v>
      </c>
      <c r="Q207">
        <v>168110000000</v>
      </c>
      <c r="R207">
        <v>165168000000</v>
      </c>
      <c r="S207">
        <v>153690000000</v>
      </c>
      <c r="T207">
        <v>175649000000</v>
      </c>
      <c r="U207">
        <v>193610000000</v>
      </c>
      <c r="V207">
        <v>198692000000</v>
      </c>
      <c r="W207">
        <v>208238000000</v>
      </c>
      <c r="X207">
        <v>218972000000</v>
      </c>
      <c r="Y207">
        <v>225775000000</v>
      </c>
      <c r="Z207">
        <v>235873000000</v>
      </c>
      <c r="AA207">
        <v>246005000000</v>
      </c>
      <c r="AB207">
        <v>253618000000</v>
      </c>
      <c r="AC207">
        <v>261889000000</v>
      </c>
      <c r="AD207">
        <v>235065000000</v>
      </c>
      <c r="AE207">
        <v>260994000000</v>
      </c>
      <c r="AF207" t="s">
        <v>34</v>
      </c>
      <c r="AG207">
        <f t="shared" si="12"/>
        <v>173905888888.88889</v>
      </c>
      <c r="AI207" s="7">
        <f t="shared" si="13"/>
        <v>11.008148016391505</v>
      </c>
      <c r="AK207" s="7">
        <f t="shared" si="14"/>
        <v>0.11201893582101399</v>
      </c>
      <c r="AM207" s="7">
        <f t="shared" si="15"/>
        <v>11.833612766936106</v>
      </c>
    </row>
    <row r="208" spans="1:39" x14ac:dyDescent="0.3">
      <c r="A208" t="s">
        <v>501</v>
      </c>
      <c r="B208" s="1" t="s">
        <v>502</v>
      </c>
      <c r="C208" t="s">
        <v>446</v>
      </c>
      <c r="D208" s="1" t="s">
        <v>447</v>
      </c>
      <c r="E208">
        <v>56920000000</v>
      </c>
      <c r="F208">
        <v>53450000000</v>
      </c>
      <c r="G208">
        <v>56060000000</v>
      </c>
      <c r="H208">
        <v>56430000000</v>
      </c>
      <c r="I208">
        <v>68920000000</v>
      </c>
      <c r="J208">
        <v>67130000000</v>
      </c>
      <c r="K208">
        <v>64647200000</v>
      </c>
      <c r="L208">
        <v>66886000000</v>
      </c>
      <c r="M208">
        <v>68749300000</v>
      </c>
      <c r="N208">
        <v>71980500000</v>
      </c>
      <c r="O208">
        <v>74076400000</v>
      </c>
      <c r="P208">
        <v>72560600000</v>
      </c>
      <c r="Q208">
        <v>65832100000</v>
      </c>
      <c r="R208">
        <v>64744500000</v>
      </c>
      <c r="S208">
        <v>68302900000</v>
      </c>
      <c r="T208">
        <v>68176900000</v>
      </c>
      <c r="U208">
        <v>76732000000</v>
      </c>
      <c r="V208">
        <v>81661400000</v>
      </c>
      <c r="W208">
        <v>90009400000</v>
      </c>
      <c r="X208">
        <v>99324400000</v>
      </c>
      <c r="Y208">
        <v>103741400000</v>
      </c>
      <c r="Z208">
        <v>99735400000</v>
      </c>
      <c r="AA208">
        <v>92921400000</v>
      </c>
      <c r="AB208">
        <v>110170400000</v>
      </c>
      <c r="AC208">
        <v>97164400000</v>
      </c>
      <c r="AD208">
        <v>86722400000</v>
      </c>
      <c r="AE208">
        <v>89524400000</v>
      </c>
      <c r="AF208">
        <v>91856400000</v>
      </c>
      <c r="AG208">
        <f t="shared" si="12"/>
        <v>77301064285.714279</v>
      </c>
      <c r="AI208" s="7">
        <f t="shared" si="13"/>
        <v>0.51730956533307004</v>
      </c>
      <c r="AK208" s="7">
        <f t="shared" si="14"/>
        <v>0.24110074902297579</v>
      </c>
      <c r="AM208" s="7">
        <f t="shared" si="15"/>
        <v>9.7393454216908939</v>
      </c>
    </row>
    <row r="209" spans="1:39" x14ac:dyDescent="0.3">
      <c r="A209" t="s">
        <v>501</v>
      </c>
      <c r="B209" s="1" t="s">
        <v>502</v>
      </c>
      <c r="C209" t="s">
        <v>448</v>
      </c>
      <c r="D209" s="1" t="s">
        <v>449</v>
      </c>
      <c r="E209">
        <v>11156000000</v>
      </c>
      <c r="F209">
        <v>15234000000</v>
      </c>
      <c r="G209">
        <v>24539000000</v>
      </c>
      <c r="H209">
        <v>28293000000</v>
      </c>
      <c r="I209">
        <v>28322000000</v>
      </c>
      <c r="J209">
        <v>23948000000</v>
      </c>
      <c r="K209">
        <v>31446317735.299999</v>
      </c>
      <c r="L209">
        <v>32781424829</v>
      </c>
      <c r="M209">
        <v>41480963494.699997</v>
      </c>
      <c r="N209">
        <v>51104258358</v>
      </c>
      <c r="O209">
        <v>56699586945</v>
      </c>
      <c r="P209">
        <v>65275319921</v>
      </c>
      <c r="Q209">
        <v>74372594744</v>
      </c>
      <c r="R209">
        <v>80550503937</v>
      </c>
      <c r="S209">
        <v>84675026648.155594</v>
      </c>
      <c r="T209">
        <v>96434968047.572906</v>
      </c>
      <c r="U209">
        <v>101647200000</v>
      </c>
      <c r="V209">
        <v>112498600000</v>
      </c>
      <c r="W209">
        <v>123797000000</v>
      </c>
      <c r="X209">
        <v>137346500000</v>
      </c>
      <c r="Y209">
        <v>146756800000</v>
      </c>
      <c r="Z209">
        <v>156344900000</v>
      </c>
      <c r="AA209">
        <v>168754000000</v>
      </c>
      <c r="AB209">
        <v>177713700000</v>
      </c>
      <c r="AC209">
        <v>189169005339.19199</v>
      </c>
      <c r="AD209">
        <v>203179132999.59299</v>
      </c>
      <c r="AE209" t="s">
        <v>34</v>
      </c>
      <c r="AF209" t="s">
        <v>34</v>
      </c>
      <c r="AG209">
        <f t="shared" si="12"/>
        <v>87058453961.481277</v>
      </c>
      <c r="AI209" s="7">
        <f t="shared" si="13"/>
        <v>8.6131540614963544</v>
      </c>
      <c r="AK209" s="7">
        <f t="shared" si="14"/>
        <v>0.89071668458134889</v>
      </c>
      <c r="AM209" s="7">
        <f t="shared" si="15"/>
        <v>4.9499598542262131</v>
      </c>
    </row>
    <row r="210" spans="1:39" x14ac:dyDescent="0.3">
      <c r="A210" t="s">
        <v>501</v>
      </c>
      <c r="B210" s="1" t="s">
        <v>502</v>
      </c>
      <c r="C210" t="s">
        <v>450</v>
      </c>
      <c r="D210" s="1" t="s">
        <v>451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>
        <v>6359691500000</v>
      </c>
      <c r="V210">
        <v>8439411500000</v>
      </c>
      <c r="W210">
        <v>10907940000000</v>
      </c>
      <c r="X210">
        <v>13408324330870</v>
      </c>
      <c r="Y210">
        <v>15275568395570</v>
      </c>
      <c r="Z210">
        <v>16610888801140</v>
      </c>
      <c r="AA210">
        <v>21376491988630</v>
      </c>
      <c r="AB210">
        <v>40844813235780</v>
      </c>
      <c r="AC210">
        <v>48014757786200</v>
      </c>
      <c r="AD210">
        <v>52759905325130</v>
      </c>
      <c r="AE210" t="s">
        <v>34</v>
      </c>
      <c r="AF210" t="s">
        <v>34</v>
      </c>
      <c r="AG210">
        <f t="shared" si="12"/>
        <v>23399779286332</v>
      </c>
      <c r="AI210" s="7">
        <f t="shared" si="13"/>
        <v>13.558105518039422</v>
      </c>
      <c r="AK210" s="7">
        <f t="shared" si="14"/>
        <v>2.2564103557399453</v>
      </c>
      <c r="AM210" s="7">
        <f t="shared" si="15"/>
        <v>7.0172024808820845</v>
      </c>
    </row>
    <row r="211" spans="1:39" x14ac:dyDescent="0.3">
      <c r="A211" t="s">
        <v>501</v>
      </c>
      <c r="B211" s="1" t="s">
        <v>502</v>
      </c>
      <c r="C211" t="s">
        <v>452</v>
      </c>
      <c r="D211" s="1" t="s">
        <v>453</v>
      </c>
      <c r="E211">
        <v>2112000000</v>
      </c>
      <c r="F211">
        <v>2125000000</v>
      </c>
      <c r="G211">
        <v>2362000000</v>
      </c>
      <c r="H211">
        <v>2782000000</v>
      </c>
      <c r="I211">
        <v>3369000000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>
        <v>6512500000</v>
      </c>
      <c r="T211">
        <v>7867600000</v>
      </c>
      <c r="U211">
        <v>8696200000</v>
      </c>
      <c r="V211">
        <v>8913350000</v>
      </c>
      <c r="W211">
        <v>10071253000</v>
      </c>
      <c r="X211">
        <v>10654561300</v>
      </c>
      <c r="Y211">
        <v>10116227000</v>
      </c>
      <c r="Z211">
        <v>10674777000</v>
      </c>
      <c r="AA211">
        <v>12231600000</v>
      </c>
      <c r="AB211">
        <v>13720782224</v>
      </c>
      <c r="AC211">
        <v>14664547013</v>
      </c>
      <c r="AD211">
        <v>11097100000</v>
      </c>
      <c r="AE211" t="s">
        <v>34</v>
      </c>
      <c r="AF211" t="s">
        <v>34</v>
      </c>
      <c r="AG211">
        <f t="shared" si="12"/>
        <v>8115911619.8235292</v>
      </c>
      <c r="AI211" s="7">
        <f t="shared" si="13"/>
        <v>12.870266033498963</v>
      </c>
      <c r="AK211" s="7">
        <f t="shared" si="14"/>
        <v>4.8522861932849688</v>
      </c>
      <c r="AM211" s="7" t="str">
        <f t="shared" si="15"/>
        <v>NA</v>
      </c>
    </row>
    <row r="212" spans="1:39" x14ac:dyDescent="0.3">
      <c r="A212" t="s">
        <v>501</v>
      </c>
      <c r="B212" s="1" t="s">
        <v>502</v>
      </c>
      <c r="C212" t="s">
        <v>454</v>
      </c>
      <c r="D212" s="1" t="s">
        <v>455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  <c r="AD212" t="s">
        <v>34</v>
      </c>
      <c r="AE212" t="s">
        <v>34</v>
      </c>
      <c r="AF212" t="s">
        <v>34</v>
      </c>
      <c r="AG212" t="str">
        <f t="shared" si="12"/>
        <v>NA</v>
      </c>
      <c r="AI212" s="7" t="str">
        <f t="shared" si="13"/>
        <v>NA</v>
      </c>
      <c r="AK212" s="7" t="str">
        <f t="shared" si="14"/>
        <v>NA</v>
      </c>
      <c r="AM212" s="7" t="str">
        <f t="shared" si="15"/>
        <v>NA</v>
      </c>
    </row>
    <row r="213" spans="1:39" x14ac:dyDescent="0.3">
      <c r="A213" t="s">
        <v>501</v>
      </c>
      <c r="B213" s="1" t="s">
        <v>502</v>
      </c>
      <c r="C213" t="s">
        <v>456</v>
      </c>
      <c r="D213" s="1" t="s">
        <v>457</v>
      </c>
      <c r="E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34</v>
      </c>
      <c r="AA213" t="s">
        <v>34</v>
      </c>
      <c r="AB213" t="s">
        <v>34</v>
      </c>
      <c r="AC213" t="s">
        <v>34</v>
      </c>
      <c r="AD213" t="s">
        <v>34</v>
      </c>
      <c r="AE213" t="s">
        <v>34</v>
      </c>
      <c r="AF213" t="s">
        <v>34</v>
      </c>
      <c r="AG213" t="str">
        <f t="shared" si="12"/>
        <v>NA</v>
      </c>
      <c r="AI213" s="7" t="str">
        <f t="shared" si="13"/>
        <v>NA</v>
      </c>
      <c r="AK213" s="7" t="str">
        <f t="shared" si="14"/>
        <v>NA</v>
      </c>
      <c r="AM213" s="7" t="str">
        <f t="shared" si="15"/>
        <v>NA</v>
      </c>
    </row>
    <row r="214" spans="1:39" x14ac:dyDescent="0.3">
      <c r="A214" t="s">
        <v>501</v>
      </c>
      <c r="B214" s="1" t="s">
        <v>502</v>
      </c>
      <c r="C214" t="s">
        <v>458</v>
      </c>
      <c r="D214" s="1" t="s">
        <v>459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34</v>
      </c>
      <c r="AA214" t="s">
        <v>34</v>
      </c>
      <c r="AB214" t="s">
        <v>34</v>
      </c>
      <c r="AC214" t="s">
        <v>34</v>
      </c>
      <c r="AD214" t="s">
        <v>34</v>
      </c>
      <c r="AE214" t="s">
        <v>34</v>
      </c>
      <c r="AF214" t="s">
        <v>34</v>
      </c>
      <c r="AG214" t="str">
        <f t="shared" si="12"/>
        <v>NA</v>
      </c>
      <c r="AI214" s="7" t="str">
        <f t="shared" si="13"/>
        <v>NA</v>
      </c>
      <c r="AK214" s="7" t="str">
        <f t="shared" si="14"/>
        <v>NA</v>
      </c>
      <c r="AM214" s="7" t="str">
        <f t="shared" si="15"/>
        <v>NA</v>
      </c>
    </row>
    <row r="215" spans="1:39" x14ac:dyDescent="0.3">
      <c r="A215" t="s">
        <v>501</v>
      </c>
      <c r="B215" s="1" t="s">
        <v>502</v>
      </c>
      <c r="C215" t="s">
        <v>460</v>
      </c>
      <c r="D215" s="1" t="s">
        <v>461</v>
      </c>
      <c r="E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>
        <v>134191479.84490941</v>
      </c>
      <c r="P215">
        <v>143022577.31496027</v>
      </c>
      <c r="Q215">
        <v>162605584.08996859</v>
      </c>
      <c r="R215">
        <v>210575893.97714606</v>
      </c>
      <c r="S215">
        <v>345279973.84482366</v>
      </c>
      <c r="T215">
        <v>310943306.85209948</v>
      </c>
      <c r="U215">
        <v>348578491.90352422</v>
      </c>
      <c r="V215">
        <v>324818337.02118832</v>
      </c>
      <c r="W215">
        <v>367151578.8744877</v>
      </c>
      <c r="X215">
        <v>450797184.92092288</v>
      </c>
      <c r="Y215">
        <v>436253365.87681383</v>
      </c>
      <c r="Z215">
        <v>514374343.5322606</v>
      </c>
      <c r="AA215">
        <v>530186833.30781192</v>
      </c>
      <c r="AB215">
        <v>1642531960.6226299</v>
      </c>
      <c r="AC215">
        <v>1757298194.3364899</v>
      </c>
      <c r="AD215">
        <v>1701930366.64746</v>
      </c>
      <c r="AE215">
        <v>1874082239.7448599</v>
      </c>
      <c r="AF215" t="s">
        <v>34</v>
      </c>
      <c r="AG215">
        <f t="shared" si="12"/>
        <v>662036571.33602083</v>
      </c>
      <c r="AI215" s="7">
        <f t="shared" si="13"/>
        <v>7.0437210183225352</v>
      </c>
      <c r="AK215" s="7">
        <f t="shared" si="14"/>
        <v>4.5580982326505142</v>
      </c>
      <c r="AM215" s="7">
        <f t="shared" si="15"/>
        <v>0.72466591401381575</v>
      </c>
    </row>
    <row r="216" spans="1:39" x14ac:dyDescent="0.3">
      <c r="A216" t="s">
        <v>501</v>
      </c>
      <c r="B216" s="1" t="s">
        <v>502</v>
      </c>
      <c r="C216" t="s">
        <v>462</v>
      </c>
      <c r="D216" s="1" t="s">
        <v>463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34</v>
      </c>
      <c r="AA216" t="s">
        <v>34</v>
      </c>
      <c r="AB216" t="s">
        <v>34</v>
      </c>
      <c r="AC216" t="s">
        <v>34</v>
      </c>
      <c r="AD216" t="s">
        <v>34</v>
      </c>
      <c r="AE216" t="s">
        <v>34</v>
      </c>
      <c r="AF216" t="s">
        <v>34</v>
      </c>
      <c r="AG216" t="str">
        <f t="shared" si="12"/>
        <v>NA</v>
      </c>
      <c r="AI216" s="7" t="str">
        <f t="shared" si="13"/>
        <v>NA</v>
      </c>
      <c r="AK216" s="7" t="str">
        <f t="shared" si="14"/>
        <v>NA</v>
      </c>
      <c r="AM216" s="7" t="str">
        <f t="shared" si="15"/>
        <v>NA</v>
      </c>
    </row>
    <row r="217" spans="1:39" x14ac:dyDescent="0.3">
      <c r="A217" t="s">
        <v>501</v>
      </c>
      <c r="B217" s="1" t="s">
        <v>502</v>
      </c>
      <c r="C217" t="s">
        <v>464</v>
      </c>
      <c r="D217" s="1" t="s">
        <v>465</v>
      </c>
      <c r="E217">
        <v>136100000</v>
      </c>
      <c r="F217">
        <v>365702100</v>
      </c>
      <c r="G217">
        <v>478500000</v>
      </c>
      <c r="H217">
        <v>484600000</v>
      </c>
      <c r="I217">
        <v>662300000</v>
      </c>
      <c r="J217" t="s">
        <v>34</v>
      </c>
      <c r="K217" t="s">
        <v>34</v>
      </c>
      <c r="L217" t="s">
        <v>34</v>
      </c>
      <c r="M217">
        <v>1423624290.977</v>
      </c>
      <c r="N217">
        <v>1996618066.904</v>
      </c>
      <c r="O217">
        <v>2352942905.9450002</v>
      </c>
      <c r="P217">
        <v>2674700000</v>
      </c>
      <c r="Q217">
        <v>3496647071.6880002</v>
      </c>
      <c r="R217">
        <v>3802787707.8210001</v>
      </c>
      <c r="S217">
        <v>3599399466.2509999</v>
      </c>
      <c r="T217">
        <v>4803647539.7069998</v>
      </c>
      <c r="U217">
        <v>5742085000</v>
      </c>
      <c r="V217">
        <v>7163539000</v>
      </c>
      <c r="W217">
        <v>10215124000</v>
      </c>
      <c r="X217">
        <v>13339680000</v>
      </c>
      <c r="Y217">
        <v>11813253000</v>
      </c>
      <c r="Z217">
        <v>11932770000</v>
      </c>
      <c r="AA217">
        <v>17971080879.540001</v>
      </c>
      <c r="AB217">
        <v>21354903166</v>
      </c>
      <c r="AC217">
        <v>22023471936</v>
      </c>
      <c r="AD217">
        <v>20626113553</v>
      </c>
      <c r="AE217">
        <v>24417763635</v>
      </c>
      <c r="AF217" t="s">
        <v>34</v>
      </c>
      <c r="AG217">
        <f t="shared" si="12"/>
        <v>8036556388.284709</v>
      </c>
      <c r="AI217" s="7">
        <f t="shared" si="13"/>
        <v>6.320875142415086</v>
      </c>
      <c r="AK217" s="7">
        <f t="shared" si="14"/>
        <v>1.144529309057424</v>
      </c>
      <c r="AM217" s="7">
        <f t="shared" si="15"/>
        <v>6.8906519901654617</v>
      </c>
    </row>
    <row r="218" spans="1:39" x14ac:dyDescent="0.3">
      <c r="A218" t="s">
        <v>501</v>
      </c>
      <c r="B218" s="1" t="s">
        <v>502</v>
      </c>
      <c r="C218" t="s">
        <v>466</v>
      </c>
      <c r="D218" s="1" t="s">
        <v>467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>
        <v>288277182.67000002</v>
      </c>
      <c r="T218">
        <v>676763896.98000002</v>
      </c>
      <c r="U218">
        <v>977896012.10000002</v>
      </c>
      <c r="V218">
        <v>1250119582</v>
      </c>
      <c r="W218" t="s">
        <v>34</v>
      </c>
      <c r="X218" t="s">
        <v>34</v>
      </c>
      <c r="Y218">
        <v>1778422533.8699999</v>
      </c>
      <c r="Z218">
        <v>1652936750</v>
      </c>
      <c r="AA218">
        <v>1795066163</v>
      </c>
      <c r="AB218">
        <v>2329980427</v>
      </c>
      <c r="AC218" t="s">
        <v>34</v>
      </c>
      <c r="AD218" t="s">
        <v>34</v>
      </c>
      <c r="AE218" t="s">
        <v>34</v>
      </c>
      <c r="AF218" t="s">
        <v>34</v>
      </c>
      <c r="AG218">
        <f t="shared" si="12"/>
        <v>1343682818.4524999</v>
      </c>
      <c r="AI218" s="7">
        <f t="shared" si="13"/>
        <v>0.21520168424740072</v>
      </c>
      <c r="AK218" s="7">
        <f>IFERROR(AG659*100/AG438,"NA")</f>
        <v>7.5909708528970068E-2</v>
      </c>
      <c r="AM218" s="7">
        <f t="shared" si="15"/>
        <v>0.17028255350421517</v>
      </c>
    </row>
    <row r="219" spans="1:39" x14ac:dyDescent="0.3">
      <c r="AM219" s="7"/>
    </row>
    <row r="221" spans="1:39" x14ac:dyDescent="0.3">
      <c r="A221" t="s">
        <v>2</v>
      </c>
      <c r="B221" s="1" t="s">
        <v>495</v>
      </c>
      <c r="C221" t="s">
        <v>0</v>
      </c>
      <c r="D221" s="1" t="s">
        <v>1</v>
      </c>
      <c r="E221" t="s">
        <v>3</v>
      </c>
      <c r="F221" t="s">
        <v>4</v>
      </c>
      <c r="G221" t="s">
        <v>5</v>
      </c>
      <c r="H221" t="s">
        <v>6</v>
      </c>
      <c r="I221" t="s">
        <v>7</v>
      </c>
      <c r="J221" t="s">
        <v>8</v>
      </c>
      <c r="K221" t="s">
        <v>9</v>
      </c>
      <c r="L221" t="s">
        <v>10</v>
      </c>
      <c r="M221" t="s">
        <v>11</v>
      </c>
      <c r="N221" t="s">
        <v>12</v>
      </c>
      <c r="O221" t="s">
        <v>13</v>
      </c>
      <c r="P221" t="s">
        <v>14</v>
      </c>
      <c r="Q221" t="s">
        <v>15</v>
      </c>
      <c r="R221" t="s">
        <v>16</v>
      </c>
      <c r="S221" t="s">
        <v>17</v>
      </c>
      <c r="T221" t="s">
        <v>18</v>
      </c>
      <c r="U221" t="s">
        <v>19</v>
      </c>
      <c r="V221" t="s">
        <v>20</v>
      </c>
      <c r="W221" t="s">
        <v>21</v>
      </c>
      <c r="X221" t="s">
        <v>22</v>
      </c>
      <c r="Y221" t="s">
        <v>23</v>
      </c>
      <c r="Z221" t="s">
        <v>24</v>
      </c>
      <c r="AA221" t="s">
        <v>25</v>
      </c>
      <c r="AB221" t="s">
        <v>26</v>
      </c>
      <c r="AC221" t="s">
        <v>27</v>
      </c>
      <c r="AD221" t="s">
        <v>28</v>
      </c>
      <c r="AE221" t="s">
        <v>29</v>
      </c>
      <c r="AF221" t="s">
        <v>30</v>
      </c>
      <c r="AG221" t="s">
        <v>504</v>
      </c>
    </row>
    <row r="222" spans="1:39" x14ac:dyDescent="0.3">
      <c r="A222" t="s">
        <v>505</v>
      </c>
      <c r="B222" s="1" t="s">
        <v>506</v>
      </c>
      <c r="C222" t="s">
        <v>31</v>
      </c>
      <c r="D222" s="1" t="s">
        <v>32</v>
      </c>
      <c r="E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>
        <v>182162721300</v>
      </c>
      <c r="M222">
        <v>221358563000</v>
      </c>
      <c r="N222">
        <v>249791940700</v>
      </c>
      <c r="O222">
        <v>308163225800</v>
      </c>
      <c r="P222">
        <v>348048404600</v>
      </c>
      <c r="Q222">
        <v>485419056200</v>
      </c>
      <c r="R222">
        <v>515046858600</v>
      </c>
      <c r="S222">
        <v>611692107000</v>
      </c>
      <c r="T222">
        <v>726231122700</v>
      </c>
      <c r="U222">
        <v>850347275400</v>
      </c>
      <c r="V222">
        <v>1028794220100</v>
      </c>
      <c r="W222">
        <v>1138809791300</v>
      </c>
      <c r="X222">
        <v>1176469485800</v>
      </c>
      <c r="Y222">
        <v>1222756495400</v>
      </c>
      <c r="Z222">
        <v>1222916881100</v>
      </c>
      <c r="AA222">
        <v>1285460326500</v>
      </c>
      <c r="AB222">
        <v>1327690394700</v>
      </c>
      <c r="AC222">
        <v>1469596303300</v>
      </c>
      <c r="AD222">
        <v>1534966000000</v>
      </c>
      <c r="AE222">
        <v>1251172000000</v>
      </c>
      <c r="AF222" t="s">
        <v>34</v>
      </c>
      <c r="AG222">
        <f>IFERROR(AVERAGE(E222:AF222),"NA")</f>
        <v>857844658675</v>
      </c>
    </row>
    <row r="223" spans="1:39" x14ac:dyDescent="0.3">
      <c r="A223" t="s">
        <v>505</v>
      </c>
      <c r="B223" s="1" t="s">
        <v>506</v>
      </c>
      <c r="C223" t="s">
        <v>35</v>
      </c>
      <c r="D223" s="1" t="s">
        <v>36</v>
      </c>
      <c r="E223">
        <v>221803320000</v>
      </c>
      <c r="F223">
        <v>334359000000</v>
      </c>
      <c r="G223">
        <v>331324000000</v>
      </c>
      <c r="H223">
        <v>384848000000</v>
      </c>
      <c r="I223">
        <v>443594000000</v>
      </c>
      <c r="J223">
        <v>501199000000</v>
      </c>
      <c r="K223">
        <v>563449000000</v>
      </c>
      <c r="L223">
        <v>610494000000</v>
      </c>
      <c r="M223">
        <v>677738000000</v>
      </c>
      <c r="N223">
        <v>737656000000</v>
      </c>
      <c r="O223">
        <v>804163000000</v>
      </c>
      <c r="P223">
        <v>872735000000</v>
      </c>
      <c r="Q223">
        <v>965528000000</v>
      </c>
      <c r="R223">
        <v>1080676000000</v>
      </c>
      <c r="S223">
        <v>1143936000000</v>
      </c>
      <c r="T223">
        <v>1239645000000</v>
      </c>
      <c r="U223">
        <v>1300624000000</v>
      </c>
      <c r="V223">
        <v>1332811000000</v>
      </c>
      <c r="W223">
        <v>1350053000000</v>
      </c>
      <c r="X223">
        <v>1395305000000</v>
      </c>
      <c r="Y223">
        <v>1434307000000</v>
      </c>
      <c r="Z223">
        <v>1472479000000</v>
      </c>
      <c r="AA223">
        <v>1550645485900</v>
      </c>
      <c r="AB223">
        <v>1636729604100</v>
      </c>
      <c r="AC223">
        <v>1691903429800</v>
      </c>
      <c r="AD223">
        <v>1647431071400</v>
      </c>
      <c r="AE223">
        <v>1856172101100</v>
      </c>
      <c r="AF223">
        <v>2138339000000</v>
      </c>
      <c r="AG223">
        <f t="shared" ref="AG223:AG286" si="16">IFERROR(AVERAGE(E223:AF223),"NA")</f>
        <v>1061426679010.7142</v>
      </c>
    </row>
    <row r="224" spans="1:39" x14ac:dyDescent="0.3">
      <c r="A224" t="s">
        <v>505</v>
      </c>
      <c r="B224" s="1" t="s">
        <v>506</v>
      </c>
      <c r="C224" t="s">
        <v>38</v>
      </c>
      <c r="D224" s="1" t="s">
        <v>39</v>
      </c>
      <c r="E224">
        <v>1990600032300</v>
      </c>
      <c r="F224">
        <v>2570000007200</v>
      </c>
      <c r="G224">
        <v>2780199911400</v>
      </c>
      <c r="H224">
        <v>2830500102100</v>
      </c>
      <c r="I224">
        <v>3238198000000</v>
      </c>
      <c r="J224">
        <v>4123514000000</v>
      </c>
      <c r="K224">
        <v>4227113000000</v>
      </c>
      <c r="L224">
        <v>4522773000000</v>
      </c>
      <c r="M224">
        <v>5252321000000</v>
      </c>
      <c r="N224">
        <v>6149117000000</v>
      </c>
      <c r="O224">
        <v>7561984000000</v>
      </c>
      <c r="P224">
        <v>8501636000000</v>
      </c>
      <c r="Q224">
        <v>9352886000000</v>
      </c>
      <c r="R224">
        <v>11043704000000</v>
      </c>
      <c r="S224">
        <v>9968025000000</v>
      </c>
      <c r="T224">
        <v>11991564000000</v>
      </c>
      <c r="U224">
        <v>14588532000000</v>
      </c>
      <c r="V224">
        <v>16209598000000</v>
      </c>
      <c r="W224">
        <v>16647919000000</v>
      </c>
      <c r="X224">
        <v>17228598000000</v>
      </c>
      <c r="Y224">
        <v>16712686000000</v>
      </c>
      <c r="Z224">
        <v>17514635000000</v>
      </c>
      <c r="AA224">
        <v>18876176000000</v>
      </c>
      <c r="AB224">
        <v>20393500000000</v>
      </c>
      <c r="AC224">
        <v>20500200000000</v>
      </c>
      <c r="AD224">
        <v>18476900000000</v>
      </c>
      <c r="AE224">
        <v>22079300000000</v>
      </c>
      <c r="AF224">
        <v>27688800000000</v>
      </c>
      <c r="AG224">
        <f t="shared" si="16"/>
        <v>11536463537607.143</v>
      </c>
    </row>
    <row r="225" spans="1:33" x14ac:dyDescent="0.3">
      <c r="A225" t="s">
        <v>505</v>
      </c>
      <c r="B225" s="1" t="s">
        <v>506</v>
      </c>
      <c r="C225" t="s">
        <v>40</v>
      </c>
      <c r="D225" s="1" t="s">
        <v>41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>
        <v>512000000</v>
      </c>
      <c r="M225">
        <v>524000000</v>
      </c>
      <c r="N225">
        <v>509000000</v>
      </c>
      <c r="O225">
        <v>500000000</v>
      </c>
      <c r="P225">
        <v>493000000</v>
      </c>
      <c r="Q225">
        <v>518000000</v>
      </c>
      <c r="R225">
        <v>560000000</v>
      </c>
      <c r="S225">
        <v>675000000</v>
      </c>
      <c r="T225">
        <v>573000000</v>
      </c>
      <c r="U225">
        <v>570000000</v>
      </c>
      <c r="V225">
        <v>640000000</v>
      </c>
      <c r="W225">
        <v>638000000</v>
      </c>
      <c r="X225">
        <v>643000000</v>
      </c>
      <c r="Y225">
        <v>673000000</v>
      </c>
      <c r="Z225">
        <v>671000000</v>
      </c>
      <c r="AA225">
        <v>612000000</v>
      </c>
      <c r="AB225">
        <v>639000000</v>
      </c>
      <c r="AC225">
        <v>647000000</v>
      </c>
      <c r="AD225">
        <v>721000000</v>
      </c>
      <c r="AE225">
        <v>750000000</v>
      </c>
      <c r="AF225">
        <v>871000000</v>
      </c>
      <c r="AG225">
        <f t="shared" si="16"/>
        <v>616142857.14285719</v>
      </c>
    </row>
    <row r="226" spans="1:33" x14ac:dyDescent="0.3">
      <c r="A226" t="s">
        <v>505</v>
      </c>
      <c r="B226" s="1" t="s">
        <v>506</v>
      </c>
      <c r="C226" t="s">
        <v>42</v>
      </c>
      <c r="D226" s="1" t="s">
        <v>43</v>
      </c>
      <c r="E226">
        <v>883347000</v>
      </c>
      <c r="F226">
        <v>931789600</v>
      </c>
      <c r="G226">
        <v>1038925600</v>
      </c>
      <c r="H226">
        <v>1088194100</v>
      </c>
      <c r="I226">
        <v>1163747900</v>
      </c>
      <c r="J226">
        <v>1551090000</v>
      </c>
      <c r="K226">
        <v>1728690000</v>
      </c>
      <c r="L226">
        <v>1865830000</v>
      </c>
      <c r="M226">
        <v>2092489999.9999998</v>
      </c>
      <c r="N226">
        <v>2331570000</v>
      </c>
      <c r="O226">
        <v>2540880000</v>
      </c>
      <c r="P226">
        <v>2755130000</v>
      </c>
      <c r="Q226">
        <v>2887770000</v>
      </c>
      <c r="R226">
        <v>2789260000</v>
      </c>
      <c r="S226">
        <v>2644840000</v>
      </c>
      <c r="T226">
        <v>2602310000</v>
      </c>
      <c r="U226">
        <v>2607220000</v>
      </c>
      <c r="V226">
        <v>2481850000</v>
      </c>
      <c r="W226">
        <v>2404540000</v>
      </c>
      <c r="X226">
        <v>2462690000</v>
      </c>
      <c r="Y226">
        <v>2514510000</v>
      </c>
      <c r="Z226">
        <v>2616860000</v>
      </c>
      <c r="AA226">
        <v>2655760000</v>
      </c>
      <c r="AB226">
        <v>2725270000</v>
      </c>
      <c r="AC226">
        <v>2818420000</v>
      </c>
      <c r="AD226">
        <v>2531090000</v>
      </c>
      <c r="AE226">
        <v>2811000000</v>
      </c>
      <c r="AF226">
        <v>3187500000</v>
      </c>
      <c r="AG226">
        <f t="shared" si="16"/>
        <v>2239734792.8571429</v>
      </c>
    </row>
    <row r="227" spans="1:33" x14ac:dyDescent="0.3">
      <c r="A227" t="s">
        <v>505</v>
      </c>
      <c r="B227" s="1" t="s">
        <v>506</v>
      </c>
      <c r="C227" t="s">
        <v>44</v>
      </c>
      <c r="D227" s="1" t="s">
        <v>45</v>
      </c>
      <c r="E227">
        <v>15015300</v>
      </c>
      <c r="F227">
        <v>835493000</v>
      </c>
      <c r="G227">
        <v>1751785000</v>
      </c>
      <c r="H227">
        <v>2555800000</v>
      </c>
      <c r="I227">
        <v>17171000000</v>
      </c>
      <c r="J227">
        <v>91666100000</v>
      </c>
      <c r="K227">
        <v>197110800000</v>
      </c>
      <c r="L227">
        <v>665385000000</v>
      </c>
      <c r="M227">
        <v>1328940000000</v>
      </c>
      <c r="N227">
        <v>1967571000000</v>
      </c>
      <c r="O227">
        <v>3222352000000</v>
      </c>
      <c r="P227">
        <v>4209762000000</v>
      </c>
      <c r="Q227">
        <v>5006335000000</v>
      </c>
      <c r="R227">
        <v>6643353000000</v>
      </c>
      <c r="S227">
        <v>5577341000000</v>
      </c>
      <c r="T227">
        <v>7701651000000</v>
      </c>
      <c r="U227">
        <v>10500942000000</v>
      </c>
      <c r="V227">
        <v>12224950000000</v>
      </c>
      <c r="W227">
        <v>13195004000000</v>
      </c>
      <c r="X227">
        <v>14323859000000</v>
      </c>
      <c r="Y227">
        <v>13950291000000</v>
      </c>
      <c r="Z227">
        <v>16549565000000</v>
      </c>
      <c r="AA227">
        <v>20262296000000</v>
      </c>
      <c r="AB227">
        <v>25627742000000</v>
      </c>
      <c r="AC227">
        <v>30330429000000</v>
      </c>
      <c r="AD227">
        <v>31700771000000</v>
      </c>
      <c r="AE227">
        <v>44535941000000</v>
      </c>
      <c r="AF227">
        <v>53375145477600</v>
      </c>
      <c r="AG227">
        <f t="shared" si="16"/>
        <v>11543240409675</v>
      </c>
    </row>
    <row r="228" spans="1:33" x14ac:dyDescent="0.3">
      <c r="A228" t="s">
        <v>505</v>
      </c>
      <c r="B228" s="1" t="s">
        <v>506</v>
      </c>
      <c r="C228" t="s">
        <v>46</v>
      </c>
      <c r="D228" s="1" t="s">
        <v>47</v>
      </c>
      <c r="E228">
        <v>1558660000</v>
      </c>
      <c r="F228">
        <v>1711070000</v>
      </c>
      <c r="G228">
        <v>1837670000</v>
      </c>
      <c r="H228">
        <v>1965220000</v>
      </c>
      <c r="I228">
        <v>2068739999.9999998</v>
      </c>
      <c r="J228">
        <v>2231200000</v>
      </c>
      <c r="K228">
        <v>2161300000</v>
      </c>
      <c r="L228">
        <v>2198830000</v>
      </c>
      <c r="M228">
        <v>2312270000</v>
      </c>
      <c r="N228">
        <v>2483270000</v>
      </c>
      <c r="O228">
        <v>2762000000</v>
      </c>
      <c r="P228">
        <v>3125690000</v>
      </c>
      <c r="Q228">
        <v>3544450000</v>
      </c>
      <c r="R228">
        <v>3699190000</v>
      </c>
      <c r="S228">
        <v>3316490000</v>
      </c>
      <c r="T228">
        <v>3101490000</v>
      </c>
      <c r="U228">
        <v>3459610000</v>
      </c>
      <c r="V228">
        <v>3583190000</v>
      </c>
      <c r="W228">
        <v>3578650000</v>
      </c>
      <c r="X228">
        <v>3722840000</v>
      </c>
      <c r="Y228">
        <v>3881940000</v>
      </c>
      <c r="Z228">
        <v>4022170000</v>
      </c>
      <c r="AA228">
        <v>4134109999.9999995</v>
      </c>
      <c r="AB228">
        <v>4486130000</v>
      </c>
      <c r="AC228">
        <v>4658450000</v>
      </c>
      <c r="AD228">
        <v>3809150000</v>
      </c>
      <c r="AE228">
        <v>4323690000</v>
      </c>
      <c r="AF228">
        <v>5042880000</v>
      </c>
      <c r="AG228">
        <f t="shared" si="16"/>
        <v>3170726785.7142859</v>
      </c>
    </row>
    <row r="229" spans="1:33" x14ac:dyDescent="0.3">
      <c r="A229" t="s">
        <v>505</v>
      </c>
      <c r="B229" s="1" t="s">
        <v>506</v>
      </c>
      <c r="C229" t="s">
        <v>48</v>
      </c>
      <c r="D229" s="1" t="s">
        <v>49</v>
      </c>
      <c r="E229">
        <v>258031750000</v>
      </c>
      <c r="F229">
        <v>272149750000</v>
      </c>
      <c r="G229">
        <v>292859000000</v>
      </c>
      <c r="H229">
        <v>298948250000</v>
      </c>
      <c r="I229">
        <v>283523000000</v>
      </c>
      <c r="J229">
        <v>284203750000</v>
      </c>
      <c r="K229">
        <v>268696750000</v>
      </c>
      <c r="L229">
        <v>312580000000</v>
      </c>
      <c r="M229">
        <v>375909500000</v>
      </c>
      <c r="N229">
        <v>485115194700</v>
      </c>
      <c r="O229">
        <v>582538172900</v>
      </c>
      <c r="P229">
        <v>715904271700</v>
      </c>
      <c r="Q229">
        <v>896980174100</v>
      </c>
      <c r="R229">
        <v>1149646090600</v>
      </c>
      <c r="S229">
        <v>1247929268900</v>
      </c>
      <c r="T229">
        <v>1661720925900</v>
      </c>
      <c r="U229">
        <v>2179024103600</v>
      </c>
      <c r="V229">
        <v>2637913848200</v>
      </c>
      <c r="W229">
        <v>3348308488200</v>
      </c>
      <c r="X229">
        <v>4579086425400</v>
      </c>
      <c r="Y229">
        <v>5954510895700</v>
      </c>
      <c r="Z229">
        <v>8228159556500</v>
      </c>
      <c r="AA229">
        <v>10660228494800</v>
      </c>
      <c r="AB229">
        <v>14744810677300</v>
      </c>
      <c r="AC229">
        <v>21558444149200</v>
      </c>
      <c r="AD229">
        <v>27209814143300</v>
      </c>
      <c r="AE229">
        <v>46346227353600</v>
      </c>
      <c r="AF229">
        <v>82436433708700</v>
      </c>
      <c r="AG229">
        <f t="shared" si="16"/>
        <v>8545346346189.2861</v>
      </c>
    </row>
    <row r="230" spans="1:33" x14ac:dyDescent="0.3">
      <c r="A230" t="s">
        <v>505</v>
      </c>
      <c r="B230" s="1" t="s">
        <v>506</v>
      </c>
      <c r="C230" t="s">
        <v>50</v>
      </c>
      <c r="D230" s="1" t="s">
        <v>51</v>
      </c>
      <c r="E230">
        <v>522255990800</v>
      </c>
      <c r="F230">
        <v>661209022500</v>
      </c>
      <c r="G230">
        <v>804334993400</v>
      </c>
      <c r="H230">
        <v>955384987600</v>
      </c>
      <c r="I230">
        <v>987443691500</v>
      </c>
      <c r="J230">
        <v>1031338300000</v>
      </c>
      <c r="K230">
        <v>1175876800000</v>
      </c>
      <c r="L230">
        <v>1362471700000</v>
      </c>
      <c r="M230">
        <v>1624642700000</v>
      </c>
      <c r="N230">
        <v>1907945400000</v>
      </c>
      <c r="O230">
        <v>2242880900000</v>
      </c>
      <c r="P230">
        <v>2656189800000</v>
      </c>
      <c r="Q230">
        <v>3149283400000</v>
      </c>
      <c r="R230">
        <v>3568227600000</v>
      </c>
      <c r="S230">
        <v>3141651000000</v>
      </c>
      <c r="T230">
        <v>3460202700000</v>
      </c>
      <c r="U230">
        <v>3777945600000</v>
      </c>
      <c r="V230">
        <v>4266460500000</v>
      </c>
      <c r="W230">
        <v>4555638200000</v>
      </c>
      <c r="X230">
        <v>4828626300000</v>
      </c>
      <c r="Y230">
        <v>5043633200000</v>
      </c>
      <c r="Z230">
        <v>5067293500000</v>
      </c>
      <c r="AA230">
        <v>5564493300000</v>
      </c>
      <c r="AB230">
        <v>6017035200000</v>
      </c>
      <c r="AC230">
        <v>6543321800000</v>
      </c>
      <c r="AD230">
        <v>6181902600000</v>
      </c>
      <c r="AE230">
        <v>6991777800000</v>
      </c>
      <c r="AF230">
        <v>8501435500000</v>
      </c>
      <c r="AG230">
        <f t="shared" si="16"/>
        <v>3449675088778.5713</v>
      </c>
    </row>
    <row r="231" spans="1:33" x14ac:dyDescent="0.3">
      <c r="A231" t="s">
        <v>505</v>
      </c>
      <c r="B231" s="1" t="s">
        <v>506</v>
      </c>
      <c r="C231" t="s">
        <v>52</v>
      </c>
      <c r="D231" s="1" t="s">
        <v>53</v>
      </c>
      <c r="E231">
        <v>2364000000</v>
      </c>
      <c r="F231">
        <v>2470000000</v>
      </c>
      <c r="G231">
        <v>2742000000</v>
      </c>
      <c r="H231">
        <v>2981000000</v>
      </c>
      <c r="I231">
        <v>3084000000</v>
      </c>
      <c r="J231">
        <v>3353480000</v>
      </c>
      <c r="K231">
        <v>3394658000</v>
      </c>
      <c r="L231">
        <v>3511700000</v>
      </c>
      <c r="M231">
        <v>3658960000</v>
      </c>
      <c r="N231">
        <v>4036147000</v>
      </c>
      <c r="O231">
        <v>4224430999.9999995</v>
      </c>
      <c r="P231">
        <v>4420911000</v>
      </c>
      <c r="Q231">
        <v>4792978000</v>
      </c>
      <c r="R231">
        <v>5089014000</v>
      </c>
      <c r="S231">
        <v>4571290000</v>
      </c>
      <c r="T231">
        <v>4391939000</v>
      </c>
      <c r="U231">
        <v>4721768000</v>
      </c>
      <c r="V231">
        <v>4681223000</v>
      </c>
      <c r="W231">
        <v>4882851000</v>
      </c>
      <c r="X231">
        <v>4995621000</v>
      </c>
      <c r="Y231">
        <v>5303604000</v>
      </c>
      <c r="Z231">
        <v>5340707000</v>
      </c>
      <c r="AA231">
        <v>5535448000</v>
      </c>
      <c r="AB231">
        <v>5864370000</v>
      </c>
      <c r="AC231">
        <v>6078480000</v>
      </c>
      <c r="AD231">
        <v>4580442283.94695</v>
      </c>
      <c r="AE231">
        <v>5554699541.70924</v>
      </c>
      <c r="AF231">
        <v>6345026940.6213903</v>
      </c>
      <c r="AG231">
        <f t="shared" si="16"/>
        <v>4391812455.9384851</v>
      </c>
    </row>
    <row r="232" spans="1:33" x14ac:dyDescent="0.3">
      <c r="A232" t="s">
        <v>505</v>
      </c>
      <c r="B232" s="1" t="s">
        <v>506</v>
      </c>
      <c r="C232" t="s">
        <v>54</v>
      </c>
      <c r="D232" s="1" t="s">
        <v>55</v>
      </c>
      <c r="E232">
        <v>495846000000</v>
      </c>
      <c r="F232">
        <v>528969000000</v>
      </c>
      <c r="G232">
        <v>556665000000</v>
      </c>
      <c r="H232">
        <v>589240000000</v>
      </c>
      <c r="I232">
        <v>621807000000</v>
      </c>
      <c r="J232">
        <v>662674000000</v>
      </c>
      <c r="K232">
        <v>707402000000</v>
      </c>
      <c r="L232">
        <v>756446000000</v>
      </c>
      <c r="M232">
        <v>803108000000</v>
      </c>
      <c r="N232">
        <v>864089000000</v>
      </c>
      <c r="O232">
        <v>925442000000</v>
      </c>
      <c r="P232">
        <v>999585000000</v>
      </c>
      <c r="Q232">
        <v>1089023000000</v>
      </c>
      <c r="R232">
        <v>1179629000000</v>
      </c>
      <c r="S232">
        <v>1261441000000</v>
      </c>
      <c r="T232">
        <v>1304381000000</v>
      </c>
      <c r="U232">
        <v>1418651000000</v>
      </c>
      <c r="V232">
        <v>1500852000000</v>
      </c>
      <c r="W232">
        <v>1537445000000</v>
      </c>
      <c r="X232">
        <v>1599695000000</v>
      </c>
      <c r="Y232">
        <v>1624733000000</v>
      </c>
      <c r="Z232">
        <v>1658936000000</v>
      </c>
      <c r="AA232">
        <v>1759378000000</v>
      </c>
      <c r="AB232">
        <v>1844528000000</v>
      </c>
      <c r="AC232">
        <v>1950042000000</v>
      </c>
      <c r="AD232">
        <v>1984598000000</v>
      </c>
      <c r="AE232">
        <v>2088901000000</v>
      </c>
      <c r="AF232">
        <v>2333221000000</v>
      </c>
      <c r="AG232">
        <f t="shared" si="16"/>
        <v>1237383107142.8572</v>
      </c>
    </row>
    <row r="233" spans="1:33" x14ac:dyDescent="0.3">
      <c r="A233" t="s">
        <v>505</v>
      </c>
      <c r="B233" s="1" t="s">
        <v>506</v>
      </c>
      <c r="C233" t="s">
        <v>56</v>
      </c>
      <c r="D233" s="1" t="s">
        <v>57</v>
      </c>
      <c r="E233">
        <v>176608750000</v>
      </c>
      <c r="F233">
        <v>182540880000</v>
      </c>
      <c r="G233">
        <v>188723760000</v>
      </c>
      <c r="H233">
        <v>196346610000</v>
      </c>
      <c r="I233">
        <v>203850580000</v>
      </c>
      <c r="J233">
        <v>213606480000</v>
      </c>
      <c r="K233">
        <v>220525080000</v>
      </c>
      <c r="L233">
        <v>226735220000</v>
      </c>
      <c r="M233">
        <v>231862460000</v>
      </c>
      <c r="N233">
        <v>242348260000</v>
      </c>
      <c r="O233">
        <v>254075030000</v>
      </c>
      <c r="P233">
        <v>267824450000</v>
      </c>
      <c r="Q233">
        <v>283977970000</v>
      </c>
      <c r="R233">
        <v>293761910000</v>
      </c>
      <c r="S233">
        <v>288044020000</v>
      </c>
      <c r="T233">
        <v>295896640000</v>
      </c>
      <c r="U233">
        <v>310128660000</v>
      </c>
      <c r="V233">
        <v>318653040000</v>
      </c>
      <c r="W233">
        <v>323910200000</v>
      </c>
      <c r="X233">
        <v>333146070000</v>
      </c>
      <c r="Y233">
        <v>344269230000</v>
      </c>
      <c r="Z233">
        <v>357607950000</v>
      </c>
      <c r="AA233">
        <v>369361870000</v>
      </c>
      <c r="AB233">
        <v>385274090000</v>
      </c>
      <c r="AC233">
        <v>397147190000</v>
      </c>
      <c r="AD233">
        <v>380888460000</v>
      </c>
      <c r="AE233">
        <v>405241420000</v>
      </c>
      <c r="AF233">
        <v>447217640000</v>
      </c>
      <c r="AG233">
        <f t="shared" si="16"/>
        <v>290699068571.42859</v>
      </c>
    </row>
    <row r="234" spans="1:33" x14ac:dyDescent="0.3">
      <c r="A234" t="s">
        <v>505</v>
      </c>
      <c r="B234" s="1" t="s">
        <v>506</v>
      </c>
      <c r="C234" t="s">
        <v>58</v>
      </c>
      <c r="D234" s="1" t="s">
        <v>59</v>
      </c>
      <c r="E234">
        <v>2133800000.0000002</v>
      </c>
      <c r="F234">
        <v>2732600000</v>
      </c>
      <c r="G234">
        <v>3158300000</v>
      </c>
      <c r="H234">
        <v>3440600000</v>
      </c>
      <c r="I234">
        <v>3775100000</v>
      </c>
      <c r="J234">
        <v>4718100000</v>
      </c>
      <c r="K234">
        <v>5315600000</v>
      </c>
      <c r="L234">
        <v>6062500000</v>
      </c>
      <c r="M234">
        <v>7146500000</v>
      </c>
      <c r="N234">
        <v>8530200000.000001</v>
      </c>
      <c r="O234">
        <v>12522500000</v>
      </c>
      <c r="P234">
        <v>18746200000</v>
      </c>
      <c r="Q234">
        <v>28360500000</v>
      </c>
      <c r="R234">
        <v>40137200000</v>
      </c>
      <c r="S234">
        <v>35601500000</v>
      </c>
      <c r="T234">
        <v>42465000000</v>
      </c>
      <c r="U234">
        <v>52082000000</v>
      </c>
      <c r="V234">
        <v>54743700000</v>
      </c>
      <c r="W234">
        <v>58182000000</v>
      </c>
      <c r="X234">
        <v>59014100000</v>
      </c>
      <c r="Y234">
        <v>54380000000</v>
      </c>
      <c r="Z234">
        <v>60425200000</v>
      </c>
      <c r="AA234">
        <v>70337800000</v>
      </c>
      <c r="AB234">
        <v>80092000000</v>
      </c>
      <c r="AC234">
        <v>81896200000</v>
      </c>
      <c r="AD234">
        <v>72578100000</v>
      </c>
      <c r="AE234">
        <v>93203200000</v>
      </c>
      <c r="AF234">
        <v>133825799999.99998</v>
      </c>
      <c r="AG234">
        <f t="shared" si="16"/>
        <v>39128796428.571426</v>
      </c>
    </row>
    <row r="235" spans="1:33" x14ac:dyDescent="0.3">
      <c r="A235" t="s">
        <v>505</v>
      </c>
      <c r="B235" s="1" t="s">
        <v>506</v>
      </c>
      <c r="C235" t="s">
        <v>60</v>
      </c>
      <c r="D235" s="1" t="s">
        <v>61</v>
      </c>
      <c r="E235">
        <v>3429000000</v>
      </c>
      <c r="F235">
        <v>3609000000</v>
      </c>
      <c r="G235">
        <v>6332360000</v>
      </c>
      <c r="H235">
        <v>6833220000</v>
      </c>
      <c r="I235">
        <v>7683870000</v>
      </c>
      <c r="J235">
        <v>8076470000</v>
      </c>
      <c r="K235">
        <v>8317830000</v>
      </c>
      <c r="L235">
        <v>8881160000</v>
      </c>
      <c r="M235">
        <v>8870090000</v>
      </c>
      <c r="N235">
        <v>9055290000</v>
      </c>
      <c r="O235">
        <v>9836200000</v>
      </c>
      <c r="P235">
        <v>10167250000</v>
      </c>
      <c r="Q235">
        <v>10618340000</v>
      </c>
      <c r="R235">
        <v>10526000000</v>
      </c>
      <c r="S235">
        <v>9981960000</v>
      </c>
      <c r="T235">
        <v>10095760000</v>
      </c>
      <c r="U235">
        <v>10070450000</v>
      </c>
      <c r="V235">
        <v>10720400000</v>
      </c>
      <c r="W235">
        <v>10395500000</v>
      </c>
      <c r="X235">
        <v>10974800000</v>
      </c>
      <c r="Y235">
        <v>11672900000</v>
      </c>
      <c r="Z235">
        <v>11750800000</v>
      </c>
      <c r="AA235">
        <v>12253500000</v>
      </c>
      <c r="AB235">
        <v>12653600000</v>
      </c>
      <c r="AC235">
        <v>13058700000</v>
      </c>
      <c r="AD235">
        <v>9754600000</v>
      </c>
      <c r="AE235">
        <v>11527600000</v>
      </c>
      <c r="AF235">
        <v>12897400000</v>
      </c>
      <c r="AG235">
        <f t="shared" si="16"/>
        <v>9644430357.1428566</v>
      </c>
    </row>
    <row r="236" spans="1:33" x14ac:dyDescent="0.3">
      <c r="A236" t="s">
        <v>505</v>
      </c>
      <c r="B236" s="1" t="s">
        <v>506</v>
      </c>
      <c r="C236" t="s">
        <v>62</v>
      </c>
      <c r="D236" s="1" t="s">
        <v>63</v>
      </c>
      <c r="E236">
        <v>2199399900</v>
      </c>
      <c r="F236">
        <v>2294299900</v>
      </c>
      <c r="G236">
        <v>2387300100</v>
      </c>
      <c r="H236">
        <v>2325100000</v>
      </c>
      <c r="I236">
        <v>2489499900</v>
      </c>
      <c r="J236">
        <v>3407650000</v>
      </c>
      <c r="K236">
        <v>3375050000</v>
      </c>
      <c r="L236">
        <v>3607160000</v>
      </c>
      <c r="M236">
        <v>4164130000</v>
      </c>
      <c r="N236">
        <v>4944460000</v>
      </c>
      <c r="O236">
        <v>6004240000</v>
      </c>
      <c r="P236">
        <v>6957790000</v>
      </c>
      <c r="Q236">
        <v>8170480000</v>
      </c>
      <c r="R236">
        <v>9667300000</v>
      </c>
      <c r="S236">
        <v>8624770000</v>
      </c>
      <c r="T236">
        <v>9668190000</v>
      </c>
      <c r="U236">
        <v>10820000000</v>
      </c>
      <c r="V236">
        <v>11561740000</v>
      </c>
      <c r="W236">
        <v>12234840000</v>
      </c>
      <c r="X236">
        <v>12553780000</v>
      </c>
      <c r="Y236">
        <v>11675040000</v>
      </c>
      <c r="Z236">
        <v>12120350000</v>
      </c>
      <c r="AA236">
        <v>13338140000</v>
      </c>
      <c r="AB236">
        <v>14213554000</v>
      </c>
      <c r="AC236">
        <v>14533647600</v>
      </c>
      <c r="AD236">
        <v>13017799700</v>
      </c>
      <c r="AE236">
        <v>14772540000</v>
      </c>
      <c r="AF236">
        <v>16688119999.999998</v>
      </c>
      <c r="AG236">
        <f t="shared" si="16"/>
        <v>8493441825</v>
      </c>
    </row>
    <row r="237" spans="1:33" x14ac:dyDescent="0.3">
      <c r="A237" t="s">
        <v>505</v>
      </c>
      <c r="B237" s="1" t="s">
        <v>506</v>
      </c>
      <c r="C237" t="s">
        <v>64</v>
      </c>
      <c r="D237" s="1" t="s">
        <v>65</v>
      </c>
      <c r="E237">
        <v>1525177900500</v>
      </c>
      <c r="F237">
        <v>1899334000000</v>
      </c>
      <c r="G237">
        <v>2060032000000</v>
      </c>
      <c r="H237">
        <v>2269299000000</v>
      </c>
      <c r="I237">
        <v>2465089000000</v>
      </c>
      <c r="J237">
        <v>2685034000000</v>
      </c>
      <c r="K237">
        <v>2913370000000</v>
      </c>
      <c r="L237">
        <v>3142804000000</v>
      </c>
      <c r="M237">
        <v>3483202000000</v>
      </c>
      <c r="N237">
        <v>3832940000000</v>
      </c>
      <c r="O237">
        <v>4270741000000</v>
      </c>
      <c r="P237">
        <v>4823369660200</v>
      </c>
      <c r="Q237">
        <v>5497997000000</v>
      </c>
      <c r="R237">
        <v>6286822000000</v>
      </c>
      <c r="S237">
        <v>7050718000000</v>
      </c>
      <c r="T237">
        <v>7975387000000</v>
      </c>
      <c r="U237">
        <v>9158288000000</v>
      </c>
      <c r="V237">
        <v>10552040389000</v>
      </c>
      <c r="W237">
        <v>11989231719000</v>
      </c>
      <c r="X237">
        <v>13436744000000</v>
      </c>
      <c r="Y237">
        <v>15158023000000</v>
      </c>
      <c r="Z237">
        <v>20758211000000</v>
      </c>
      <c r="AA237">
        <v>23243073000000</v>
      </c>
      <c r="AB237">
        <v>26392478000000</v>
      </c>
      <c r="AC237">
        <v>29514288000000</v>
      </c>
      <c r="AD237">
        <v>31704694000000</v>
      </c>
      <c r="AE237">
        <v>35301848000000</v>
      </c>
      <c r="AF237">
        <v>39717164000000</v>
      </c>
      <c r="AG237">
        <f t="shared" si="16"/>
        <v>11753835702453.572</v>
      </c>
    </row>
    <row r="238" spans="1:33" x14ac:dyDescent="0.3">
      <c r="A238" t="s">
        <v>505</v>
      </c>
      <c r="B238" s="1" t="s">
        <v>506</v>
      </c>
      <c r="C238" t="s">
        <v>66</v>
      </c>
      <c r="D238" s="1" t="s">
        <v>67</v>
      </c>
      <c r="E238">
        <v>4459000000</v>
      </c>
      <c r="F238">
        <v>4754000000</v>
      </c>
      <c r="G238">
        <v>5025000000</v>
      </c>
      <c r="H238">
        <v>5666000000</v>
      </c>
      <c r="I238">
        <v>5937000000</v>
      </c>
      <c r="J238">
        <v>6119000000</v>
      </c>
      <c r="K238">
        <v>6109000000</v>
      </c>
      <c r="L238">
        <v>6213000000</v>
      </c>
      <c r="M238">
        <v>6419000000</v>
      </c>
      <c r="N238">
        <v>6889000000</v>
      </c>
      <c r="O238">
        <v>7639000000</v>
      </c>
      <c r="P238">
        <v>8434900000</v>
      </c>
      <c r="Q238">
        <v>9348000000</v>
      </c>
      <c r="R238">
        <v>9570500000</v>
      </c>
      <c r="S238">
        <v>8931000000</v>
      </c>
      <c r="T238">
        <v>9062300000</v>
      </c>
      <c r="U238">
        <v>9312800000</v>
      </c>
      <c r="V238">
        <v>9227700000</v>
      </c>
      <c r="W238">
        <v>9371100000</v>
      </c>
      <c r="X238">
        <v>9415200000</v>
      </c>
      <c r="Y238">
        <v>9468000000</v>
      </c>
      <c r="Z238">
        <v>9686600000</v>
      </c>
      <c r="AA238">
        <v>9984600000</v>
      </c>
      <c r="AB238">
        <v>10220500000</v>
      </c>
      <c r="AC238">
        <v>10682200000</v>
      </c>
      <c r="AD238">
        <v>9477600000</v>
      </c>
      <c r="AE238">
        <v>9846200000</v>
      </c>
      <c r="AF238">
        <v>11399900000</v>
      </c>
      <c r="AG238">
        <f t="shared" si="16"/>
        <v>8166717857.1428576</v>
      </c>
    </row>
    <row r="239" spans="1:33" x14ac:dyDescent="0.3">
      <c r="A239" t="s">
        <v>505</v>
      </c>
      <c r="B239" s="1" t="s">
        <v>506</v>
      </c>
      <c r="C239" t="s">
        <v>68</v>
      </c>
      <c r="D239" s="1" t="s">
        <v>69</v>
      </c>
      <c r="E239">
        <v>12140300</v>
      </c>
      <c r="F239">
        <v>19183900</v>
      </c>
      <c r="G239">
        <v>36683000</v>
      </c>
      <c r="H239">
        <v>70216100</v>
      </c>
      <c r="I239">
        <v>302606400</v>
      </c>
      <c r="J239">
        <v>913380000</v>
      </c>
      <c r="K239">
        <v>1717320000</v>
      </c>
      <c r="L239">
        <v>2613830000</v>
      </c>
      <c r="M239">
        <v>3656480000</v>
      </c>
      <c r="N239">
        <v>4999180000</v>
      </c>
      <c r="O239">
        <v>6506710000</v>
      </c>
      <c r="P239">
        <v>7926700000</v>
      </c>
      <c r="Q239">
        <v>9716530000</v>
      </c>
      <c r="R239">
        <v>12979080000</v>
      </c>
      <c r="S239">
        <v>14209130000</v>
      </c>
      <c r="T239">
        <v>17046580000.000002</v>
      </c>
      <c r="U239">
        <v>30724500000</v>
      </c>
      <c r="V239">
        <v>54761670000</v>
      </c>
      <c r="W239">
        <v>67068850000.000008</v>
      </c>
      <c r="X239">
        <v>80579000000</v>
      </c>
      <c r="Y239">
        <v>89910000000</v>
      </c>
      <c r="Z239">
        <v>94949000000</v>
      </c>
      <c r="AA239">
        <v>105748000000</v>
      </c>
      <c r="AB239">
        <v>122320000000</v>
      </c>
      <c r="AC239">
        <v>134732000000</v>
      </c>
      <c r="AD239">
        <v>149721000000</v>
      </c>
      <c r="AE239">
        <v>176879000000</v>
      </c>
      <c r="AF239">
        <v>191374000000</v>
      </c>
      <c r="AG239">
        <f t="shared" si="16"/>
        <v>49339027489.285713</v>
      </c>
    </row>
    <row r="240" spans="1:33" x14ac:dyDescent="0.3">
      <c r="A240" t="s">
        <v>505</v>
      </c>
      <c r="B240" s="1" t="s">
        <v>506</v>
      </c>
      <c r="C240" t="s">
        <v>70</v>
      </c>
      <c r="D240" s="1" t="s">
        <v>71</v>
      </c>
      <c r="E240">
        <v>210489100000</v>
      </c>
      <c r="F240">
        <v>214287100000</v>
      </c>
      <c r="G240">
        <v>224101500000</v>
      </c>
      <c r="H240">
        <v>232623800000</v>
      </c>
      <c r="I240">
        <v>242307600000</v>
      </c>
      <c r="J240">
        <v>256376400000</v>
      </c>
      <c r="K240">
        <v>264334900000.00003</v>
      </c>
      <c r="L240">
        <v>273255900000.00003</v>
      </c>
      <c r="M240">
        <v>281200200000</v>
      </c>
      <c r="N240">
        <v>296819700000</v>
      </c>
      <c r="O240">
        <v>310037600000</v>
      </c>
      <c r="P240">
        <v>325151500000</v>
      </c>
      <c r="Q240">
        <v>343618900000</v>
      </c>
      <c r="R240">
        <v>351743100000</v>
      </c>
      <c r="S240">
        <v>346472800000</v>
      </c>
      <c r="T240">
        <v>363140100000</v>
      </c>
      <c r="U240">
        <v>375967800000</v>
      </c>
      <c r="V240">
        <v>386174700000</v>
      </c>
      <c r="W240">
        <v>392880000000</v>
      </c>
      <c r="X240">
        <v>403003300000</v>
      </c>
      <c r="Y240">
        <v>416701400000</v>
      </c>
      <c r="Z240">
        <v>430085300000</v>
      </c>
      <c r="AA240">
        <v>445050100000</v>
      </c>
      <c r="AB240">
        <v>460050800000</v>
      </c>
      <c r="AC240">
        <v>478676200000</v>
      </c>
      <c r="AD240">
        <v>460747700000</v>
      </c>
      <c r="AE240">
        <v>507929600000</v>
      </c>
      <c r="AF240">
        <v>554044300000</v>
      </c>
      <c r="AG240">
        <f t="shared" si="16"/>
        <v>351688264285.71429</v>
      </c>
    </row>
    <row r="241" spans="1:33" x14ac:dyDescent="0.3">
      <c r="A241" t="s">
        <v>505</v>
      </c>
      <c r="B241" s="1" t="s">
        <v>506</v>
      </c>
      <c r="C241" t="s">
        <v>72</v>
      </c>
      <c r="D241" s="1" t="s">
        <v>73</v>
      </c>
      <c r="E241">
        <v>1632983240.4576299</v>
      </c>
      <c r="F241">
        <v>1696410553.73929</v>
      </c>
      <c r="G241">
        <v>1741722230.35498</v>
      </c>
      <c r="H241">
        <v>1853101512.0794699</v>
      </c>
      <c r="I241">
        <v>1993812937.38957</v>
      </c>
      <c r="J241">
        <v>2269513521.2414103</v>
      </c>
      <c r="K241">
        <v>2336255947.8869796</v>
      </c>
      <c r="L241">
        <v>2480119080.1869502</v>
      </c>
      <c r="M241">
        <v>2606763721.5134702</v>
      </c>
      <c r="N241">
        <v>2788547981.2000699</v>
      </c>
      <c r="O241">
        <v>2936291912.3983402</v>
      </c>
      <c r="P241">
        <v>3168414706.44099</v>
      </c>
      <c r="Q241">
        <v>3398428597.8287897</v>
      </c>
      <c r="R241">
        <v>3463843128.1334</v>
      </c>
      <c r="S241">
        <v>3362946696.86937</v>
      </c>
      <c r="T241">
        <v>3478140590.8805399</v>
      </c>
      <c r="U241">
        <v>3637663876.3551402</v>
      </c>
      <c r="V241">
        <v>3799006499.72859</v>
      </c>
      <c r="W241">
        <v>4043514868.36128</v>
      </c>
      <c r="X241">
        <v>4250251212.5144606</v>
      </c>
      <c r="Y241">
        <v>4389418618.4840899</v>
      </c>
      <c r="Z241">
        <v>4481187085.9513903</v>
      </c>
      <c r="AA241">
        <v>4533329634.1764402</v>
      </c>
      <c r="AB241">
        <v>4585574671.2490301</v>
      </c>
      <c r="AC241">
        <v>4773584952.2127304</v>
      </c>
      <c r="AD241">
        <v>4095455620.13554</v>
      </c>
      <c r="AE241">
        <v>4849150358.7566099</v>
      </c>
      <c r="AF241">
        <v>5661015151.3681908</v>
      </c>
      <c r="AG241">
        <f t="shared" si="16"/>
        <v>3368087460.9962411</v>
      </c>
    </row>
    <row r="242" spans="1:33" x14ac:dyDescent="0.3">
      <c r="A242" t="s">
        <v>505</v>
      </c>
      <c r="B242" s="1" t="s">
        <v>506</v>
      </c>
      <c r="C242" t="s">
        <v>74</v>
      </c>
      <c r="D242" s="1" t="s">
        <v>75</v>
      </c>
      <c r="E242">
        <v>1082965970900.0001</v>
      </c>
      <c r="F242">
        <v>1207834857200</v>
      </c>
      <c r="G242">
        <v>1323938197500</v>
      </c>
      <c r="H242">
        <v>1448386288100</v>
      </c>
      <c r="I242">
        <v>2263338000000</v>
      </c>
      <c r="J242">
        <v>2499926000000</v>
      </c>
      <c r="K242">
        <v>2685133000000</v>
      </c>
      <c r="L242">
        <v>2909671000000</v>
      </c>
      <c r="M242">
        <v>3102021000000</v>
      </c>
      <c r="N242">
        <v>3264365000000</v>
      </c>
      <c r="O242">
        <v>3462851000000</v>
      </c>
      <c r="P242">
        <v>3674800000000</v>
      </c>
      <c r="Q242">
        <v>3909982000000</v>
      </c>
      <c r="R242">
        <v>4365330000000</v>
      </c>
      <c r="S242">
        <v>4580012000000</v>
      </c>
      <c r="T242">
        <v>4718034000000</v>
      </c>
      <c r="U242">
        <v>5039213000000</v>
      </c>
      <c r="V242">
        <v>5688291000000</v>
      </c>
      <c r="W242">
        <v>6182559000000</v>
      </c>
      <c r="X242">
        <v>6559333000000</v>
      </c>
      <c r="Y242">
        <v>6732814000000</v>
      </c>
      <c r="Z242">
        <v>7005230000000</v>
      </c>
      <c r="AA242">
        <v>7375302197900</v>
      </c>
      <c r="AB242">
        <v>7922004056100</v>
      </c>
      <c r="AC242">
        <v>8432247506700</v>
      </c>
      <c r="AD242">
        <v>9008810371200</v>
      </c>
      <c r="AE242">
        <v>9809693955700</v>
      </c>
      <c r="AF242">
        <v>10854508073200</v>
      </c>
      <c r="AG242">
        <f t="shared" si="16"/>
        <v>4896735516946.4287</v>
      </c>
    </row>
    <row r="243" spans="1:33" x14ac:dyDescent="0.3">
      <c r="A243" t="s">
        <v>505</v>
      </c>
      <c r="B243" s="1" t="s">
        <v>506</v>
      </c>
      <c r="C243" t="s">
        <v>76</v>
      </c>
      <c r="D243" s="1" t="s">
        <v>77</v>
      </c>
      <c r="E243">
        <v>2030750000</v>
      </c>
      <c r="F243">
        <v>2695390000</v>
      </c>
      <c r="G243">
        <v>2932827000</v>
      </c>
      <c r="H243">
        <v>3130748000</v>
      </c>
      <c r="I243">
        <v>3324433000</v>
      </c>
      <c r="J243">
        <v>3480219000</v>
      </c>
      <c r="K243">
        <v>3680483000</v>
      </c>
      <c r="L243">
        <v>3937228000</v>
      </c>
      <c r="M243">
        <v>4186524999.9999995</v>
      </c>
      <c r="N243">
        <v>4484703000</v>
      </c>
      <c r="O243">
        <v>4868136000</v>
      </c>
      <c r="P243">
        <v>6144000000</v>
      </c>
      <c r="Q243">
        <v>6767000000</v>
      </c>
      <c r="R243">
        <v>6980000000</v>
      </c>
      <c r="S243">
        <v>6656000000</v>
      </c>
      <c r="T243">
        <v>6634526000</v>
      </c>
      <c r="U243">
        <v>6312691000</v>
      </c>
      <c r="V243">
        <v>6378188000</v>
      </c>
      <c r="W243">
        <v>6465756000</v>
      </c>
      <c r="X243">
        <v>6413988000</v>
      </c>
      <c r="Y243">
        <v>6654541000</v>
      </c>
      <c r="Z243">
        <v>6899911000</v>
      </c>
      <c r="AA243">
        <v>7142316000</v>
      </c>
      <c r="AB243">
        <v>7225977000</v>
      </c>
      <c r="AC243">
        <v>7423465000</v>
      </c>
      <c r="AD243">
        <v>6887147000</v>
      </c>
      <c r="AE243">
        <v>7127200000</v>
      </c>
      <c r="AF243">
        <v>7546000000</v>
      </c>
      <c r="AG243">
        <f t="shared" si="16"/>
        <v>5514648142.8571424</v>
      </c>
    </row>
    <row r="244" spans="1:33" x14ac:dyDescent="0.3">
      <c r="A244" t="s">
        <v>505</v>
      </c>
      <c r="B244" s="1" t="s">
        <v>506</v>
      </c>
      <c r="C244" t="s">
        <v>78</v>
      </c>
      <c r="D244" s="1" t="s">
        <v>79</v>
      </c>
      <c r="E244">
        <v>9419773500</v>
      </c>
      <c r="F244">
        <v>10750720400</v>
      </c>
      <c r="G244">
        <v>12790595200</v>
      </c>
      <c r="H244">
        <v>14996062000</v>
      </c>
      <c r="I244">
        <v>17192514600</v>
      </c>
      <c r="J244">
        <v>19075416200</v>
      </c>
      <c r="K244">
        <v>21775566600</v>
      </c>
      <c r="L244">
        <v>25318496700</v>
      </c>
      <c r="M244">
        <v>28136274400</v>
      </c>
      <c r="N244">
        <v>30931981200</v>
      </c>
      <c r="O244">
        <v>35144971100</v>
      </c>
      <c r="P244">
        <v>39643167200</v>
      </c>
      <c r="Q244">
        <v>48307804700</v>
      </c>
      <c r="R244">
        <v>53416067000</v>
      </c>
      <c r="S244">
        <v>59732832000</v>
      </c>
      <c r="T244">
        <v>70783141400</v>
      </c>
      <c r="U244">
        <v>82938207000</v>
      </c>
      <c r="V244">
        <v>95186684100</v>
      </c>
      <c r="W244">
        <v>102910374300</v>
      </c>
      <c r="X244">
        <v>116388798800</v>
      </c>
      <c r="Y244">
        <v>128534632200</v>
      </c>
      <c r="Z244">
        <v>145072779900</v>
      </c>
      <c r="AA244">
        <v>168753306256.064</v>
      </c>
      <c r="AB244">
        <v>176672953234.965</v>
      </c>
      <c r="AC244">
        <v>192647758509.892</v>
      </c>
      <c r="AD244">
        <v>182107395426.23499</v>
      </c>
      <c r="AE244">
        <v>204664401597.13098</v>
      </c>
      <c r="AF244" t="s">
        <v>34</v>
      </c>
      <c r="AG244">
        <f t="shared" si="16"/>
        <v>77529358352.751373</v>
      </c>
    </row>
    <row r="245" spans="1:33" x14ac:dyDescent="0.3">
      <c r="A245" t="s">
        <v>505</v>
      </c>
      <c r="B245" s="1" t="s">
        <v>506</v>
      </c>
      <c r="C245" t="s">
        <v>80</v>
      </c>
      <c r="D245" s="1" t="s">
        <v>81</v>
      </c>
      <c r="E245">
        <v>32235072900</v>
      </c>
      <c r="F245">
        <v>37536646800</v>
      </c>
      <c r="G245">
        <v>41643866100</v>
      </c>
      <c r="H245">
        <v>46822325700</v>
      </c>
      <c r="I245">
        <v>48156174800</v>
      </c>
      <c r="J245">
        <v>51928492100</v>
      </c>
      <c r="K245">
        <v>53790326600</v>
      </c>
      <c r="L245">
        <v>56682328500</v>
      </c>
      <c r="M245">
        <v>61904448600</v>
      </c>
      <c r="N245">
        <v>69626113100</v>
      </c>
      <c r="O245">
        <v>77023817400</v>
      </c>
      <c r="P245">
        <v>91747795300</v>
      </c>
      <c r="Q245">
        <v>103009182400</v>
      </c>
      <c r="R245">
        <v>120693764200</v>
      </c>
      <c r="S245">
        <v>121726745200</v>
      </c>
      <c r="T245">
        <v>137875568000</v>
      </c>
      <c r="U245">
        <v>166231562900</v>
      </c>
      <c r="V245">
        <v>187153877600</v>
      </c>
      <c r="W245">
        <v>211856031700</v>
      </c>
      <c r="X245">
        <v>228003659200</v>
      </c>
      <c r="Y245">
        <v>228031369900</v>
      </c>
      <c r="Z245">
        <v>234533182000</v>
      </c>
      <c r="AA245">
        <v>259184717400</v>
      </c>
      <c r="AB245">
        <v>278387647200</v>
      </c>
      <c r="AC245">
        <v>282586680900</v>
      </c>
      <c r="AD245">
        <v>253112220700</v>
      </c>
      <c r="AE245">
        <v>279206231813.68701</v>
      </c>
      <c r="AF245">
        <v>304097234686.70801</v>
      </c>
      <c r="AG245">
        <f t="shared" si="16"/>
        <v>145170967275.0141</v>
      </c>
    </row>
    <row r="246" spans="1:33" x14ac:dyDescent="0.3">
      <c r="A246" t="s">
        <v>505</v>
      </c>
      <c r="B246" s="1" t="s">
        <v>506</v>
      </c>
      <c r="C246" t="s">
        <v>82</v>
      </c>
      <c r="D246" s="1" t="s">
        <v>83</v>
      </c>
      <c r="E246">
        <v>2674985700</v>
      </c>
      <c r="F246">
        <v>4192441000</v>
      </c>
      <c r="G246">
        <v>6367297000</v>
      </c>
      <c r="H246">
        <v>7244156000</v>
      </c>
      <c r="I246">
        <v>8603006000</v>
      </c>
      <c r="J246">
        <v>11819602100</v>
      </c>
      <c r="K246">
        <v>12678173200</v>
      </c>
      <c r="L246">
        <v>13982386800</v>
      </c>
      <c r="M246">
        <v>14728006000</v>
      </c>
      <c r="N246">
        <v>15998147500</v>
      </c>
      <c r="O246">
        <v>17650338700</v>
      </c>
      <c r="P246">
        <v>20057214800</v>
      </c>
      <c r="Q246">
        <v>22547858600</v>
      </c>
      <c r="R246">
        <v>25519329600</v>
      </c>
      <c r="S246">
        <v>24798520400</v>
      </c>
      <c r="T246">
        <v>25364952600</v>
      </c>
      <c r="U246">
        <v>26231262000</v>
      </c>
      <c r="V246">
        <v>26222709800</v>
      </c>
      <c r="W246">
        <v>26778754000</v>
      </c>
      <c r="X246">
        <v>27358709700</v>
      </c>
      <c r="Y246">
        <v>28928938000</v>
      </c>
      <c r="Z246">
        <v>30265105000</v>
      </c>
      <c r="AA246">
        <v>31802727000</v>
      </c>
      <c r="AB246">
        <v>33941769999.999996</v>
      </c>
      <c r="AC246">
        <v>35784879000</v>
      </c>
      <c r="AD246">
        <v>34727498000</v>
      </c>
      <c r="AE246">
        <v>39107068000</v>
      </c>
      <c r="AF246">
        <v>45504971000</v>
      </c>
      <c r="AG246">
        <f t="shared" si="16"/>
        <v>22174314553.57143</v>
      </c>
    </row>
    <row r="247" spans="1:33" x14ac:dyDescent="0.3">
      <c r="A247" t="s">
        <v>505</v>
      </c>
      <c r="B247" s="1" t="s">
        <v>506</v>
      </c>
      <c r="C247" t="s">
        <v>84</v>
      </c>
      <c r="D247" s="1" t="s">
        <v>85</v>
      </c>
      <c r="E247">
        <v>13114200000</v>
      </c>
      <c r="F247">
        <v>16114900000</v>
      </c>
      <c r="G247">
        <v>18327800000</v>
      </c>
      <c r="H247">
        <v>20244000000</v>
      </c>
      <c r="I247">
        <v>25361400000</v>
      </c>
      <c r="J247">
        <v>29530900000</v>
      </c>
      <c r="K247">
        <v>32065900000</v>
      </c>
      <c r="L247">
        <v>34416000000</v>
      </c>
      <c r="M247">
        <v>37181580600</v>
      </c>
      <c r="N247">
        <v>42036500200</v>
      </c>
      <c r="O247">
        <v>50752072000</v>
      </c>
      <c r="P247">
        <v>57831669700</v>
      </c>
      <c r="Q247">
        <v>64870361100</v>
      </c>
      <c r="R247">
        <v>73257846600</v>
      </c>
      <c r="S247">
        <v>72399012700</v>
      </c>
      <c r="T247">
        <v>85852896700</v>
      </c>
      <c r="U247">
        <v>103330101800</v>
      </c>
      <c r="V247">
        <v>106260330200</v>
      </c>
      <c r="W247">
        <v>119867022300</v>
      </c>
      <c r="X247">
        <v>138860798400</v>
      </c>
      <c r="Y247">
        <v>137052846800</v>
      </c>
      <c r="Z247">
        <v>164418211000</v>
      </c>
      <c r="AA247">
        <v>166646763500</v>
      </c>
      <c r="AB247">
        <v>173725394700</v>
      </c>
      <c r="AC247">
        <v>179901643500</v>
      </c>
      <c r="AD247">
        <v>171388715300</v>
      </c>
      <c r="AE247">
        <v>207742694600</v>
      </c>
      <c r="AF247">
        <v>251773797058.95203</v>
      </c>
      <c r="AG247">
        <f t="shared" si="16"/>
        <v>92654477098.534012</v>
      </c>
    </row>
    <row r="248" spans="1:33" x14ac:dyDescent="0.3">
      <c r="A248" t="s">
        <v>505</v>
      </c>
      <c r="B248" s="1" t="s">
        <v>506</v>
      </c>
      <c r="C248" t="s">
        <v>86</v>
      </c>
      <c r="D248" s="1" t="s">
        <v>87</v>
      </c>
      <c r="E248">
        <v>705991552900</v>
      </c>
      <c r="F248">
        <v>854763607800</v>
      </c>
      <c r="G248">
        <v>952089196100</v>
      </c>
      <c r="H248">
        <v>1002351019200</v>
      </c>
      <c r="I248">
        <v>1087710456100.0001</v>
      </c>
      <c r="J248">
        <v>1199092070900</v>
      </c>
      <c r="K248">
        <v>1315755467800</v>
      </c>
      <c r="L248">
        <v>1488787255200</v>
      </c>
      <c r="M248">
        <v>1717950396400</v>
      </c>
      <c r="N248">
        <v>1957751213000</v>
      </c>
      <c r="O248">
        <v>2170584503399.9998</v>
      </c>
      <c r="P248">
        <v>2409449922100</v>
      </c>
      <c r="Q248">
        <v>2720262937800</v>
      </c>
      <c r="R248">
        <v>3109803089000</v>
      </c>
      <c r="S248">
        <v>3333039355400</v>
      </c>
      <c r="T248">
        <v>3885847000000</v>
      </c>
      <c r="U248">
        <v>4376382000000</v>
      </c>
      <c r="V248">
        <v>4814760000000</v>
      </c>
      <c r="W248">
        <v>5331619000000</v>
      </c>
      <c r="X248">
        <v>5778953000000</v>
      </c>
      <c r="Y248">
        <v>5995787000000</v>
      </c>
      <c r="Z248">
        <v>6269328000000</v>
      </c>
      <c r="AA248">
        <v>6585479000000</v>
      </c>
      <c r="AB248">
        <v>7004141000000</v>
      </c>
      <c r="AC248">
        <v>7389131000000</v>
      </c>
      <c r="AD248">
        <v>7609597000000</v>
      </c>
      <c r="AE248">
        <v>8898727000000</v>
      </c>
      <c r="AF248">
        <v>9915317000000</v>
      </c>
      <c r="AG248">
        <f t="shared" si="16"/>
        <v>3924301787253.5713</v>
      </c>
    </row>
    <row r="249" spans="1:33" x14ac:dyDescent="0.3">
      <c r="A249" t="s">
        <v>505</v>
      </c>
      <c r="B249" s="1" t="s">
        <v>506</v>
      </c>
      <c r="C249" t="s">
        <v>88</v>
      </c>
      <c r="D249" s="1" t="s">
        <v>89</v>
      </c>
      <c r="E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  <c r="AA249" t="s">
        <v>34</v>
      </c>
      <c r="AB249" t="s">
        <v>34</v>
      </c>
      <c r="AC249" t="s">
        <v>34</v>
      </c>
      <c r="AD249" t="s">
        <v>34</v>
      </c>
      <c r="AE249" t="s">
        <v>34</v>
      </c>
      <c r="AF249" t="s">
        <v>34</v>
      </c>
      <c r="AG249" t="str">
        <f t="shared" si="16"/>
        <v>NA</v>
      </c>
    </row>
    <row r="250" spans="1:33" x14ac:dyDescent="0.3">
      <c r="A250" t="s">
        <v>505</v>
      </c>
      <c r="B250" s="1" t="s">
        <v>506</v>
      </c>
      <c r="C250" t="s">
        <v>90</v>
      </c>
      <c r="D250" s="1" t="s">
        <v>91</v>
      </c>
      <c r="E250">
        <v>6710000000</v>
      </c>
      <c r="F250">
        <v>7213000000</v>
      </c>
      <c r="G250">
        <v>7717000000</v>
      </c>
      <c r="H250">
        <v>6780000000</v>
      </c>
      <c r="I250">
        <v>7797000000</v>
      </c>
      <c r="J250">
        <v>10345988300</v>
      </c>
      <c r="K250">
        <v>10035474000</v>
      </c>
      <c r="L250">
        <v>10463065100</v>
      </c>
      <c r="M250">
        <v>11424185700</v>
      </c>
      <c r="N250">
        <v>13305817600</v>
      </c>
      <c r="O250">
        <v>15864066900</v>
      </c>
      <c r="P250">
        <v>18225800000</v>
      </c>
      <c r="Q250">
        <v>18458500000</v>
      </c>
      <c r="R250">
        <v>20397900000</v>
      </c>
      <c r="S250">
        <v>15611300000</v>
      </c>
      <c r="T250">
        <v>18690000000</v>
      </c>
      <c r="U250">
        <v>23303000000</v>
      </c>
      <c r="V250">
        <v>23802306200</v>
      </c>
      <c r="W250">
        <v>22639000000</v>
      </c>
      <c r="X250">
        <v>21663600000</v>
      </c>
      <c r="Y250">
        <v>17778000000</v>
      </c>
      <c r="Z250">
        <v>15748000000</v>
      </c>
      <c r="AA250">
        <v>16747700000</v>
      </c>
      <c r="AB250">
        <v>18300700000</v>
      </c>
      <c r="AC250">
        <v>18374986800</v>
      </c>
      <c r="AD250">
        <v>16564437800</v>
      </c>
      <c r="AE250">
        <v>18822028200</v>
      </c>
      <c r="AF250">
        <v>23003104800</v>
      </c>
      <c r="AG250">
        <f t="shared" si="16"/>
        <v>15563784335.714285</v>
      </c>
    </row>
    <row r="251" spans="1:33" x14ac:dyDescent="0.3">
      <c r="A251" t="s">
        <v>505</v>
      </c>
      <c r="B251" s="1" t="s">
        <v>506</v>
      </c>
      <c r="C251" t="s">
        <v>92</v>
      </c>
      <c r="D251" s="1" t="s">
        <v>93</v>
      </c>
      <c r="E251">
        <v>1275677000</v>
      </c>
      <c r="F251">
        <v>2187139000</v>
      </c>
      <c r="G251">
        <v>19032357000</v>
      </c>
      <c r="H251">
        <v>26460038000</v>
      </c>
      <c r="I251">
        <v>25042936000</v>
      </c>
      <c r="J251">
        <v>28124880000</v>
      </c>
      <c r="K251">
        <v>30986688000</v>
      </c>
      <c r="L251">
        <v>34068712000</v>
      </c>
      <c r="M251">
        <v>36637911000</v>
      </c>
      <c r="N251">
        <v>41201297000</v>
      </c>
      <c r="O251">
        <v>47017240000</v>
      </c>
      <c r="P251">
        <v>53608436000</v>
      </c>
      <c r="Q251">
        <v>63494488000</v>
      </c>
      <c r="R251">
        <v>72847049000</v>
      </c>
      <c r="S251">
        <v>73181465000</v>
      </c>
      <c r="T251">
        <v>74887599000</v>
      </c>
      <c r="U251">
        <v>81126316000</v>
      </c>
      <c r="V251">
        <v>82642828000</v>
      </c>
      <c r="W251">
        <v>82253423000</v>
      </c>
      <c r="X251">
        <v>84147688000</v>
      </c>
      <c r="Y251">
        <v>89571386000</v>
      </c>
      <c r="Z251">
        <v>95349439000</v>
      </c>
      <c r="AA251">
        <v>102682967000</v>
      </c>
      <c r="AB251">
        <v>109915576000</v>
      </c>
      <c r="AC251">
        <v>120342013000</v>
      </c>
      <c r="AD251">
        <v>120492425000</v>
      </c>
      <c r="AE251">
        <v>138979417000</v>
      </c>
      <c r="AF251">
        <v>167808976000</v>
      </c>
      <c r="AG251">
        <f t="shared" si="16"/>
        <v>68048798785.714287</v>
      </c>
    </row>
    <row r="252" spans="1:33" x14ac:dyDescent="0.3">
      <c r="A252" t="s">
        <v>505</v>
      </c>
      <c r="B252" s="1" t="s">
        <v>506</v>
      </c>
      <c r="C252" t="s">
        <v>94</v>
      </c>
      <c r="D252" s="1" t="s">
        <v>95</v>
      </c>
      <c r="E252">
        <v>1187732652000</v>
      </c>
      <c r="F252">
        <v>1323156242400</v>
      </c>
      <c r="G252">
        <v>1428629487600</v>
      </c>
      <c r="H252">
        <v>1654757130200</v>
      </c>
      <c r="I252">
        <v>2086187976300</v>
      </c>
      <c r="J252">
        <v>2108160114900</v>
      </c>
      <c r="K252">
        <v>2336620419500</v>
      </c>
      <c r="L252">
        <v>2512872151500</v>
      </c>
      <c r="M252">
        <v>2749159243200</v>
      </c>
      <c r="N252">
        <v>2874882704500</v>
      </c>
      <c r="O252">
        <v>3240716112600</v>
      </c>
      <c r="P252">
        <v>3420539891800</v>
      </c>
      <c r="Q252">
        <v>3649928073800</v>
      </c>
      <c r="R252">
        <v>4215340616100</v>
      </c>
      <c r="S252">
        <v>4444600582300</v>
      </c>
      <c r="T252">
        <v>5002181838700</v>
      </c>
      <c r="U252">
        <v>5692822881100</v>
      </c>
      <c r="V252">
        <v>6413105899900</v>
      </c>
      <c r="W252">
        <v>6640134954900</v>
      </c>
      <c r="X252">
        <v>6884466390200</v>
      </c>
      <c r="Y252">
        <v>6995311000000</v>
      </c>
      <c r="Z252">
        <v>7605123000000</v>
      </c>
      <c r="AA252">
        <v>8191299000000</v>
      </c>
      <c r="AB252">
        <v>8826081000000</v>
      </c>
      <c r="AC252">
        <v>9393802000000</v>
      </c>
      <c r="AD252">
        <v>10202268000000</v>
      </c>
      <c r="AE252">
        <v>10892462432700</v>
      </c>
      <c r="AF252">
        <v>11739197991100</v>
      </c>
      <c r="AG252">
        <f t="shared" si="16"/>
        <v>5132554992403.5713</v>
      </c>
    </row>
    <row r="253" spans="1:33" x14ac:dyDescent="0.3">
      <c r="A253" t="s">
        <v>505</v>
      </c>
      <c r="B253" s="1" t="s">
        <v>506</v>
      </c>
      <c r="C253" t="s">
        <v>96</v>
      </c>
      <c r="D253" s="1" t="s">
        <v>97</v>
      </c>
      <c r="E253">
        <v>249864994800</v>
      </c>
      <c r="F253">
        <v>263100000000</v>
      </c>
      <c r="G253">
        <v>342800000000</v>
      </c>
      <c r="H253">
        <v>400200000000</v>
      </c>
      <c r="I253">
        <v>455400000000</v>
      </c>
      <c r="J253">
        <v>627333193100</v>
      </c>
      <c r="K253">
        <v>728046498300</v>
      </c>
      <c r="L253">
        <v>768235261400</v>
      </c>
      <c r="M253">
        <v>849482572100</v>
      </c>
      <c r="N253">
        <v>1007615939900</v>
      </c>
      <c r="O253">
        <v>1208244000000</v>
      </c>
      <c r="P253">
        <v>1309900000000</v>
      </c>
      <c r="Q253">
        <v>1467231000000</v>
      </c>
      <c r="R253">
        <v>1911139000000</v>
      </c>
      <c r="S253">
        <v>2191509000000</v>
      </c>
      <c r="T253">
        <v>2501047000000</v>
      </c>
      <c r="U253">
        <v>2819534000000</v>
      </c>
      <c r="V253">
        <v>3365858000000</v>
      </c>
      <c r="W253">
        <v>3812471000000</v>
      </c>
      <c r="X253">
        <v>4184999000000</v>
      </c>
      <c r="Y253">
        <v>4879178000000</v>
      </c>
      <c r="Z253">
        <v>4897101000000</v>
      </c>
      <c r="AA253">
        <v>5485068000000</v>
      </c>
      <c r="AB253">
        <v>5414485000000</v>
      </c>
      <c r="AC253">
        <v>5559586343900</v>
      </c>
      <c r="AD253">
        <v>5910572984093.2998</v>
      </c>
      <c r="AE253">
        <v>6612792676127.7295</v>
      </c>
      <c r="AF253">
        <v>7969716254713.1494</v>
      </c>
      <c r="AG253">
        <f t="shared" si="16"/>
        <v>2756875382801.2202</v>
      </c>
    </row>
    <row r="254" spans="1:33" x14ac:dyDescent="0.3">
      <c r="A254" t="s">
        <v>505</v>
      </c>
      <c r="B254" s="1" t="s">
        <v>506</v>
      </c>
      <c r="C254" t="s">
        <v>98</v>
      </c>
      <c r="D254" s="1" t="s">
        <v>99</v>
      </c>
      <c r="E254">
        <v>37438861600</v>
      </c>
      <c r="F254">
        <v>41459204300</v>
      </c>
      <c r="G254">
        <v>45684006400</v>
      </c>
      <c r="H254">
        <v>51229696800</v>
      </c>
      <c r="I254">
        <v>61316313600</v>
      </c>
      <c r="J254">
        <v>64538549100</v>
      </c>
      <c r="K254">
        <v>69380256100</v>
      </c>
      <c r="L254">
        <v>72758110600</v>
      </c>
      <c r="M254">
        <v>79526708100</v>
      </c>
      <c r="N254">
        <v>82086506800</v>
      </c>
      <c r="O254">
        <v>86185500000</v>
      </c>
      <c r="P254">
        <v>97384400000</v>
      </c>
      <c r="Q254">
        <v>132984301000</v>
      </c>
      <c r="R254">
        <v>147629989000</v>
      </c>
      <c r="S254">
        <v>148252372000</v>
      </c>
      <c r="T254">
        <v>151962910000</v>
      </c>
      <c r="U254">
        <v>162265346000</v>
      </c>
      <c r="V254">
        <v>165135169000</v>
      </c>
      <c r="W254">
        <v>168546702000</v>
      </c>
      <c r="X254">
        <v>169550647000</v>
      </c>
      <c r="Y254">
        <v>173910814000</v>
      </c>
      <c r="Z254">
        <v>184402075000</v>
      </c>
      <c r="AA254">
        <v>195295176000</v>
      </c>
      <c r="AB254">
        <v>205986237000</v>
      </c>
      <c r="AC254">
        <v>221828589000</v>
      </c>
      <c r="AD254">
        <v>176319797000</v>
      </c>
      <c r="AE254">
        <v>186237291900</v>
      </c>
      <c r="AF254">
        <v>235002542500</v>
      </c>
      <c r="AG254">
        <f t="shared" si="16"/>
        <v>129082073992.85715</v>
      </c>
    </row>
    <row r="255" spans="1:33" x14ac:dyDescent="0.3">
      <c r="A255" t="s">
        <v>505</v>
      </c>
      <c r="B255" s="1" t="s">
        <v>506</v>
      </c>
      <c r="C255" t="s">
        <v>100</v>
      </c>
      <c r="D255" s="1" t="s">
        <v>101</v>
      </c>
      <c r="E255">
        <v>8433706912200</v>
      </c>
      <c r="F255">
        <v>9201920588400</v>
      </c>
      <c r="G255">
        <v>10145328867000</v>
      </c>
      <c r="H255">
        <v>11720318188000</v>
      </c>
      <c r="I255">
        <v>13376073141000</v>
      </c>
      <c r="J255">
        <v>14082638235000</v>
      </c>
      <c r="K255">
        <v>15633218029000</v>
      </c>
      <c r="L255">
        <v>16780539566000</v>
      </c>
      <c r="M255">
        <v>18535164488000</v>
      </c>
      <c r="N255">
        <v>21438339674000</v>
      </c>
      <c r="O255">
        <v>25754291417000</v>
      </c>
      <c r="P255">
        <v>29849484833000</v>
      </c>
      <c r="Q255">
        <v>35042180737000.004</v>
      </c>
      <c r="R255">
        <v>41968385398000</v>
      </c>
      <c r="S255">
        <v>43056731747000</v>
      </c>
      <c r="T255">
        <v>47047985226000</v>
      </c>
      <c r="U255">
        <v>52068692721000</v>
      </c>
      <c r="V255">
        <v>56681569480000</v>
      </c>
      <c r="W255">
        <v>61326928346000</v>
      </c>
      <c r="X255">
        <v>67436791275999.992</v>
      </c>
      <c r="Y255">
        <v>73422701561000</v>
      </c>
      <c r="Z255">
        <v>81241866019000</v>
      </c>
      <c r="AA255">
        <v>89830524848000</v>
      </c>
      <c r="AB255">
        <v>99544274792000</v>
      </c>
      <c r="AC255">
        <v>110014048240000</v>
      </c>
      <c r="AD255">
        <v>105891753040000</v>
      </c>
      <c r="AE255">
        <v>110505915920000</v>
      </c>
      <c r="AF255">
        <v>121029927068200</v>
      </c>
      <c r="AG255">
        <f t="shared" si="16"/>
        <v>49680760727064.289</v>
      </c>
    </row>
    <row r="256" spans="1:33" x14ac:dyDescent="0.3">
      <c r="A256" t="s">
        <v>505</v>
      </c>
      <c r="B256" s="1" t="s">
        <v>506</v>
      </c>
      <c r="C256" t="s">
        <v>102</v>
      </c>
      <c r="D256" s="1" t="s">
        <v>103</v>
      </c>
      <c r="E256">
        <v>5423134077700</v>
      </c>
      <c r="F256">
        <v>5674926754200</v>
      </c>
      <c r="G256">
        <v>6297476427600</v>
      </c>
      <c r="H256">
        <v>6665360691300</v>
      </c>
      <c r="I256">
        <v>7118457948300</v>
      </c>
      <c r="J256">
        <v>7504468904900</v>
      </c>
      <c r="K256">
        <v>8022307400000</v>
      </c>
      <c r="L256">
        <v>8614011492400</v>
      </c>
      <c r="M256">
        <v>9261144581200</v>
      </c>
      <c r="N256">
        <v>9927778712300</v>
      </c>
      <c r="O256">
        <v>10286732737000</v>
      </c>
      <c r="P256">
        <v>10924187810000</v>
      </c>
      <c r="Q256">
        <v>11452867470000</v>
      </c>
      <c r="R256">
        <v>12360954483000</v>
      </c>
      <c r="S256">
        <v>13136692225000</v>
      </c>
      <c r="T256">
        <v>13610554063000</v>
      </c>
      <c r="U256">
        <v>14434774484000</v>
      </c>
      <c r="V256">
        <v>15395858195000</v>
      </c>
      <c r="W256">
        <v>16658553319000</v>
      </c>
      <c r="X256">
        <v>17966123162000</v>
      </c>
      <c r="Y256">
        <v>19043066557000</v>
      </c>
      <c r="Z256">
        <v>20038566000000</v>
      </c>
      <c r="AA256">
        <v>20960865000000</v>
      </c>
      <c r="AB256">
        <v>22203329000000</v>
      </c>
      <c r="AC256">
        <v>23243662000000</v>
      </c>
      <c r="AD256">
        <v>23468507000000</v>
      </c>
      <c r="AE256">
        <v>24950288000000</v>
      </c>
      <c r="AF256">
        <v>27223411000000</v>
      </c>
      <c r="AG256">
        <f t="shared" si="16"/>
        <v>13995287839103.572</v>
      </c>
    </row>
    <row r="257" spans="1:33" x14ac:dyDescent="0.3">
      <c r="A257" t="s">
        <v>505</v>
      </c>
      <c r="B257" s="1" t="s">
        <v>506</v>
      </c>
      <c r="C257" t="s">
        <v>104</v>
      </c>
      <c r="D257" s="1" t="s">
        <v>105</v>
      </c>
      <c r="E257">
        <v>831621000000</v>
      </c>
      <c r="F257">
        <v>859834000000</v>
      </c>
      <c r="G257">
        <v>906895000000</v>
      </c>
      <c r="H257">
        <v>940539000000</v>
      </c>
      <c r="I257">
        <v>1007917000000</v>
      </c>
      <c r="J257">
        <v>1106063000000</v>
      </c>
      <c r="K257">
        <v>1144535000000</v>
      </c>
      <c r="L257">
        <v>1193687000000</v>
      </c>
      <c r="M257">
        <v>1254742000000</v>
      </c>
      <c r="N257">
        <v>1335724000000</v>
      </c>
      <c r="O257">
        <v>1421573000000</v>
      </c>
      <c r="P257">
        <v>1496574000000</v>
      </c>
      <c r="Q257">
        <v>1577660000000</v>
      </c>
      <c r="R257">
        <v>1657040000000</v>
      </c>
      <c r="S257">
        <v>1571334000000</v>
      </c>
      <c r="T257">
        <v>1666046000000</v>
      </c>
      <c r="U257">
        <v>1774063000000</v>
      </c>
      <c r="V257">
        <v>1827205000000</v>
      </c>
      <c r="W257">
        <v>1902249000000</v>
      </c>
      <c r="X257">
        <v>1994897000000</v>
      </c>
      <c r="Y257">
        <v>1990442000000</v>
      </c>
      <c r="Z257">
        <v>2025533000000</v>
      </c>
      <c r="AA257">
        <v>2140641000000</v>
      </c>
      <c r="AB257">
        <v>2235672000000</v>
      </c>
      <c r="AC257">
        <v>2313563000000</v>
      </c>
      <c r="AD257">
        <v>2220526000000</v>
      </c>
      <c r="AE257">
        <v>2517123000000</v>
      </c>
      <c r="AF257">
        <v>2813289000000</v>
      </c>
      <c r="AG257">
        <f t="shared" si="16"/>
        <v>1633106678571.4285</v>
      </c>
    </row>
    <row r="258" spans="1:33" x14ac:dyDescent="0.3">
      <c r="A258" t="s">
        <v>505</v>
      </c>
      <c r="B258" s="1" t="s">
        <v>506</v>
      </c>
      <c r="C258" t="s">
        <v>106</v>
      </c>
      <c r="D258" s="1" t="s">
        <v>107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>
        <v>3500226200</v>
      </c>
      <c r="Q258">
        <v>3721883500</v>
      </c>
      <c r="R258">
        <v>3821608900</v>
      </c>
      <c r="S258">
        <v>3568081200</v>
      </c>
      <c r="T258">
        <v>3464020400</v>
      </c>
      <c r="U258">
        <v>3488380300</v>
      </c>
      <c r="V258">
        <v>3575822800</v>
      </c>
      <c r="W258">
        <v>3671482000</v>
      </c>
      <c r="X258">
        <v>3802362800</v>
      </c>
      <c r="Y258">
        <v>3923457000</v>
      </c>
      <c r="Z258">
        <v>4091085500</v>
      </c>
      <c r="AA258">
        <v>4305217200</v>
      </c>
      <c r="AB258">
        <v>4608463600</v>
      </c>
      <c r="AC258">
        <v>4951560700</v>
      </c>
      <c r="AD258">
        <v>4706002000</v>
      </c>
      <c r="AE258">
        <v>5023624500</v>
      </c>
      <c r="AF258">
        <v>5704000000</v>
      </c>
      <c r="AG258">
        <f t="shared" si="16"/>
        <v>4113369329.4117646</v>
      </c>
    </row>
    <row r="259" spans="1:33" x14ac:dyDescent="0.3">
      <c r="A259" t="s">
        <v>505</v>
      </c>
      <c r="B259" s="1" t="s">
        <v>506</v>
      </c>
      <c r="C259" t="s">
        <v>108</v>
      </c>
      <c r="D259" s="1" t="s">
        <v>109</v>
      </c>
      <c r="E259">
        <v>556745000000</v>
      </c>
      <c r="F259">
        <v>515538000000</v>
      </c>
      <c r="G259">
        <v>547331000000</v>
      </c>
      <c r="H259">
        <v>570683000000</v>
      </c>
      <c r="I259">
        <v>615377403800</v>
      </c>
      <c r="J259">
        <v>651102539300</v>
      </c>
      <c r="K259">
        <v>683069686500</v>
      </c>
      <c r="L259">
        <v>690985647100</v>
      </c>
      <c r="M259">
        <v>662425831200</v>
      </c>
      <c r="N259">
        <v>670964091200</v>
      </c>
      <c r="O259">
        <v>705416000000</v>
      </c>
      <c r="P259">
        <v>763713000000</v>
      </c>
      <c r="Q259">
        <v>813587000000</v>
      </c>
      <c r="R259">
        <v>889060000000</v>
      </c>
      <c r="S259">
        <v>972276000000</v>
      </c>
      <c r="T259">
        <v>1060142000000</v>
      </c>
      <c r="U259">
        <v>1148896000000</v>
      </c>
      <c r="V259">
        <v>1281561000000</v>
      </c>
      <c r="W259">
        <v>835453000000</v>
      </c>
      <c r="X259">
        <v>935578000000</v>
      </c>
      <c r="Y259">
        <v>1002592000000</v>
      </c>
      <c r="Z259">
        <v>1081516000000</v>
      </c>
      <c r="AA259">
        <v>1203324000000</v>
      </c>
      <c r="AB259">
        <v>1233635000000</v>
      </c>
      <c r="AC259">
        <v>1301484925000</v>
      </c>
      <c r="AD259">
        <v>1339227987800</v>
      </c>
      <c r="AE259">
        <v>1395475563300</v>
      </c>
      <c r="AF259">
        <v>1486181474900</v>
      </c>
      <c r="AG259">
        <f t="shared" si="16"/>
        <v>914762183932.14282</v>
      </c>
    </row>
    <row r="260" spans="1:33" x14ac:dyDescent="0.3">
      <c r="A260" t="s">
        <v>505</v>
      </c>
      <c r="B260" s="1" t="s">
        <v>506</v>
      </c>
      <c r="C260" t="s">
        <v>110</v>
      </c>
      <c r="D260" s="1" t="s">
        <v>111</v>
      </c>
      <c r="E260">
        <v>721728639500</v>
      </c>
      <c r="F260">
        <v>822241422600</v>
      </c>
      <c r="G260">
        <v>901587995300</v>
      </c>
      <c r="H260">
        <v>1029344630700</v>
      </c>
      <c r="I260">
        <v>944897144000</v>
      </c>
      <c r="J260">
        <v>986128585300</v>
      </c>
      <c r="K260">
        <v>1253017742400</v>
      </c>
      <c r="L260">
        <v>1385349274600</v>
      </c>
      <c r="M260">
        <v>1590551400000</v>
      </c>
      <c r="N260">
        <v>2332340000000</v>
      </c>
      <c r="O260">
        <v>3505903000000</v>
      </c>
      <c r="P260">
        <v>3880944000000</v>
      </c>
      <c r="Q260">
        <v>4140247589300</v>
      </c>
      <c r="R260">
        <v>4635650285500</v>
      </c>
      <c r="S260">
        <v>4369368423300</v>
      </c>
      <c r="T260">
        <v>5278516425000</v>
      </c>
      <c r="U260">
        <v>5736183821300</v>
      </c>
      <c r="V260">
        <v>6314235440000</v>
      </c>
      <c r="W260">
        <v>6397746000000</v>
      </c>
      <c r="X260">
        <v>6883356000000</v>
      </c>
      <c r="Y260">
        <v>6474000000000</v>
      </c>
      <c r="Z260">
        <v>5984000000000</v>
      </c>
      <c r="AA260">
        <v>5806796500000</v>
      </c>
      <c r="AB260">
        <v>6242756000000</v>
      </c>
      <c r="AC260">
        <v>6629554456200</v>
      </c>
      <c r="AD260">
        <v>6167632000000</v>
      </c>
      <c r="AE260">
        <v>6532361000000</v>
      </c>
      <c r="AF260">
        <v>7924336705800</v>
      </c>
      <c r="AG260">
        <f t="shared" si="16"/>
        <v>4102527660028.5713</v>
      </c>
    </row>
    <row r="261" spans="1:33" x14ac:dyDescent="0.3">
      <c r="A261" t="s">
        <v>505</v>
      </c>
      <c r="B261" s="1" t="s">
        <v>506</v>
      </c>
      <c r="C261" t="s">
        <v>112</v>
      </c>
      <c r="D261" s="1" t="s">
        <v>113</v>
      </c>
      <c r="E261" t="s">
        <v>34</v>
      </c>
      <c r="F261" t="s">
        <v>34</v>
      </c>
      <c r="G261" t="s">
        <v>34</v>
      </c>
      <c r="H261">
        <v>3590000000</v>
      </c>
      <c r="I261">
        <v>3871000000</v>
      </c>
      <c r="J261">
        <v>4256000000</v>
      </c>
      <c r="K261">
        <v>4330000000</v>
      </c>
      <c r="L261">
        <v>4446000000</v>
      </c>
      <c r="M261">
        <v>4491000000</v>
      </c>
      <c r="N261">
        <v>4672000000</v>
      </c>
      <c r="O261">
        <v>4855000000</v>
      </c>
      <c r="P261">
        <v>5259000000</v>
      </c>
      <c r="Q261">
        <v>5755000000</v>
      </c>
      <c r="R261" t="s">
        <v>34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  <c r="Z261">
        <v>7044000000</v>
      </c>
      <c r="AA261">
        <v>7405000000</v>
      </c>
      <c r="AB261">
        <v>7812000000</v>
      </c>
      <c r="AC261">
        <v>8133000000</v>
      </c>
      <c r="AD261">
        <v>7653000000</v>
      </c>
      <c r="AE261">
        <v>8533000000</v>
      </c>
      <c r="AF261" t="s">
        <v>34</v>
      </c>
      <c r="AG261">
        <f t="shared" si="16"/>
        <v>5756562500</v>
      </c>
    </row>
    <row r="262" spans="1:33" x14ac:dyDescent="0.3">
      <c r="A262" t="s">
        <v>505</v>
      </c>
      <c r="B262" s="1" t="s">
        <v>506</v>
      </c>
      <c r="C262" t="s">
        <v>114</v>
      </c>
      <c r="D262" s="1" t="s">
        <v>115</v>
      </c>
      <c r="E262">
        <v>29141591313000</v>
      </c>
      <c r="F262">
        <v>32393861842000</v>
      </c>
      <c r="G262">
        <v>35946985040000</v>
      </c>
      <c r="H262">
        <v>37741618688000</v>
      </c>
      <c r="I262">
        <v>38461785405000</v>
      </c>
      <c r="J262">
        <v>42215029917000</v>
      </c>
      <c r="K262">
        <v>45409054801000</v>
      </c>
      <c r="L262">
        <v>48428963170000</v>
      </c>
      <c r="M262">
        <v>52897338900000</v>
      </c>
      <c r="N262">
        <v>60391763165000</v>
      </c>
      <c r="O262">
        <v>68467939844000</v>
      </c>
      <c r="P262">
        <v>81577533476000</v>
      </c>
      <c r="Q262">
        <v>90159479206000</v>
      </c>
      <c r="R262">
        <v>93867121298000</v>
      </c>
      <c r="S262">
        <v>96138477277000</v>
      </c>
      <c r="T262">
        <v>110777866880000</v>
      </c>
      <c r="U262">
        <v>121509298510000</v>
      </c>
      <c r="V262">
        <v>129973394040000</v>
      </c>
      <c r="W262">
        <v>137309192009999.98</v>
      </c>
      <c r="X262">
        <v>147951290040000</v>
      </c>
      <c r="Y262">
        <v>158622902850000</v>
      </c>
      <c r="Z262">
        <v>168764687920000</v>
      </c>
      <c r="AA262">
        <v>179314910110000</v>
      </c>
      <c r="AB262">
        <v>189434867410000</v>
      </c>
      <c r="AC262">
        <v>195752228490000</v>
      </c>
      <c r="AD262">
        <v>201428894220000</v>
      </c>
      <c r="AE262">
        <v>240371473140000</v>
      </c>
      <c r="AF262">
        <v>262593355840000</v>
      </c>
      <c r="AG262">
        <f t="shared" si="16"/>
        <v>110608675171500</v>
      </c>
    </row>
    <row r="263" spans="1:33" x14ac:dyDescent="0.3">
      <c r="A263" t="s">
        <v>505</v>
      </c>
      <c r="B263" s="1" t="s">
        <v>506</v>
      </c>
      <c r="C263" t="s">
        <v>116</v>
      </c>
      <c r="D263" s="1" t="s">
        <v>117</v>
      </c>
      <c r="E263">
        <v>6133989133700</v>
      </c>
      <c r="F263">
        <v>7181362958700</v>
      </c>
      <c r="G263">
        <v>7971504449200</v>
      </c>
      <c r="H263">
        <v>8519550709000.001</v>
      </c>
      <c r="I263">
        <v>9056437577700</v>
      </c>
      <c r="J263">
        <v>10028013925000</v>
      </c>
      <c r="K263">
        <v>11086312305000</v>
      </c>
      <c r="L263">
        <v>12171742475000</v>
      </c>
      <c r="M263">
        <v>13742203492000</v>
      </c>
      <c r="N263">
        <v>16184016091000</v>
      </c>
      <c r="O263">
        <v>18731890312000</v>
      </c>
      <c r="P263">
        <v>21943847482000</v>
      </c>
      <c r="Q263">
        <v>27009232372000</v>
      </c>
      <c r="R263">
        <v>31924461278000</v>
      </c>
      <c r="S263">
        <v>34851774373999.996</v>
      </c>
      <c r="T263">
        <v>41211925580000</v>
      </c>
      <c r="U263">
        <v>48794018053000</v>
      </c>
      <c r="V263">
        <v>53857995347000</v>
      </c>
      <c r="W263">
        <v>59296322955000</v>
      </c>
      <c r="X263">
        <v>64356310454000</v>
      </c>
      <c r="Y263">
        <v>68885821805000.008</v>
      </c>
      <c r="Z263">
        <v>74639505948000</v>
      </c>
      <c r="AA263">
        <v>83203594856000</v>
      </c>
      <c r="AB263">
        <v>91928112907000</v>
      </c>
      <c r="AC263">
        <v>98651520229000</v>
      </c>
      <c r="AD263">
        <v>101356700223100</v>
      </c>
      <c r="AE263">
        <v>114923697861100</v>
      </c>
      <c r="AF263">
        <v>121020724436500</v>
      </c>
      <c r="AG263">
        <f t="shared" si="16"/>
        <v>44952235342464.289</v>
      </c>
    </row>
    <row r="264" spans="1:33" x14ac:dyDescent="0.3">
      <c r="A264" t="s">
        <v>505</v>
      </c>
      <c r="B264" s="1" t="s">
        <v>506</v>
      </c>
      <c r="C264" t="s">
        <v>118</v>
      </c>
      <c r="D264" s="1" t="s">
        <v>119</v>
      </c>
      <c r="E264">
        <v>84439109000000</v>
      </c>
      <c r="F264">
        <v>100711389000000</v>
      </c>
      <c r="G264">
        <v>121707501000000</v>
      </c>
      <c r="H264">
        <v>140483322000000</v>
      </c>
      <c r="I264">
        <v>151565005000000</v>
      </c>
      <c r="J264">
        <v>208531000000000</v>
      </c>
      <c r="K264">
        <v>225851000000000</v>
      </c>
      <c r="L264">
        <v>245323000000000</v>
      </c>
      <c r="M264">
        <v>272345000000000</v>
      </c>
      <c r="N264">
        <v>307762000000000</v>
      </c>
      <c r="O264">
        <v>337958000000000</v>
      </c>
      <c r="P264">
        <v>381604000000000</v>
      </c>
      <c r="Q264">
        <v>428506000000001</v>
      </c>
      <c r="R264">
        <v>476554000000000</v>
      </c>
      <c r="S264">
        <v>501574000000000</v>
      </c>
      <c r="T264">
        <v>544060000000000</v>
      </c>
      <c r="U264">
        <v>619023000000000</v>
      </c>
      <c r="V264">
        <v>666507000000000</v>
      </c>
      <c r="W264">
        <v>714093000000000</v>
      </c>
      <c r="X264">
        <v>762903000000000</v>
      </c>
      <c r="Y264">
        <v>804692000000000</v>
      </c>
      <c r="Z264">
        <v>863782000000001</v>
      </c>
      <c r="AA264">
        <v>920471000000001</v>
      </c>
      <c r="AB264">
        <v>987791000000001</v>
      </c>
      <c r="AC264">
        <v>1060068000000000</v>
      </c>
      <c r="AD264">
        <v>997742000000001</v>
      </c>
      <c r="AE264">
        <v>1192586000000000</v>
      </c>
      <c r="AF264">
        <v>1462522439529690</v>
      </c>
      <c r="AG264">
        <f t="shared" si="16"/>
        <v>556469813054631.94</v>
      </c>
    </row>
    <row r="265" spans="1:33" x14ac:dyDescent="0.3">
      <c r="A265" t="s">
        <v>505</v>
      </c>
      <c r="B265" s="1" t="s">
        <v>506</v>
      </c>
      <c r="C265" t="s">
        <v>120</v>
      </c>
      <c r="D265" s="1" t="s">
        <v>121</v>
      </c>
      <c r="E265">
        <v>149167000000</v>
      </c>
      <c r="F265">
        <v>151950000000</v>
      </c>
      <c r="G265">
        <v>159535000000</v>
      </c>
      <c r="H265">
        <v>163757000000</v>
      </c>
      <c r="I265">
        <v>176608000000</v>
      </c>
      <c r="J265">
        <v>187035000000</v>
      </c>
      <c r="K265">
        <v>207916000000</v>
      </c>
      <c r="L265">
        <v>221623000000</v>
      </c>
      <c r="M265">
        <v>237853000000</v>
      </c>
      <c r="N265">
        <v>250633000000</v>
      </c>
      <c r="O265">
        <v>258559000000</v>
      </c>
      <c r="P265">
        <v>273659000000</v>
      </c>
      <c r="Q265">
        <v>285627000000</v>
      </c>
      <c r="R265">
        <v>306288000000</v>
      </c>
      <c r="S265">
        <v>319332000000</v>
      </c>
      <c r="T265">
        <v>336947000000</v>
      </c>
      <c r="U265">
        <v>361596000000</v>
      </c>
      <c r="V265">
        <v>388984000000</v>
      </c>
      <c r="W265">
        <v>413477000000</v>
      </c>
      <c r="X265">
        <v>425713000000</v>
      </c>
      <c r="Y265">
        <v>428346000000</v>
      </c>
      <c r="Z265">
        <v>450159000000</v>
      </c>
      <c r="AA265">
        <v>469217000000</v>
      </c>
      <c r="AB265">
        <v>495235000000</v>
      </c>
      <c r="AC265">
        <v>525167000000</v>
      </c>
      <c r="AD265">
        <v>527650000000</v>
      </c>
      <c r="AE265">
        <v>539116000000</v>
      </c>
      <c r="AF265">
        <v>580485511300</v>
      </c>
      <c r="AG265">
        <f t="shared" si="16"/>
        <v>331844089689.28571</v>
      </c>
    </row>
    <row r="266" spans="1:33" x14ac:dyDescent="0.3">
      <c r="A266" t="s">
        <v>505</v>
      </c>
      <c r="B266" s="1" t="s">
        <v>506</v>
      </c>
      <c r="C266" t="s">
        <v>122</v>
      </c>
      <c r="D266" s="1" t="s">
        <v>123</v>
      </c>
      <c r="E266">
        <v>396421800</v>
      </c>
      <c r="F266">
        <v>2896399900</v>
      </c>
      <c r="G266">
        <v>7999999900</v>
      </c>
      <c r="H266">
        <v>9989899900</v>
      </c>
      <c r="I266">
        <v>51823853700</v>
      </c>
      <c r="J266">
        <v>1317075195100</v>
      </c>
      <c r="K266">
        <v>2231456730100</v>
      </c>
      <c r="L266">
        <v>3025905347400</v>
      </c>
      <c r="M266">
        <v>3623266448400</v>
      </c>
      <c r="N266">
        <v>4113594421900</v>
      </c>
      <c r="O266">
        <v>5670065000000</v>
      </c>
      <c r="P266">
        <v>6767519545400</v>
      </c>
      <c r="Q266">
        <v>8648878513699.999</v>
      </c>
      <c r="R266">
        <v>11067568514000</v>
      </c>
      <c r="S266">
        <v>15101187902000</v>
      </c>
      <c r="T266">
        <v>19536676926000</v>
      </c>
      <c r="U266">
        <v>23759424583000</v>
      </c>
      <c r="V266">
        <v>26954556933000</v>
      </c>
      <c r="W266">
        <v>30051179396000</v>
      </c>
      <c r="X266">
        <v>33223988462000</v>
      </c>
      <c r="Y266">
        <v>35111225972000.004</v>
      </c>
      <c r="Z266">
        <v>37517392392000</v>
      </c>
      <c r="AA266">
        <v>55676093127000</v>
      </c>
      <c r="AB266">
        <v>77180538689000</v>
      </c>
      <c r="AC266">
        <v>85314148014000</v>
      </c>
      <c r="AD266">
        <v>90181047764600</v>
      </c>
      <c r="AE266">
        <v>110114746435800</v>
      </c>
      <c r="AF266">
        <v>130071525126400</v>
      </c>
      <c r="AG266">
        <f t="shared" si="16"/>
        <v>29154720286214.285</v>
      </c>
    </row>
    <row r="267" spans="1:33" x14ac:dyDescent="0.3">
      <c r="A267" t="s">
        <v>505</v>
      </c>
      <c r="B267" s="1" t="s">
        <v>506</v>
      </c>
      <c r="C267" t="s">
        <v>124</v>
      </c>
      <c r="D267" s="1" t="s">
        <v>125</v>
      </c>
      <c r="E267">
        <v>1056200000000</v>
      </c>
      <c r="F267">
        <v>1299700000000</v>
      </c>
      <c r="G267">
        <v>1355700000000</v>
      </c>
      <c r="H267">
        <v>1150100000000</v>
      </c>
      <c r="I267">
        <v>1449300000000</v>
      </c>
      <c r="J267">
        <v>2292500000000</v>
      </c>
      <c r="K267">
        <v>2048300000000</v>
      </c>
      <c r="L267">
        <v>2104900000000</v>
      </c>
      <c r="M267">
        <v>2031800000000</v>
      </c>
      <c r="N267">
        <v>2455800000000</v>
      </c>
      <c r="O267">
        <v>3506269000000</v>
      </c>
      <c r="P267">
        <v>4217179000000</v>
      </c>
      <c r="Q267">
        <v>4203698000000</v>
      </c>
      <c r="R267">
        <v>5195837000000</v>
      </c>
      <c r="S267">
        <v>4572804000000</v>
      </c>
      <c r="T267">
        <v>6505751000000</v>
      </c>
      <c r="U267">
        <v>7377578000000</v>
      </c>
      <c r="V267">
        <v>9033228000000</v>
      </c>
      <c r="W267">
        <v>8869805400800</v>
      </c>
      <c r="X267">
        <v>8847796130900</v>
      </c>
      <c r="Y267">
        <v>7351595596600</v>
      </c>
      <c r="Z267">
        <v>6477966441600</v>
      </c>
      <c r="AA267">
        <v>6871766653000</v>
      </c>
      <c r="AB267">
        <v>8206110586100</v>
      </c>
      <c r="AC267">
        <v>8189065738200</v>
      </c>
      <c r="AD267">
        <v>6601216383900</v>
      </c>
      <c r="AE267">
        <v>8221300306800</v>
      </c>
      <c r="AF267">
        <v>9866010149600</v>
      </c>
      <c r="AG267">
        <f t="shared" si="16"/>
        <v>5048545620982.1426</v>
      </c>
    </row>
    <row r="268" spans="1:33" x14ac:dyDescent="0.3">
      <c r="A268" t="s">
        <v>505</v>
      </c>
      <c r="B268" s="1" t="s">
        <v>506</v>
      </c>
      <c r="C268" t="s">
        <v>126</v>
      </c>
      <c r="D268" s="1" t="s">
        <v>127</v>
      </c>
      <c r="E268">
        <v>2079862886900</v>
      </c>
      <c r="F268">
        <v>2425725554400</v>
      </c>
      <c r="G268">
        <v>2934156514100</v>
      </c>
      <c r="H268">
        <v>3519453786900</v>
      </c>
      <c r="I268">
        <v>4072330199200</v>
      </c>
      <c r="J268">
        <v>4627050524500</v>
      </c>
      <c r="K268">
        <v>5254084454200</v>
      </c>
      <c r="L268">
        <v>5965391259700</v>
      </c>
      <c r="M268">
        <v>6885560043700</v>
      </c>
      <c r="N268">
        <v>8150137801000</v>
      </c>
      <c r="O268">
        <v>9577022226900</v>
      </c>
      <c r="P268">
        <v>11613319991000</v>
      </c>
      <c r="Q268">
        <v>13889052911000</v>
      </c>
      <c r="R268">
        <v>16208974699000</v>
      </c>
      <c r="S268">
        <v>17626147745000</v>
      </c>
      <c r="T268">
        <v>19802010593000</v>
      </c>
      <c r="U268">
        <v>21623524557000</v>
      </c>
      <c r="V268">
        <v>23752868569000</v>
      </c>
      <c r="W268">
        <v>25462954639000</v>
      </c>
      <c r="X268">
        <v>28001327621000</v>
      </c>
      <c r="Y268">
        <v>30171918864000</v>
      </c>
      <c r="Z268">
        <v>32056288212000</v>
      </c>
      <c r="AA268">
        <v>34343647498000.004</v>
      </c>
      <c r="AB268">
        <v>36014718708000</v>
      </c>
      <c r="AC268">
        <v>37832149784000</v>
      </c>
      <c r="AD268">
        <v>36495246082000</v>
      </c>
      <c r="AE268">
        <v>40326625935924.594</v>
      </c>
      <c r="AF268">
        <v>44810030571349.203</v>
      </c>
      <c r="AG268">
        <f t="shared" si="16"/>
        <v>18768627936849.066</v>
      </c>
    </row>
    <row r="269" spans="1:33" x14ac:dyDescent="0.3">
      <c r="A269" t="s">
        <v>505</v>
      </c>
      <c r="B269" s="1" t="s">
        <v>506</v>
      </c>
      <c r="C269" t="s">
        <v>128</v>
      </c>
      <c r="D269" s="1" t="s">
        <v>129</v>
      </c>
      <c r="E269">
        <v>5490705694700</v>
      </c>
      <c r="F269">
        <v>9244342143400</v>
      </c>
      <c r="G269">
        <v>10533806866000</v>
      </c>
      <c r="H269">
        <v>11574650148000</v>
      </c>
      <c r="I269">
        <v>11618853071000</v>
      </c>
      <c r="J269">
        <v>11773496809000</v>
      </c>
      <c r="K269">
        <v>12311998549000</v>
      </c>
      <c r="L269">
        <v>12524564515000</v>
      </c>
      <c r="M269">
        <v>12323837640000</v>
      </c>
      <c r="N269">
        <v>12398020711000</v>
      </c>
      <c r="O269">
        <v>12673666407000</v>
      </c>
      <c r="P269">
        <v>13207658125000</v>
      </c>
      <c r="Q269">
        <v>13765549263000</v>
      </c>
      <c r="R269">
        <v>15198896568000</v>
      </c>
      <c r="S269">
        <v>15936745398000</v>
      </c>
      <c r="T269">
        <v>17286284724000</v>
      </c>
      <c r="U269">
        <v>17291860798000</v>
      </c>
      <c r="V269">
        <v>18534370818000</v>
      </c>
      <c r="W269">
        <v>21119264228000</v>
      </c>
      <c r="X269">
        <v>24116592041000</v>
      </c>
      <c r="Y269">
        <v>27086367000000</v>
      </c>
      <c r="Z269">
        <v>28686711000000</v>
      </c>
      <c r="AA269">
        <v>30491647000000</v>
      </c>
      <c r="AB269">
        <v>32506103000000</v>
      </c>
      <c r="AC269">
        <v>35095179000000</v>
      </c>
      <c r="AD269">
        <v>36252000000000</v>
      </c>
      <c r="AE269">
        <v>39821444424000</v>
      </c>
      <c r="AF269">
        <v>43674852737000</v>
      </c>
      <c r="AG269">
        <f t="shared" si="16"/>
        <v>19733552452789.285</v>
      </c>
    </row>
    <row r="270" spans="1:33" x14ac:dyDescent="0.3">
      <c r="A270" t="s">
        <v>505</v>
      </c>
      <c r="B270" s="1" t="s">
        <v>506</v>
      </c>
      <c r="C270" t="s">
        <v>130</v>
      </c>
      <c r="D270" s="1" t="s">
        <v>131</v>
      </c>
      <c r="E270">
        <v>15720191138.0229</v>
      </c>
      <c r="F270">
        <v>17313177689.137901</v>
      </c>
      <c r="G270">
        <v>19647839973.073502</v>
      </c>
      <c r="H270">
        <v>21732147108.598602</v>
      </c>
      <c r="I270">
        <v>22303138553.811802</v>
      </c>
      <c r="J270">
        <v>23958876957.004398</v>
      </c>
      <c r="K270">
        <v>25750964000.075401</v>
      </c>
      <c r="L270">
        <v>28297376745.429501</v>
      </c>
      <c r="M270">
        <v>31166962062.540901</v>
      </c>
      <c r="N270">
        <v>33648354371.700001</v>
      </c>
      <c r="O270">
        <v>36191371110.016296</v>
      </c>
      <c r="P270">
        <v>39504344171.064499</v>
      </c>
      <c r="Q270">
        <v>43283563290.021202</v>
      </c>
      <c r="R270">
        <v>46587715536.490196</v>
      </c>
      <c r="S270">
        <v>44512859110.117004</v>
      </c>
      <c r="T270">
        <v>44368024653.148903</v>
      </c>
      <c r="U270">
        <v>45070599940.552101</v>
      </c>
      <c r="V270">
        <v>44641231079.878799</v>
      </c>
      <c r="W270">
        <v>44793508152.9972</v>
      </c>
      <c r="X270">
        <v>44668670645.075905</v>
      </c>
      <c r="Y270">
        <v>45837550853.053101</v>
      </c>
      <c r="Z270">
        <v>47441358822.896904</v>
      </c>
      <c r="AA270">
        <v>49626103642.332901</v>
      </c>
      <c r="AB270">
        <v>52060692537.385803</v>
      </c>
      <c r="AC270">
        <v>54909955833.517799</v>
      </c>
      <c r="AD270">
        <v>50569271092.908699</v>
      </c>
      <c r="AE270">
        <v>58407780688.138199</v>
      </c>
      <c r="AF270">
        <v>67993107878.124504</v>
      </c>
      <c r="AG270">
        <f t="shared" si="16"/>
        <v>39285954915.611252</v>
      </c>
    </row>
    <row r="271" spans="1:33" x14ac:dyDescent="0.3">
      <c r="A271" t="s">
        <v>505</v>
      </c>
      <c r="B271" s="1" t="s">
        <v>506</v>
      </c>
      <c r="C271" t="s">
        <v>132</v>
      </c>
      <c r="D271" s="1" t="s">
        <v>133</v>
      </c>
      <c r="E271">
        <v>23835665200</v>
      </c>
      <c r="F271">
        <v>25017368700</v>
      </c>
      <c r="G271">
        <v>25365908100</v>
      </c>
      <c r="H271">
        <v>25736331200</v>
      </c>
      <c r="I271">
        <v>28364615200</v>
      </c>
      <c r="J271">
        <v>30565400000</v>
      </c>
      <c r="K271">
        <v>31682400000</v>
      </c>
      <c r="L271">
        <v>33590500000</v>
      </c>
      <c r="M271">
        <v>35901200000</v>
      </c>
      <c r="N271">
        <v>38203000000</v>
      </c>
      <c r="O271">
        <v>42643836100</v>
      </c>
      <c r="P271">
        <v>52742800000</v>
      </c>
      <c r="Q271">
        <v>58603900000</v>
      </c>
      <c r="R271">
        <v>60806300000</v>
      </c>
      <c r="S271">
        <v>62080000000</v>
      </c>
      <c r="T271">
        <v>64328000000</v>
      </c>
      <c r="U271">
        <v>68990000000</v>
      </c>
      <c r="V271">
        <v>73141000000</v>
      </c>
      <c r="W271">
        <v>77148000000</v>
      </c>
      <c r="X271">
        <v>80656100000</v>
      </c>
      <c r="Y271">
        <v>87132800000</v>
      </c>
      <c r="Z271">
        <v>91370407863.700012</v>
      </c>
      <c r="AA271">
        <v>96850649691.740601</v>
      </c>
      <c r="AB271">
        <v>100050036096.123</v>
      </c>
      <c r="AC271">
        <v>103427600000</v>
      </c>
      <c r="AD271">
        <v>107351800000</v>
      </c>
      <c r="AE271">
        <v>545217900000</v>
      </c>
      <c r="AF271">
        <v>633442300000</v>
      </c>
      <c r="AG271">
        <f t="shared" si="16"/>
        <v>96580207791.127274</v>
      </c>
    </row>
    <row r="272" spans="1:33" x14ac:dyDescent="0.3">
      <c r="A272" t="s">
        <v>505</v>
      </c>
      <c r="B272" s="1" t="s">
        <v>506</v>
      </c>
      <c r="C272" t="s">
        <v>134</v>
      </c>
      <c r="D272" s="1" t="s">
        <v>135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>
        <v>3795715100</v>
      </c>
      <c r="K272">
        <v>3836776800</v>
      </c>
      <c r="L272">
        <v>3867804600</v>
      </c>
      <c r="M272">
        <v>3941790100</v>
      </c>
      <c r="N272">
        <v>4004517300</v>
      </c>
      <c r="O272">
        <v>4196900700</v>
      </c>
      <c r="P272">
        <v>4399071300</v>
      </c>
      <c r="Q272">
        <v>4642958400</v>
      </c>
      <c r="R272">
        <v>5071922300</v>
      </c>
      <c r="S272">
        <v>5135784200</v>
      </c>
      <c r="T272">
        <v>5282903600</v>
      </c>
      <c r="U272">
        <v>5244865104.7161798</v>
      </c>
      <c r="V272">
        <v>5392976899.23386</v>
      </c>
      <c r="W272">
        <v>5430087805.0380497</v>
      </c>
      <c r="X272">
        <v>5476338521.7600298</v>
      </c>
      <c r="Y272">
        <v>5475214789.2979803</v>
      </c>
      <c r="Z272">
        <v>5414195436.5501194</v>
      </c>
      <c r="AA272">
        <v>5429845514.2061901</v>
      </c>
      <c r="AB272">
        <v>5452993026.9622297</v>
      </c>
      <c r="AC272">
        <v>5416762167.1616201</v>
      </c>
      <c r="AD272">
        <v>4536446390.5734606</v>
      </c>
      <c r="AE272">
        <v>4903873903.6675301</v>
      </c>
      <c r="AF272">
        <v>5504573694.1562595</v>
      </c>
      <c r="AG272">
        <f t="shared" si="16"/>
        <v>4863231202.3184137</v>
      </c>
    </row>
    <row r="273" spans="1:33" x14ac:dyDescent="0.3">
      <c r="A273" t="s">
        <v>505</v>
      </c>
      <c r="B273" s="1" t="s">
        <v>506</v>
      </c>
      <c r="C273" t="s">
        <v>136</v>
      </c>
      <c r="D273" s="1" t="s">
        <v>137</v>
      </c>
      <c r="E273">
        <v>7678312000</v>
      </c>
      <c r="F273">
        <v>7979499000</v>
      </c>
      <c r="G273">
        <v>8373437000</v>
      </c>
      <c r="H273">
        <v>9059778000</v>
      </c>
      <c r="I273">
        <v>9731561000</v>
      </c>
      <c r="J273">
        <v>10594981000</v>
      </c>
      <c r="K273">
        <v>11416891000</v>
      </c>
      <c r="L273">
        <v>11877037000</v>
      </c>
      <c r="M273">
        <v>12845288000</v>
      </c>
      <c r="N273">
        <v>13856442000</v>
      </c>
      <c r="O273">
        <v>14822306000</v>
      </c>
      <c r="P273">
        <v>16000018000</v>
      </c>
      <c r="Q273">
        <v>17511579000</v>
      </c>
      <c r="R273">
        <v>19009576000</v>
      </c>
      <c r="S273">
        <v>18675493000</v>
      </c>
      <c r="T273">
        <v>19409974000</v>
      </c>
      <c r="U273">
        <v>19803033000</v>
      </c>
      <c r="V273">
        <v>19440777000</v>
      </c>
      <c r="W273">
        <v>17994967000</v>
      </c>
      <c r="X273">
        <v>17430161000</v>
      </c>
      <c r="Y273">
        <v>17883959000</v>
      </c>
      <c r="Z273">
        <v>18929340000</v>
      </c>
      <c r="AA273">
        <v>20245262000</v>
      </c>
      <c r="AB273">
        <v>21612598000</v>
      </c>
      <c r="AC273">
        <v>23177857000</v>
      </c>
      <c r="AD273">
        <v>22086566000</v>
      </c>
      <c r="AE273">
        <v>24927630000</v>
      </c>
      <c r="AF273">
        <v>27777000000</v>
      </c>
      <c r="AG273">
        <f t="shared" si="16"/>
        <v>16433975785.714285</v>
      </c>
    </row>
    <row r="274" spans="1:33" x14ac:dyDescent="0.3">
      <c r="A274" t="s">
        <v>505</v>
      </c>
      <c r="B274" s="1" t="s">
        <v>506</v>
      </c>
      <c r="C274" t="s">
        <v>138</v>
      </c>
      <c r="D274" s="1" t="s">
        <v>139</v>
      </c>
      <c r="E274">
        <v>1596306000000</v>
      </c>
      <c r="F274">
        <v>1829255000000</v>
      </c>
      <c r="G274">
        <v>1971024000000</v>
      </c>
      <c r="H274">
        <v>2156624000000</v>
      </c>
      <c r="I274">
        <v>2252983000000</v>
      </c>
      <c r="J274">
        <v>2386289000000</v>
      </c>
      <c r="K274">
        <v>2579126000000</v>
      </c>
      <c r="L274">
        <v>2690982000000</v>
      </c>
      <c r="M274">
        <v>2823452000000</v>
      </c>
      <c r="N274">
        <v>3079207000000</v>
      </c>
      <c r="O274">
        <v>3285601000000</v>
      </c>
      <c r="P274">
        <v>3530881000000</v>
      </c>
      <c r="Q274">
        <v>3859533000000</v>
      </c>
      <c r="R274">
        <v>4042860000000</v>
      </c>
      <c r="S274">
        <v>3954320000000</v>
      </c>
      <c r="T274">
        <v>3992870000000</v>
      </c>
      <c r="U274">
        <v>4062323000000</v>
      </c>
      <c r="V274">
        <v>4088912000000</v>
      </c>
      <c r="W274">
        <v>4142811000000</v>
      </c>
      <c r="X274">
        <v>4345766000000</v>
      </c>
      <c r="Y274">
        <v>4625378000000</v>
      </c>
      <c r="Z274">
        <v>4796873000000</v>
      </c>
      <c r="AA274">
        <v>5110743000000</v>
      </c>
      <c r="AB274">
        <v>5410761000000</v>
      </c>
      <c r="AC274">
        <v>5791498000000</v>
      </c>
      <c r="AD274">
        <v>5709131000000</v>
      </c>
      <c r="AE274">
        <v>6108717000000</v>
      </c>
      <c r="AF274">
        <v>6786742000000</v>
      </c>
      <c r="AG274">
        <f t="shared" si="16"/>
        <v>3821820285714.2856</v>
      </c>
    </row>
    <row r="275" spans="1:33" x14ac:dyDescent="0.3">
      <c r="A275" t="s">
        <v>505</v>
      </c>
      <c r="B275" s="1" t="s">
        <v>506</v>
      </c>
      <c r="C275" t="s">
        <v>140</v>
      </c>
      <c r="D275" s="1" t="s">
        <v>141</v>
      </c>
      <c r="E275">
        <v>1036482553000</v>
      </c>
      <c r="F275">
        <v>1088023686999.9999</v>
      </c>
      <c r="G275">
        <v>1146129390000</v>
      </c>
      <c r="H275">
        <v>1185987558000</v>
      </c>
      <c r="I275">
        <v>1241520747000</v>
      </c>
      <c r="J275">
        <v>1326911504000</v>
      </c>
      <c r="K275">
        <v>1371526218000</v>
      </c>
      <c r="L275">
        <v>1410271027000</v>
      </c>
      <c r="M275">
        <v>1436751240000</v>
      </c>
      <c r="N275">
        <v>1506000798000</v>
      </c>
      <c r="O275">
        <v>1585984170000</v>
      </c>
      <c r="P275">
        <v>1682260207000</v>
      </c>
      <c r="Q275">
        <v>1738845296000</v>
      </c>
      <c r="R275">
        <v>1801469912000</v>
      </c>
      <c r="S275">
        <v>1722142505000</v>
      </c>
      <c r="T275">
        <v>1810925601000</v>
      </c>
      <c r="U275">
        <v>1846853613000</v>
      </c>
      <c r="V275">
        <v>1895002254000</v>
      </c>
      <c r="W275">
        <v>1929677034000</v>
      </c>
      <c r="X275">
        <v>1981164991000</v>
      </c>
      <c r="Y275">
        <v>2036356221000</v>
      </c>
      <c r="Z275">
        <v>2107808217999.9998</v>
      </c>
      <c r="AA275">
        <v>2192960001999.9998</v>
      </c>
      <c r="AB275">
        <v>2253316249000</v>
      </c>
      <c r="AC275">
        <v>2310954835000</v>
      </c>
      <c r="AD275">
        <v>2320911896000</v>
      </c>
      <c r="AE275">
        <v>2550606325000</v>
      </c>
      <c r="AF275">
        <v>2831643856000</v>
      </c>
      <c r="AG275">
        <f t="shared" si="16"/>
        <v>1762445996678.5715</v>
      </c>
    </row>
    <row r="276" spans="1:33" x14ac:dyDescent="0.3">
      <c r="A276" t="s">
        <v>505</v>
      </c>
      <c r="B276" s="1" t="s">
        <v>506</v>
      </c>
      <c r="C276" t="s">
        <v>142</v>
      </c>
      <c r="D276" s="1" t="s">
        <v>143</v>
      </c>
      <c r="E276">
        <v>88456000000</v>
      </c>
      <c r="F276">
        <v>87795000000</v>
      </c>
      <c r="G276">
        <v>89336000000</v>
      </c>
      <c r="H276">
        <v>91396200000</v>
      </c>
      <c r="I276">
        <v>95272700000</v>
      </c>
      <c r="J276">
        <v>97965300000</v>
      </c>
      <c r="K276">
        <v>101730600000</v>
      </c>
      <c r="L276">
        <v>105054800000</v>
      </c>
      <c r="M276">
        <v>110550400000</v>
      </c>
      <c r="N276">
        <v>118375000000</v>
      </c>
      <c r="O276">
        <v>125939000000</v>
      </c>
      <c r="P276">
        <v>136645000000</v>
      </c>
      <c r="Q276">
        <v>150693000000</v>
      </c>
      <c r="R276">
        <v>177562000000</v>
      </c>
      <c r="S276">
        <v>186449000000</v>
      </c>
      <c r="T276">
        <v>200578000000</v>
      </c>
      <c r="U276">
        <v>220222000000</v>
      </c>
      <c r="V276">
        <v>240569000000</v>
      </c>
      <c r="W276">
        <v>363051509000</v>
      </c>
      <c r="X276">
        <v>393594981000</v>
      </c>
      <c r="Y276">
        <v>430865332500</v>
      </c>
      <c r="Z276">
        <v>462955248200</v>
      </c>
      <c r="AA276">
        <v>490968717300</v>
      </c>
      <c r="AB276">
        <v>517784221100</v>
      </c>
      <c r="AC276">
        <v>548954157500</v>
      </c>
      <c r="AD276">
        <v>566068217500</v>
      </c>
      <c r="AE276">
        <v>601732245500</v>
      </c>
      <c r="AF276">
        <v>624708661700</v>
      </c>
      <c r="AG276">
        <f t="shared" si="16"/>
        <v>265188296117.85715</v>
      </c>
    </row>
    <row r="277" spans="1:33" x14ac:dyDescent="0.3">
      <c r="A277" t="s">
        <v>505</v>
      </c>
      <c r="B277" s="1" t="s">
        <v>506</v>
      </c>
      <c r="C277" t="s">
        <v>144</v>
      </c>
      <c r="D277" s="1" t="s">
        <v>145</v>
      </c>
      <c r="E277">
        <v>741210000</v>
      </c>
      <c r="F277">
        <v>789170000</v>
      </c>
      <c r="G277">
        <v>818070000</v>
      </c>
      <c r="H277">
        <v>870510000</v>
      </c>
      <c r="I277">
        <v>895750000</v>
      </c>
      <c r="J277">
        <v>900370000</v>
      </c>
      <c r="K277">
        <v>918550000</v>
      </c>
      <c r="L277">
        <v>899630000</v>
      </c>
      <c r="M277">
        <v>926940000</v>
      </c>
      <c r="N277">
        <v>991440000</v>
      </c>
      <c r="O277">
        <v>983490000</v>
      </c>
      <c r="P277">
        <v>1053680000.0000001</v>
      </c>
      <c r="Q277">
        <v>1137710000</v>
      </c>
      <c r="R277">
        <v>1237110000</v>
      </c>
      <c r="S277">
        <v>1320500000</v>
      </c>
      <c r="T277">
        <v>1333330000</v>
      </c>
      <c r="U277">
        <v>1352770000</v>
      </c>
      <c r="V277">
        <v>1312190000</v>
      </c>
      <c r="W277">
        <v>1345400000</v>
      </c>
      <c r="X277">
        <v>1405160000</v>
      </c>
      <c r="Y277">
        <v>1459990000</v>
      </c>
      <c r="Z277">
        <v>1555820000</v>
      </c>
      <c r="AA277">
        <v>1408190000</v>
      </c>
      <c r="AB277">
        <v>1497880000</v>
      </c>
      <c r="AC277">
        <v>1651150000</v>
      </c>
      <c r="AD277">
        <v>1361380000</v>
      </c>
      <c r="AE277">
        <v>1499220000</v>
      </c>
      <c r="AF277">
        <v>1640090000</v>
      </c>
      <c r="AG277">
        <f t="shared" si="16"/>
        <v>1189525000</v>
      </c>
    </row>
    <row r="278" spans="1:33" x14ac:dyDescent="0.3">
      <c r="A278" t="s">
        <v>505</v>
      </c>
      <c r="B278" s="1" t="s">
        <v>506</v>
      </c>
      <c r="C278" t="s">
        <v>146</v>
      </c>
      <c r="D278" s="1" t="s">
        <v>147</v>
      </c>
      <c r="E278">
        <v>214122962700</v>
      </c>
      <c r="F278">
        <v>235250330700</v>
      </c>
      <c r="G278">
        <v>280362823900</v>
      </c>
      <c r="H278">
        <v>318648990800</v>
      </c>
      <c r="I278">
        <v>350520116900</v>
      </c>
      <c r="J278">
        <v>393302968400</v>
      </c>
      <c r="K278">
        <v>427319066300</v>
      </c>
      <c r="L278">
        <v>477430189800</v>
      </c>
      <c r="M278">
        <v>628611039700</v>
      </c>
      <c r="N278">
        <v>935984734500</v>
      </c>
      <c r="O278">
        <v>1083445000900.0001</v>
      </c>
      <c r="P278">
        <v>1261399667600</v>
      </c>
      <c r="Q278">
        <v>1458416518100</v>
      </c>
      <c r="R278">
        <v>1661642680500</v>
      </c>
      <c r="S278">
        <v>1736041063700</v>
      </c>
      <c r="T278">
        <v>1983201682200</v>
      </c>
      <c r="U278">
        <v>2210213934500</v>
      </c>
      <c r="V278">
        <v>2386016247000</v>
      </c>
      <c r="W278">
        <v>2619769696500</v>
      </c>
      <c r="X278">
        <v>2925665101900</v>
      </c>
      <c r="Y278">
        <v>3205655136100</v>
      </c>
      <c r="Z278">
        <v>3487292512700</v>
      </c>
      <c r="AA278">
        <v>3802655772400</v>
      </c>
      <c r="AB278">
        <v>4235846766900</v>
      </c>
      <c r="AC278">
        <v>4562235075700</v>
      </c>
      <c r="AD278">
        <v>4456657376800</v>
      </c>
      <c r="AE278">
        <v>5392714102100</v>
      </c>
      <c r="AF278">
        <v>6260564018600</v>
      </c>
      <c r="AG278">
        <f t="shared" si="16"/>
        <v>2106820913496.4285</v>
      </c>
    </row>
    <row r="279" spans="1:33" x14ac:dyDescent="0.3">
      <c r="A279" t="s">
        <v>505</v>
      </c>
      <c r="B279" s="1" t="s">
        <v>506</v>
      </c>
      <c r="C279" t="s">
        <v>148</v>
      </c>
      <c r="D279" s="1" t="s">
        <v>149</v>
      </c>
      <c r="E279">
        <v>24420668000</v>
      </c>
      <c r="F279">
        <v>25213780000</v>
      </c>
      <c r="G279">
        <v>28147972000</v>
      </c>
      <c r="H279">
        <v>27967906000</v>
      </c>
      <c r="I279">
        <v>19635450000</v>
      </c>
      <c r="J279">
        <v>18318601000</v>
      </c>
      <c r="K279">
        <v>24468324000</v>
      </c>
      <c r="L279">
        <v>28548945000</v>
      </c>
      <c r="M279">
        <v>32432858000</v>
      </c>
      <c r="N279">
        <v>36591661000</v>
      </c>
      <c r="O279">
        <v>41507085000</v>
      </c>
      <c r="P279">
        <v>46802044000</v>
      </c>
      <c r="Q279">
        <v>51007777000</v>
      </c>
      <c r="R279">
        <v>61762635000</v>
      </c>
      <c r="S279">
        <v>62519686000</v>
      </c>
      <c r="T279">
        <v>69555367000</v>
      </c>
      <c r="U279">
        <v>79276664000</v>
      </c>
      <c r="V279">
        <v>87924544000</v>
      </c>
      <c r="W279">
        <v>95129659000</v>
      </c>
      <c r="X279">
        <v>101726331000</v>
      </c>
      <c r="Y279">
        <v>99290381000</v>
      </c>
      <c r="Z279">
        <v>99937696000</v>
      </c>
      <c r="AA279">
        <v>104295862000</v>
      </c>
      <c r="AB279">
        <v>107562008000</v>
      </c>
      <c r="AC279">
        <v>108108009000</v>
      </c>
      <c r="AD279">
        <v>99291124000</v>
      </c>
      <c r="AE279">
        <v>106165866000</v>
      </c>
      <c r="AF279">
        <v>115049476000</v>
      </c>
      <c r="AG279">
        <f t="shared" si="16"/>
        <v>64380656392.85714</v>
      </c>
    </row>
    <row r="280" spans="1:33" x14ac:dyDescent="0.3">
      <c r="A280" t="s">
        <v>505</v>
      </c>
      <c r="B280" s="1" t="s">
        <v>506</v>
      </c>
      <c r="C280" t="s">
        <v>150</v>
      </c>
      <c r="D280" s="1" t="s">
        <v>151</v>
      </c>
      <c r="E280">
        <v>204000000000</v>
      </c>
      <c r="F280">
        <v>229400000000</v>
      </c>
      <c r="G280">
        <v>265900000000</v>
      </c>
      <c r="H280">
        <v>287400000000</v>
      </c>
      <c r="I280">
        <v>307600000000</v>
      </c>
      <c r="J280">
        <v>340100000000</v>
      </c>
      <c r="K280">
        <v>358700000000</v>
      </c>
      <c r="L280">
        <v>378900000000</v>
      </c>
      <c r="M280">
        <v>417500000000</v>
      </c>
      <c r="N280">
        <v>485300000000</v>
      </c>
      <c r="O280">
        <v>538500000000</v>
      </c>
      <c r="P280">
        <v>617700000000</v>
      </c>
      <c r="Q280">
        <v>744800000000</v>
      </c>
      <c r="R280">
        <v>895500000000</v>
      </c>
      <c r="S280">
        <v>1042200000000</v>
      </c>
      <c r="T280">
        <v>1206600000000</v>
      </c>
      <c r="U280">
        <v>1371100000000</v>
      </c>
      <c r="V280">
        <v>1674700000000</v>
      </c>
      <c r="W280">
        <v>1860400000000</v>
      </c>
      <c r="X280">
        <v>2130000000000</v>
      </c>
      <c r="Y280">
        <v>2443900000000</v>
      </c>
      <c r="Z280">
        <v>2709400000000</v>
      </c>
      <c r="AA280">
        <v>3655900000000</v>
      </c>
      <c r="AB280">
        <v>4666200000000</v>
      </c>
      <c r="AC280">
        <v>5596000000000</v>
      </c>
      <c r="AD280">
        <v>6152600000000</v>
      </c>
      <c r="AE280">
        <v>6663100000000</v>
      </c>
      <c r="AF280">
        <v>7842500000000</v>
      </c>
      <c r="AG280">
        <f t="shared" si="16"/>
        <v>1967353571428.5715</v>
      </c>
    </row>
    <row r="281" spans="1:33" x14ac:dyDescent="0.3">
      <c r="A281" t="s">
        <v>505</v>
      </c>
      <c r="B281" s="1" t="s">
        <v>506</v>
      </c>
      <c r="C281" t="s">
        <v>152</v>
      </c>
      <c r="D281" s="1" t="s">
        <v>153</v>
      </c>
      <c r="E281">
        <v>8921947100</v>
      </c>
      <c r="F281">
        <v>9586327800</v>
      </c>
      <c r="G281">
        <v>10221705900</v>
      </c>
      <c r="H281">
        <v>10936669900</v>
      </c>
      <c r="I281">
        <v>11284197000</v>
      </c>
      <c r="J281">
        <v>11784927700</v>
      </c>
      <c r="K281">
        <v>12282533600</v>
      </c>
      <c r="L281">
        <v>12664190300</v>
      </c>
      <c r="M281">
        <v>13243892200</v>
      </c>
      <c r="N281">
        <v>13724810900</v>
      </c>
      <c r="O281">
        <v>14698000000</v>
      </c>
      <c r="P281">
        <v>15999890000</v>
      </c>
      <c r="Q281">
        <v>17011750000</v>
      </c>
      <c r="R281">
        <v>17986890000</v>
      </c>
      <c r="S281">
        <v>17601620000</v>
      </c>
      <c r="T281">
        <v>18447920000</v>
      </c>
      <c r="U281">
        <v>20283780000</v>
      </c>
      <c r="V281">
        <v>21386150000</v>
      </c>
      <c r="W281">
        <v>21990960000</v>
      </c>
      <c r="X281">
        <v>22593470000</v>
      </c>
      <c r="Y281">
        <v>23438240000</v>
      </c>
      <c r="Z281">
        <v>24191430000</v>
      </c>
      <c r="AA281">
        <v>24979190000</v>
      </c>
      <c r="AB281">
        <v>26020850000</v>
      </c>
      <c r="AC281">
        <v>26881140000</v>
      </c>
      <c r="AD281">
        <v>24930080000</v>
      </c>
      <c r="AE281">
        <v>29451240000</v>
      </c>
      <c r="AF281">
        <v>32488720000</v>
      </c>
      <c r="AG281">
        <f t="shared" si="16"/>
        <v>18394018657.142857</v>
      </c>
    </row>
    <row r="282" spans="1:33" x14ac:dyDescent="0.3">
      <c r="A282" t="s">
        <v>505</v>
      </c>
      <c r="B282" s="1" t="s">
        <v>506</v>
      </c>
      <c r="C282" t="s">
        <v>154</v>
      </c>
      <c r="D282" s="1" t="s">
        <v>155</v>
      </c>
      <c r="E282">
        <v>70805881800</v>
      </c>
      <c r="F282">
        <v>118917024200</v>
      </c>
      <c r="G282">
        <v>258179067200</v>
      </c>
      <c r="H282">
        <v>218687827900</v>
      </c>
      <c r="I282">
        <v>382421723200</v>
      </c>
      <c r="J282">
        <v>744726139300</v>
      </c>
      <c r="K282">
        <v>1071071156999.9999</v>
      </c>
      <c r="L282">
        <v>1259278371800</v>
      </c>
      <c r="M282">
        <v>1444135082900</v>
      </c>
      <c r="N282">
        <v>2330139756500</v>
      </c>
      <c r="O282">
        <v>4334400062300.0005</v>
      </c>
      <c r="P282">
        <v>5274146000000</v>
      </c>
      <c r="Q282">
        <v>6264840820000</v>
      </c>
      <c r="R282">
        <v>8844107000000</v>
      </c>
      <c r="S282">
        <v>7095919000000</v>
      </c>
      <c r="T282">
        <v>8072293000000</v>
      </c>
      <c r="U282">
        <v>10064618859000</v>
      </c>
      <c r="V282">
        <v>11430511000000</v>
      </c>
      <c r="W282">
        <v>10840521000000</v>
      </c>
      <c r="X282">
        <v>10746852000000</v>
      </c>
      <c r="Y282">
        <v>7795420000000</v>
      </c>
      <c r="Z282">
        <v>6661366440400</v>
      </c>
      <c r="AA282">
        <v>7084543000000</v>
      </c>
      <c r="AB282">
        <v>7274689000000</v>
      </c>
      <c r="AC282">
        <v>6658371000000</v>
      </c>
      <c r="AD282">
        <v>5694742030100</v>
      </c>
      <c r="AE282">
        <v>6712590540900</v>
      </c>
      <c r="AF282">
        <v>7503600747800</v>
      </c>
      <c r="AG282">
        <f t="shared" si="16"/>
        <v>5223281911867.8574</v>
      </c>
    </row>
    <row r="283" spans="1:33" x14ac:dyDescent="0.3">
      <c r="A283" t="s">
        <v>505</v>
      </c>
      <c r="B283" s="1" t="s">
        <v>506</v>
      </c>
      <c r="C283" t="s">
        <v>156</v>
      </c>
      <c r="D283" s="1" t="s">
        <v>157</v>
      </c>
      <c r="E283">
        <v>3699300000</v>
      </c>
      <c r="F283">
        <v>4408600000</v>
      </c>
      <c r="G283">
        <v>4942660000</v>
      </c>
      <c r="H283">
        <v>5488489000</v>
      </c>
      <c r="I283">
        <v>5616500000</v>
      </c>
      <c r="J283">
        <v>6798819100</v>
      </c>
      <c r="K283">
        <v>8508911500</v>
      </c>
      <c r="L283">
        <v>10180013500</v>
      </c>
      <c r="M283">
        <v>12077210600</v>
      </c>
      <c r="N283">
        <v>15291082100</v>
      </c>
      <c r="O283">
        <v>16880499400</v>
      </c>
      <c r="P283">
        <v>18621613900</v>
      </c>
      <c r="Q283">
        <v>20263857800</v>
      </c>
      <c r="R283">
        <v>21220402800</v>
      </c>
      <c r="S283">
        <v>28546694100</v>
      </c>
      <c r="T283">
        <v>24438800000</v>
      </c>
      <c r="U283">
        <v>31749400000</v>
      </c>
      <c r="V283" t="s">
        <v>34</v>
      </c>
      <c r="W283" t="s">
        <v>34</v>
      </c>
      <c r="X283" t="s">
        <v>34</v>
      </c>
      <c r="Y283" t="s">
        <v>34</v>
      </c>
      <c r="Z283" t="s">
        <v>34</v>
      </c>
      <c r="AA283" t="s">
        <v>34</v>
      </c>
      <c r="AB283" t="s">
        <v>34</v>
      </c>
      <c r="AC283" t="s">
        <v>34</v>
      </c>
      <c r="AD283" t="s">
        <v>34</v>
      </c>
      <c r="AE283" t="s">
        <v>34</v>
      </c>
      <c r="AF283" t="s">
        <v>34</v>
      </c>
      <c r="AG283">
        <f t="shared" si="16"/>
        <v>14043109047.058823</v>
      </c>
    </row>
    <row r="284" spans="1:33" x14ac:dyDescent="0.3">
      <c r="A284" t="s">
        <v>505</v>
      </c>
      <c r="B284" s="1" t="s">
        <v>506</v>
      </c>
      <c r="C284" t="s">
        <v>158</v>
      </c>
      <c r="D284" s="1" t="s">
        <v>159</v>
      </c>
      <c r="E284">
        <v>2861638000</v>
      </c>
      <c r="F284">
        <v>3679970000</v>
      </c>
      <c r="G284">
        <v>4573002000</v>
      </c>
      <c r="H284">
        <v>5100431000</v>
      </c>
      <c r="I284">
        <v>5406892000</v>
      </c>
      <c r="J284">
        <v>6171645000</v>
      </c>
      <c r="K284">
        <v>6987069000</v>
      </c>
      <c r="L284">
        <v>7822580000</v>
      </c>
      <c r="M284">
        <v>8744426000</v>
      </c>
      <c r="N284">
        <v>9777459000</v>
      </c>
      <c r="O284">
        <v>11343270000</v>
      </c>
      <c r="P284">
        <v>13568930000</v>
      </c>
      <c r="Q284">
        <v>16401333999.999998</v>
      </c>
      <c r="R284">
        <v>16618063999.999998</v>
      </c>
      <c r="S284">
        <v>14131856000</v>
      </c>
      <c r="T284">
        <v>14741103000</v>
      </c>
      <c r="U284">
        <v>16677256000.000002</v>
      </c>
      <c r="V284">
        <v>17916682000</v>
      </c>
      <c r="W284">
        <v>18910784000</v>
      </c>
      <c r="X284">
        <v>20048226000</v>
      </c>
      <c r="Y284">
        <v>20631362000</v>
      </c>
      <c r="Z284">
        <v>21747910000</v>
      </c>
      <c r="AA284">
        <v>23833614000</v>
      </c>
      <c r="AB284">
        <v>25932176000</v>
      </c>
      <c r="AC284">
        <v>27764725000</v>
      </c>
      <c r="AD284">
        <v>27464982000</v>
      </c>
      <c r="AE284">
        <v>31444913000</v>
      </c>
      <c r="AF284">
        <v>36181437000</v>
      </c>
      <c r="AG284">
        <f t="shared" si="16"/>
        <v>15588704857.142857</v>
      </c>
    </row>
    <row r="285" spans="1:33" x14ac:dyDescent="0.3">
      <c r="A285" t="s">
        <v>505</v>
      </c>
      <c r="B285" s="1" t="s">
        <v>506</v>
      </c>
      <c r="C285" t="s">
        <v>160</v>
      </c>
      <c r="D285" s="1" t="s">
        <v>161</v>
      </c>
      <c r="E285">
        <v>6162379200</v>
      </c>
      <c r="F285">
        <v>6890746500</v>
      </c>
      <c r="G285">
        <v>7910553200</v>
      </c>
      <c r="H285">
        <v>8717600000</v>
      </c>
      <c r="I285">
        <v>9456800000</v>
      </c>
      <c r="J285">
        <v>12062072300</v>
      </c>
      <c r="K285">
        <v>13279341400</v>
      </c>
      <c r="L285">
        <v>15096687000</v>
      </c>
      <c r="M285">
        <v>16624280800</v>
      </c>
      <c r="N285">
        <v>17893626800</v>
      </c>
      <c r="O285">
        <v>20210659800</v>
      </c>
      <c r="P285">
        <v>22287402500</v>
      </c>
      <c r="Q285">
        <v>24443057100</v>
      </c>
      <c r="R285">
        <v>27213165100</v>
      </c>
      <c r="S285">
        <v>30339380100</v>
      </c>
      <c r="T285">
        <v>32497184600</v>
      </c>
      <c r="U285">
        <v>35002132000</v>
      </c>
      <c r="V285">
        <v>40118436200</v>
      </c>
      <c r="W285">
        <v>44389631500</v>
      </c>
      <c r="X285">
        <v>48001148500</v>
      </c>
      <c r="Y285">
        <v>51791348300</v>
      </c>
      <c r="Z285">
        <v>56132157900</v>
      </c>
      <c r="AA285">
        <v>58688938000</v>
      </c>
      <c r="AB285">
        <v>61786224500</v>
      </c>
      <c r="AC285">
        <v>64544790900</v>
      </c>
      <c r="AD285">
        <v>65588457778.930695</v>
      </c>
      <c r="AE285">
        <v>71712115852.356003</v>
      </c>
      <c r="AF285">
        <v>78390422668.457001</v>
      </c>
      <c r="AG285">
        <f t="shared" si="16"/>
        <v>33829669303.562275</v>
      </c>
    </row>
    <row r="286" spans="1:33" x14ac:dyDescent="0.3">
      <c r="A286" t="s">
        <v>505</v>
      </c>
      <c r="B286" s="1" t="s">
        <v>506</v>
      </c>
      <c r="C286" t="s">
        <v>162</v>
      </c>
      <c r="D286" s="1" t="s">
        <v>163</v>
      </c>
      <c r="E286">
        <v>47924428300</v>
      </c>
      <c r="F286">
        <v>54008447600</v>
      </c>
      <c r="G286">
        <v>55816131300</v>
      </c>
      <c r="H286">
        <v>53805023800</v>
      </c>
      <c r="I286">
        <v>57840190200</v>
      </c>
      <c r="J286">
        <v>67159835100</v>
      </c>
      <c r="K286">
        <v>68548836800.000008</v>
      </c>
      <c r="L286">
        <v>67067110300</v>
      </c>
      <c r="M286">
        <v>73995583200</v>
      </c>
      <c r="N286">
        <v>87325768600</v>
      </c>
      <c r="O286">
        <v>107289698100</v>
      </c>
      <c r="P286">
        <v>132651633500</v>
      </c>
      <c r="Q286">
        <v>173308781900</v>
      </c>
      <c r="R286">
        <v>250206540400</v>
      </c>
      <c r="S286">
        <v>337965157200</v>
      </c>
      <c r="T286">
        <v>385876491200</v>
      </c>
      <c r="U286">
        <v>515078541000</v>
      </c>
      <c r="V286">
        <v>747326498000</v>
      </c>
      <c r="W286">
        <v>866921083000</v>
      </c>
      <c r="X286">
        <v>1060814375999.9999</v>
      </c>
      <c r="Y286">
        <v>1297961440000</v>
      </c>
      <c r="Z286">
        <v>1568097000000</v>
      </c>
      <c r="AA286">
        <v>1832786000000</v>
      </c>
      <c r="AB286">
        <v>2200121000000</v>
      </c>
      <c r="AC286">
        <v>2690751000000</v>
      </c>
      <c r="AD286">
        <v>3374747000000</v>
      </c>
      <c r="AE286">
        <v>4341024000000</v>
      </c>
      <c r="AF286">
        <v>6157538000000</v>
      </c>
      <c r="AG286">
        <f t="shared" si="16"/>
        <v>1024069842696.4286</v>
      </c>
    </row>
    <row r="287" spans="1:33" x14ac:dyDescent="0.3">
      <c r="A287" t="s">
        <v>505</v>
      </c>
      <c r="B287" s="1" t="s">
        <v>506</v>
      </c>
      <c r="C287" t="s">
        <v>164</v>
      </c>
      <c r="D287" s="1" t="s">
        <v>165</v>
      </c>
      <c r="E287">
        <v>5050000000</v>
      </c>
      <c r="F287">
        <v>5738000000</v>
      </c>
      <c r="G287">
        <v>6167000000</v>
      </c>
      <c r="H287">
        <v>7402700000</v>
      </c>
      <c r="I287">
        <v>7867000000</v>
      </c>
      <c r="J287">
        <v>8625600000</v>
      </c>
      <c r="K287">
        <v>9656700000</v>
      </c>
      <c r="L287">
        <v>10066500000</v>
      </c>
      <c r="M287">
        <v>9894300000</v>
      </c>
      <c r="N287">
        <v>10333200000</v>
      </c>
      <c r="O287">
        <v>10553000000</v>
      </c>
      <c r="P287">
        <v>11998700000</v>
      </c>
      <c r="Q287">
        <v>12732900000</v>
      </c>
      <c r="R287">
        <v>12693700000</v>
      </c>
      <c r="S287">
        <v>12308900000</v>
      </c>
      <c r="T287">
        <v>13114200000</v>
      </c>
      <c r="U287">
        <v>13452600000</v>
      </c>
      <c r="V287">
        <v>14059500000</v>
      </c>
      <c r="W287">
        <v>15108500000</v>
      </c>
      <c r="X287">
        <v>16354800000</v>
      </c>
      <c r="Y287">
        <v>17317000000</v>
      </c>
      <c r="Z287">
        <v>18938200000</v>
      </c>
      <c r="AA287">
        <v>19677000000</v>
      </c>
      <c r="AB287">
        <v>20134800000</v>
      </c>
      <c r="AC287">
        <v>21785300000</v>
      </c>
      <c r="AD287">
        <v>21340800000</v>
      </c>
      <c r="AE287">
        <v>22979800000</v>
      </c>
      <c r="AF287">
        <v>25162300000</v>
      </c>
      <c r="AG287">
        <f t="shared" ref="AG287:AG350" si="17">IFERROR(AVERAGE(E287:AF287),"NA")</f>
        <v>13589750000</v>
      </c>
    </row>
    <row r="288" spans="1:33" x14ac:dyDescent="0.3">
      <c r="A288" t="s">
        <v>505</v>
      </c>
      <c r="B288" s="1" t="s">
        <v>506</v>
      </c>
      <c r="C288" t="s">
        <v>166</v>
      </c>
      <c r="D288" s="1" t="s">
        <v>167</v>
      </c>
      <c r="E288">
        <v>2770900000</v>
      </c>
      <c r="F288">
        <v>2987200000</v>
      </c>
      <c r="G288">
        <v>3017600000</v>
      </c>
      <c r="H288">
        <v>3284500000</v>
      </c>
      <c r="I288">
        <v>3814100000</v>
      </c>
      <c r="J288">
        <v>3572300000</v>
      </c>
      <c r="K288">
        <v>3762000000</v>
      </c>
      <c r="L288">
        <v>4009200000</v>
      </c>
      <c r="M288">
        <v>4361200000</v>
      </c>
      <c r="N288">
        <v>4693100000</v>
      </c>
      <c r="O288">
        <v>5040000000</v>
      </c>
      <c r="P288">
        <v>5325700000</v>
      </c>
      <c r="Q288">
        <v>5440100000</v>
      </c>
      <c r="R288">
        <v>5614901400</v>
      </c>
      <c r="S288">
        <v>5614080600</v>
      </c>
      <c r="T288">
        <v>6024438100</v>
      </c>
      <c r="U288">
        <v>6768488300</v>
      </c>
      <c r="V288">
        <v>7109505300</v>
      </c>
      <c r="W288">
        <v>7715729700</v>
      </c>
      <c r="X288">
        <v>9167032441.7771893</v>
      </c>
      <c r="Y288">
        <v>9822110337.9177094</v>
      </c>
      <c r="Z288">
        <v>10327298779.0329</v>
      </c>
      <c r="AA288">
        <v>11064951592.936901</v>
      </c>
      <c r="AB288">
        <v>11650555594.7145</v>
      </c>
      <c r="AC288">
        <v>11762059234.961201</v>
      </c>
      <c r="AD288">
        <v>9613154937.3447304</v>
      </c>
      <c r="AE288">
        <v>8914140560.8157406</v>
      </c>
      <c r="AF288">
        <v>10962961832.448299</v>
      </c>
      <c r="AG288">
        <f t="shared" si="17"/>
        <v>6578903882.5696135</v>
      </c>
    </row>
    <row r="289" spans="1:33" x14ac:dyDescent="0.3">
      <c r="A289" t="s">
        <v>505</v>
      </c>
      <c r="B289" s="1" t="s">
        <v>506</v>
      </c>
      <c r="C289" t="s">
        <v>168</v>
      </c>
      <c r="D289" s="1" t="s">
        <v>169</v>
      </c>
      <c r="E289">
        <v>98549000000</v>
      </c>
      <c r="F289">
        <v>102083000000</v>
      </c>
      <c r="G289">
        <v>110807000000</v>
      </c>
      <c r="H289">
        <v>120474000000</v>
      </c>
      <c r="I289">
        <v>126916000000</v>
      </c>
      <c r="J289">
        <v>136442000000</v>
      </c>
      <c r="K289">
        <v>144628000000</v>
      </c>
      <c r="L289">
        <v>148486000000</v>
      </c>
      <c r="M289">
        <v>151749000000</v>
      </c>
      <c r="N289">
        <v>158758000000</v>
      </c>
      <c r="O289">
        <v>164687000000</v>
      </c>
      <c r="P289">
        <v>172897000000</v>
      </c>
      <c r="Q289">
        <v>187072000000</v>
      </c>
      <c r="R289">
        <v>194265000000</v>
      </c>
      <c r="S289">
        <v>181747000000</v>
      </c>
      <c r="T289">
        <v>188143000000</v>
      </c>
      <c r="U289">
        <v>197998000000</v>
      </c>
      <c r="V289">
        <v>201037000000</v>
      </c>
      <c r="W289">
        <v>204321000000</v>
      </c>
      <c r="X289">
        <v>206897000000</v>
      </c>
      <c r="Y289">
        <v>211385000000</v>
      </c>
      <c r="Z289">
        <v>217518000000</v>
      </c>
      <c r="AA289">
        <v>226301000000</v>
      </c>
      <c r="AB289">
        <v>233462000000</v>
      </c>
      <c r="AC289">
        <v>239858000000</v>
      </c>
      <c r="AD289">
        <v>238038000000</v>
      </c>
      <c r="AE289">
        <v>250664000000</v>
      </c>
      <c r="AF289">
        <v>268411000000</v>
      </c>
      <c r="AG289">
        <f t="shared" si="17"/>
        <v>181556892857.14285</v>
      </c>
    </row>
    <row r="290" spans="1:33" x14ac:dyDescent="0.3">
      <c r="A290" t="s">
        <v>505</v>
      </c>
      <c r="B290" s="1" t="s">
        <v>506</v>
      </c>
      <c r="C290" t="s">
        <v>170</v>
      </c>
      <c r="D290" s="1" t="s">
        <v>171</v>
      </c>
      <c r="E290">
        <v>1218273000000</v>
      </c>
      <c r="F290">
        <v>1252266000000</v>
      </c>
      <c r="G290">
        <v>1292777000000</v>
      </c>
      <c r="H290">
        <v>1351896000000</v>
      </c>
      <c r="I290">
        <v>1400999000000</v>
      </c>
      <c r="J290">
        <v>1478585000000</v>
      </c>
      <c r="K290">
        <v>1538200000000</v>
      </c>
      <c r="L290">
        <v>1587829000000</v>
      </c>
      <c r="M290">
        <v>1630666000000</v>
      </c>
      <c r="N290">
        <v>1704019000000</v>
      </c>
      <c r="O290">
        <v>1765905000000</v>
      </c>
      <c r="P290">
        <v>1848151000000</v>
      </c>
      <c r="Q290">
        <v>1941360000000</v>
      </c>
      <c r="R290">
        <v>1992380000000</v>
      </c>
      <c r="S290">
        <v>1936422000000</v>
      </c>
      <c r="T290">
        <v>1995289000000</v>
      </c>
      <c r="U290">
        <v>2058369000000</v>
      </c>
      <c r="V290">
        <v>2088804000000</v>
      </c>
      <c r="W290">
        <v>2117189000000</v>
      </c>
      <c r="X290">
        <v>2149765000000</v>
      </c>
      <c r="Y290">
        <v>2198432000000</v>
      </c>
      <c r="Z290">
        <v>2234129000000</v>
      </c>
      <c r="AA290">
        <v>2297242000000</v>
      </c>
      <c r="AB290">
        <v>2363306000000</v>
      </c>
      <c r="AC290">
        <v>2437635000000</v>
      </c>
      <c r="AD290">
        <v>2317832000000</v>
      </c>
      <c r="AE290">
        <v>2502118000000</v>
      </c>
      <c r="AF290">
        <v>2639092000000</v>
      </c>
      <c r="AG290">
        <f t="shared" si="17"/>
        <v>1904961785714.2856</v>
      </c>
    </row>
    <row r="291" spans="1:33" x14ac:dyDescent="0.3">
      <c r="A291" t="s">
        <v>505</v>
      </c>
      <c r="B291" s="1" t="s">
        <v>506</v>
      </c>
      <c r="C291" t="s">
        <v>172</v>
      </c>
      <c r="D291" s="1" t="s">
        <v>173</v>
      </c>
      <c r="E291">
        <v>379987049700</v>
      </c>
      <c r="F291">
        <v>387483963400</v>
      </c>
      <c r="G291">
        <v>399320480800</v>
      </c>
      <c r="H291">
        <v>418670680700</v>
      </c>
      <c r="I291">
        <v>437970005200</v>
      </c>
      <c r="J291">
        <v>465103772700</v>
      </c>
      <c r="K291">
        <v>476166357500</v>
      </c>
      <c r="L291">
        <v>500435421900</v>
      </c>
      <c r="M291">
        <v>519855929300</v>
      </c>
      <c r="N291">
        <v>533783638000.00006</v>
      </c>
      <c r="O291">
        <v>547222000000</v>
      </c>
      <c r="P291">
        <v>558643000000</v>
      </c>
      <c r="Q291">
        <v>577395000000</v>
      </c>
      <c r="R291">
        <v>579049000000</v>
      </c>
      <c r="S291">
        <v>563347000000</v>
      </c>
      <c r="T291">
        <v>547877000000</v>
      </c>
      <c r="U291">
        <v>531861000000</v>
      </c>
      <c r="V291">
        <v>528755000000</v>
      </c>
      <c r="W291">
        <v>541961000000</v>
      </c>
      <c r="X291">
        <v>552599000000</v>
      </c>
      <c r="Y291">
        <v>572812000000</v>
      </c>
      <c r="Z291">
        <v>592618000000</v>
      </c>
      <c r="AA291">
        <v>616195000000</v>
      </c>
      <c r="AB291">
        <v>619934000000</v>
      </c>
      <c r="AC291">
        <v>641908000000</v>
      </c>
      <c r="AD291">
        <v>606541000000</v>
      </c>
      <c r="AE291">
        <v>620478000000</v>
      </c>
      <c r="AF291">
        <v>659815000000</v>
      </c>
      <c r="AG291">
        <f t="shared" si="17"/>
        <v>534920974971.42859</v>
      </c>
    </row>
    <row r="292" spans="1:33" x14ac:dyDescent="0.3">
      <c r="A292" t="s">
        <v>505</v>
      </c>
      <c r="B292" s="1" t="s">
        <v>506</v>
      </c>
      <c r="C292" t="s">
        <v>174</v>
      </c>
      <c r="D292" s="1" t="s">
        <v>175</v>
      </c>
      <c r="E292">
        <v>2475200000000</v>
      </c>
      <c r="F292">
        <v>2912800000000</v>
      </c>
      <c r="G292">
        <v>3109100000000</v>
      </c>
      <c r="H292">
        <v>2645000000000</v>
      </c>
      <c r="I292">
        <v>2871000000000</v>
      </c>
      <c r="J292">
        <v>3608200000000</v>
      </c>
      <c r="K292">
        <v>3679028000000</v>
      </c>
      <c r="L292">
        <v>3701273000000</v>
      </c>
      <c r="M292">
        <v>3776236000000</v>
      </c>
      <c r="N292">
        <v>4097532000000</v>
      </c>
      <c r="O292">
        <v>5052603000000</v>
      </c>
      <c r="P292">
        <v>5395402000000</v>
      </c>
      <c r="Q292">
        <v>5961579000000</v>
      </c>
      <c r="R292">
        <v>6944822000000</v>
      </c>
      <c r="S292">
        <v>5696993000000</v>
      </c>
      <c r="T292">
        <v>7111476556500</v>
      </c>
      <c r="U292">
        <v>8581582503200</v>
      </c>
      <c r="V292">
        <v>8766489229800.001</v>
      </c>
      <c r="W292">
        <v>8690531739900</v>
      </c>
      <c r="X292">
        <v>8988342089900</v>
      </c>
      <c r="Y292">
        <v>8503461562899.999</v>
      </c>
      <c r="Z292">
        <v>8310636115400</v>
      </c>
      <c r="AA292">
        <v>8668907682300</v>
      </c>
      <c r="AB292">
        <v>9368896705900</v>
      </c>
      <c r="AC292">
        <v>9886900000000</v>
      </c>
      <c r="AD292">
        <v>8814856282800</v>
      </c>
      <c r="AE292">
        <v>11211471754021.9</v>
      </c>
      <c r="AF292">
        <v>13143701758468.5</v>
      </c>
      <c r="AG292">
        <f t="shared" si="17"/>
        <v>6499072213610.3721</v>
      </c>
    </row>
    <row r="293" spans="1:33" x14ac:dyDescent="0.3">
      <c r="A293" t="s">
        <v>505</v>
      </c>
      <c r="B293" s="1" t="s">
        <v>506</v>
      </c>
      <c r="C293" t="s">
        <v>176</v>
      </c>
      <c r="D293" s="1" t="s">
        <v>177</v>
      </c>
      <c r="E293">
        <v>7501791000</v>
      </c>
      <c r="F293">
        <v>8310348599.999999</v>
      </c>
      <c r="G293">
        <v>8197194299.999999</v>
      </c>
      <c r="H293">
        <v>8943240100</v>
      </c>
      <c r="I293">
        <v>9283855300</v>
      </c>
      <c r="J293">
        <v>10011609000</v>
      </c>
      <c r="K293">
        <v>10783519400</v>
      </c>
      <c r="L293">
        <v>11517189700</v>
      </c>
      <c r="M293">
        <v>13895461100</v>
      </c>
      <c r="N293">
        <v>28885956400</v>
      </c>
      <c r="O293">
        <v>29367003000</v>
      </c>
      <c r="P293">
        <v>29584431200</v>
      </c>
      <c r="Q293">
        <v>31830608000</v>
      </c>
      <c r="R293">
        <v>34659278900</v>
      </c>
      <c r="S293">
        <v>38638120500</v>
      </c>
      <c r="T293">
        <v>43230706500</v>
      </c>
      <c r="U293">
        <v>41531716100</v>
      </c>
      <c r="V293">
        <v>45389296600</v>
      </c>
      <c r="W293">
        <v>49463596600</v>
      </c>
      <c r="X293">
        <v>51309079300</v>
      </c>
      <c r="Y293">
        <v>58581061600</v>
      </c>
      <c r="Z293">
        <v>64389939300</v>
      </c>
      <c r="AA293">
        <v>70142188200</v>
      </c>
      <c r="AB293">
        <v>80445799900</v>
      </c>
      <c r="AC293">
        <v>90793764500</v>
      </c>
      <c r="AD293">
        <v>93329809100</v>
      </c>
      <c r="AE293">
        <v>104946661300</v>
      </c>
      <c r="AF293">
        <v>120900824821.03699</v>
      </c>
      <c r="AG293">
        <f t="shared" si="17"/>
        <v>42709430368.608467</v>
      </c>
    </row>
    <row r="294" spans="1:33" x14ac:dyDescent="0.3">
      <c r="A294" t="s">
        <v>505</v>
      </c>
      <c r="B294" s="1" t="s">
        <v>506</v>
      </c>
      <c r="C294" t="s">
        <v>178</v>
      </c>
      <c r="D294" s="1" t="s">
        <v>179</v>
      </c>
      <c r="E294">
        <v>2432203500</v>
      </c>
      <c r="F294">
        <v>3868500000</v>
      </c>
      <c r="G294">
        <v>4554900000</v>
      </c>
      <c r="H294">
        <v>5022100000</v>
      </c>
      <c r="I294">
        <v>5668700000</v>
      </c>
      <c r="J294">
        <v>6043100000</v>
      </c>
      <c r="K294">
        <v>6674000000</v>
      </c>
      <c r="L294">
        <v>7456000000</v>
      </c>
      <c r="M294">
        <v>8564100000</v>
      </c>
      <c r="N294">
        <v>9824300000</v>
      </c>
      <c r="O294">
        <v>11620900000</v>
      </c>
      <c r="P294">
        <v>13789900000</v>
      </c>
      <c r="Q294">
        <v>16993800000</v>
      </c>
      <c r="R294">
        <v>19074900000</v>
      </c>
      <c r="S294">
        <v>17986000000</v>
      </c>
      <c r="T294">
        <v>21821600000</v>
      </c>
      <c r="U294">
        <v>25478700000</v>
      </c>
      <c r="V294">
        <v>27227300000</v>
      </c>
      <c r="W294">
        <v>28593100000</v>
      </c>
      <c r="X294">
        <v>31124000000</v>
      </c>
      <c r="Y294">
        <v>33935000000</v>
      </c>
      <c r="Z294">
        <v>35836000000</v>
      </c>
      <c r="AA294">
        <v>40761600000</v>
      </c>
      <c r="AB294">
        <v>44599400000</v>
      </c>
      <c r="AC294">
        <v>49252653900</v>
      </c>
      <c r="AD294">
        <v>49266736200</v>
      </c>
      <c r="AE294">
        <v>60003323700</v>
      </c>
      <c r="AF294">
        <v>72265742900</v>
      </c>
      <c r="AG294">
        <f t="shared" si="17"/>
        <v>23562091435.714287</v>
      </c>
    </row>
    <row r="295" spans="1:33" x14ac:dyDescent="0.3">
      <c r="A295" t="s">
        <v>505</v>
      </c>
      <c r="B295" s="1" t="s">
        <v>506</v>
      </c>
      <c r="C295" t="s">
        <v>180</v>
      </c>
      <c r="D295" s="1" t="s">
        <v>181</v>
      </c>
      <c r="E295">
        <v>1894610000000</v>
      </c>
      <c r="F295">
        <v>1921380000000</v>
      </c>
      <c r="G295">
        <v>1961150000000</v>
      </c>
      <c r="H295">
        <v>2014420000000</v>
      </c>
      <c r="I295">
        <v>2059480000000</v>
      </c>
      <c r="J295">
        <v>2109090000000</v>
      </c>
      <c r="K295">
        <v>2172540000000</v>
      </c>
      <c r="L295">
        <v>2198120000000</v>
      </c>
      <c r="M295">
        <v>2211570000000</v>
      </c>
      <c r="N295">
        <v>2262520000000</v>
      </c>
      <c r="O295">
        <v>2288310000000</v>
      </c>
      <c r="P295">
        <v>2385080000000</v>
      </c>
      <c r="Q295">
        <v>2499550000000</v>
      </c>
      <c r="R295">
        <v>2546490000000</v>
      </c>
      <c r="S295">
        <v>2445730000000</v>
      </c>
      <c r="T295">
        <v>2564400000000</v>
      </c>
      <c r="U295">
        <v>2693560000000</v>
      </c>
      <c r="V295">
        <v>2745310000000</v>
      </c>
      <c r="W295">
        <v>2811350000000</v>
      </c>
      <c r="X295">
        <v>2927430000000</v>
      </c>
      <c r="Y295">
        <v>3026180000000</v>
      </c>
      <c r="Z295">
        <v>3134740000000</v>
      </c>
      <c r="AA295">
        <v>3267160000000</v>
      </c>
      <c r="AB295">
        <v>3365450000000</v>
      </c>
      <c r="AC295">
        <v>3474110000000</v>
      </c>
      <c r="AD295">
        <v>3403730000000</v>
      </c>
      <c r="AE295">
        <v>3617450000000</v>
      </c>
      <c r="AF295">
        <v>3876810000000</v>
      </c>
      <c r="AG295">
        <f t="shared" si="17"/>
        <v>2638490000000</v>
      </c>
    </row>
    <row r="296" spans="1:33" x14ac:dyDescent="0.3">
      <c r="A296" t="s">
        <v>505</v>
      </c>
      <c r="B296" s="1" t="s">
        <v>506</v>
      </c>
      <c r="C296" t="s">
        <v>182</v>
      </c>
      <c r="D296" s="1" t="s">
        <v>183</v>
      </c>
      <c r="E296">
        <v>775170000</v>
      </c>
      <c r="F296">
        <v>1133870000</v>
      </c>
      <c r="G296">
        <v>1411340000</v>
      </c>
      <c r="H296">
        <v>1729600000</v>
      </c>
      <c r="I296">
        <v>2057980000</v>
      </c>
      <c r="J296">
        <v>2715250000</v>
      </c>
      <c r="K296">
        <v>3807070000</v>
      </c>
      <c r="L296">
        <v>4886200000</v>
      </c>
      <c r="M296">
        <v>6615770000</v>
      </c>
      <c r="N296">
        <v>7988791000</v>
      </c>
      <c r="O296">
        <v>9726080000</v>
      </c>
      <c r="P296">
        <v>19112044100</v>
      </c>
      <c r="Q296">
        <v>23154448200</v>
      </c>
      <c r="R296">
        <v>30178598000</v>
      </c>
      <c r="S296">
        <v>36597592000</v>
      </c>
      <c r="T296">
        <v>46042100100</v>
      </c>
      <c r="U296">
        <v>59816320900</v>
      </c>
      <c r="V296">
        <v>75315365300</v>
      </c>
      <c r="W296">
        <v>124477578800</v>
      </c>
      <c r="X296">
        <v>158683996800</v>
      </c>
      <c r="Y296">
        <v>183525639100</v>
      </c>
      <c r="Z296">
        <v>219594593000</v>
      </c>
      <c r="AA296">
        <v>262797968799.99997</v>
      </c>
      <c r="AB296">
        <v>308587391700</v>
      </c>
      <c r="AC296">
        <v>356544269800</v>
      </c>
      <c r="AD296">
        <v>391940733200</v>
      </c>
      <c r="AE296">
        <v>461694936000</v>
      </c>
      <c r="AF296">
        <v>610222292300</v>
      </c>
      <c r="AG296">
        <f t="shared" si="17"/>
        <v>121826178182.14285</v>
      </c>
    </row>
    <row r="297" spans="1:33" x14ac:dyDescent="0.3">
      <c r="A297" t="s">
        <v>505</v>
      </c>
      <c r="B297" s="1" t="s">
        <v>506</v>
      </c>
      <c r="C297" t="s">
        <v>184</v>
      </c>
      <c r="D297" s="1" t="s">
        <v>185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  <c r="Z297" t="s">
        <v>34</v>
      </c>
      <c r="AA297" t="s">
        <v>34</v>
      </c>
      <c r="AB297" t="s">
        <v>34</v>
      </c>
      <c r="AC297" t="s">
        <v>34</v>
      </c>
      <c r="AD297" t="s">
        <v>34</v>
      </c>
      <c r="AE297" t="s">
        <v>34</v>
      </c>
      <c r="AF297" t="s">
        <v>34</v>
      </c>
      <c r="AG297" t="str">
        <f t="shared" si="17"/>
        <v>NA</v>
      </c>
    </row>
    <row r="298" spans="1:33" x14ac:dyDescent="0.3">
      <c r="A298" t="s">
        <v>505</v>
      </c>
      <c r="B298" s="1" t="s">
        <v>506</v>
      </c>
      <c r="C298" t="s">
        <v>186</v>
      </c>
      <c r="D298" s="1" t="s">
        <v>187</v>
      </c>
      <c r="E298">
        <v>93063601000</v>
      </c>
      <c r="F298">
        <v>103036643000</v>
      </c>
      <c r="G298">
        <v>114712185000</v>
      </c>
      <c r="H298">
        <v>125262554000</v>
      </c>
      <c r="I298">
        <v>133788728000</v>
      </c>
      <c r="J298">
        <v>141247276000</v>
      </c>
      <c r="K298">
        <v>152193838000</v>
      </c>
      <c r="L298">
        <v>163460764000</v>
      </c>
      <c r="M298">
        <v>178904903000</v>
      </c>
      <c r="N298">
        <v>193715824000</v>
      </c>
      <c r="O298">
        <v>199242312000</v>
      </c>
      <c r="P298">
        <v>217861568000</v>
      </c>
      <c r="Q298">
        <v>232694593000</v>
      </c>
      <c r="R298">
        <v>241990390000</v>
      </c>
      <c r="S298">
        <v>237534181000</v>
      </c>
      <c r="T298">
        <v>224124030000</v>
      </c>
      <c r="U298">
        <v>203308218000</v>
      </c>
      <c r="V298">
        <v>188380636000</v>
      </c>
      <c r="W298">
        <v>179884380000</v>
      </c>
      <c r="X298">
        <v>177235976000</v>
      </c>
      <c r="Y298">
        <v>176368863000</v>
      </c>
      <c r="Z298">
        <v>174494176000</v>
      </c>
      <c r="AA298">
        <v>176903369000</v>
      </c>
      <c r="AB298">
        <v>179557676000</v>
      </c>
      <c r="AC298">
        <v>183347418000</v>
      </c>
      <c r="AD298">
        <v>165015741000</v>
      </c>
      <c r="AE298">
        <v>181500373000</v>
      </c>
      <c r="AF298">
        <v>206620394000</v>
      </c>
      <c r="AG298">
        <f t="shared" si="17"/>
        <v>176623236071.42856</v>
      </c>
    </row>
    <row r="299" spans="1:33" x14ac:dyDescent="0.3">
      <c r="A299" t="s">
        <v>505</v>
      </c>
      <c r="B299" s="1" t="s">
        <v>506</v>
      </c>
      <c r="C299" t="s">
        <v>188</v>
      </c>
      <c r="D299" s="1" t="s">
        <v>189</v>
      </c>
      <c r="E299">
        <v>6773000000</v>
      </c>
      <c r="F299">
        <v>6944000000</v>
      </c>
      <c r="G299">
        <v>7081000000</v>
      </c>
      <c r="H299">
        <v>7705000000</v>
      </c>
      <c r="I299">
        <v>7894000000</v>
      </c>
      <c r="J299">
        <v>8633000000</v>
      </c>
      <c r="K299">
        <v>9040000000</v>
      </c>
      <c r="L299">
        <v>9230000000</v>
      </c>
      <c r="M299">
        <v>10268600000</v>
      </c>
      <c r="N299">
        <v>10918700000</v>
      </c>
      <c r="O299">
        <v>11093100000</v>
      </c>
      <c r="P299">
        <v>11971500000</v>
      </c>
      <c r="Q299">
        <v>12247300000</v>
      </c>
      <c r="R299">
        <v>12740700000</v>
      </c>
      <c r="S299">
        <v>13562800000</v>
      </c>
      <c r="T299">
        <v>14078000000</v>
      </c>
      <c r="U299">
        <v>14412100000</v>
      </c>
      <c r="V299">
        <v>15116500000</v>
      </c>
      <c r="W299">
        <v>15079500000</v>
      </c>
      <c r="X299">
        <v>15951000000</v>
      </c>
      <c r="Y299">
        <v>16813800000</v>
      </c>
      <c r="Z299">
        <v>18223700000</v>
      </c>
      <c r="AA299">
        <v>18828900000</v>
      </c>
      <c r="AB299">
        <v>19296100000</v>
      </c>
      <c r="AC299">
        <v>19990400000</v>
      </c>
      <c r="AD299">
        <v>20168700000</v>
      </c>
      <c r="AE299">
        <v>20343900000</v>
      </c>
      <c r="AF299" t="s">
        <v>34</v>
      </c>
      <c r="AG299">
        <f t="shared" si="17"/>
        <v>13126122222.222221</v>
      </c>
    </row>
    <row r="300" spans="1:33" x14ac:dyDescent="0.3">
      <c r="A300" t="s">
        <v>505</v>
      </c>
      <c r="B300" s="1" t="s">
        <v>506</v>
      </c>
      <c r="C300" t="s">
        <v>190</v>
      </c>
      <c r="D300" s="1" t="s">
        <v>191</v>
      </c>
      <c r="E300">
        <v>923865800</v>
      </c>
      <c r="F300">
        <v>990660900</v>
      </c>
      <c r="G300">
        <v>1058914600.0000001</v>
      </c>
      <c r="H300">
        <v>1203939700</v>
      </c>
      <c r="I300">
        <v>1301425300</v>
      </c>
      <c r="J300">
        <v>1404119800</v>
      </c>
      <c r="K300">
        <v>1405199300</v>
      </c>
      <c r="L300">
        <v>1458909700</v>
      </c>
      <c r="M300">
        <v>1595749700</v>
      </c>
      <c r="N300">
        <v>1617620200</v>
      </c>
      <c r="O300">
        <v>1878000000</v>
      </c>
      <c r="P300">
        <v>1886491800</v>
      </c>
      <c r="Q300">
        <v>2048445700.0000002</v>
      </c>
      <c r="R300">
        <v>2230135300</v>
      </c>
      <c r="S300">
        <v>2082444000</v>
      </c>
      <c r="T300">
        <v>2081739999.9999998</v>
      </c>
      <c r="U300">
        <v>2102370000</v>
      </c>
      <c r="V300">
        <v>2159680000</v>
      </c>
      <c r="W300">
        <v>2275070000</v>
      </c>
      <c r="X300">
        <v>2461040000</v>
      </c>
      <c r="Y300">
        <v>2691920000</v>
      </c>
      <c r="Z300">
        <v>2866430000</v>
      </c>
      <c r="AA300">
        <v>3039350000</v>
      </c>
      <c r="AB300">
        <v>3149590000</v>
      </c>
      <c r="AC300">
        <v>3276410000</v>
      </c>
      <c r="AD300">
        <v>2817210000</v>
      </c>
      <c r="AE300">
        <v>3031560000</v>
      </c>
      <c r="AF300">
        <v>3281523720.3166199</v>
      </c>
      <c r="AG300">
        <f t="shared" si="17"/>
        <v>2082850554.2970221</v>
      </c>
    </row>
    <row r="301" spans="1:33" x14ac:dyDescent="0.3">
      <c r="A301" t="s">
        <v>505</v>
      </c>
      <c r="B301" s="1" t="s">
        <v>506</v>
      </c>
      <c r="C301" t="s">
        <v>192</v>
      </c>
      <c r="D301" s="1" t="s">
        <v>193</v>
      </c>
      <c r="E301" t="s">
        <v>34</v>
      </c>
      <c r="F301" t="s">
        <v>34</v>
      </c>
      <c r="G301" t="s">
        <v>34</v>
      </c>
      <c r="H301" t="s">
        <v>34</v>
      </c>
      <c r="I301" t="s">
        <v>34</v>
      </c>
      <c r="J301" t="s">
        <v>34</v>
      </c>
      <c r="K301" t="s">
        <v>34</v>
      </c>
      <c r="L301">
        <v>3394000000</v>
      </c>
      <c r="M301">
        <v>3569000000</v>
      </c>
      <c r="N301">
        <v>3869000000</v>
      </c>
      <c r="O301">
        <v>4213000000</v>
      </c>
      <c r="P301">
        <v>4238000000</v>
      </c>
      <c r="Q301">
        <v>4397000000</v>
      </c>
      <c r="R301">
        <v>4658000000</v>
      </c>
      <c r="S301">
        <v>4828000000</v>
      </c>
      <c r="T301">
        <v>4949000000</v>
      </c>
      <c r="U301">
        <v>4984000000</v>
      </c>
      <c r="V301">
        <v>5265000000</v>
      </c>
      <c r="W301">
        <v>5399000000</v>
      </c>
      <c r="X301">
        <v>5610000000</v>
      </c>
      <c r="Y301">
        <v>5799000000</v>
      </c>
      <c r="Z301">
        <v>5901000000</v>
      </c>
      <c r="AA301">
        <v>6013000000</v>
      </c>
      <c r="AB301">
        <v>6056000000</v>
      </c>
      <c r="AC301">
        <v>6366000000</v>
      </c>
      <c r="AD301">
        <v>5886000000</v>
      </c>
      <c r="AE301">
        <v>6123000000</v>
      </c>
      <c r="AF301" t="s">
        <v>34</v>
      </c>
      <c r="AG301">
        <f t="shared" si="17"/>
        <v>5075850000</v>
      </c>
    </row>
    <row r="302" spans="1:33" x14ac:dyDescent="0.3">
      <c r="A302" t="s">
        <v>505</v>
      </c>
      <c r="B302" s="1" t="s">
        <v>506</v>
      </c>
      <c r="C302" t="s">
        <v>194</v>
      </c>
      <c r="D302" s="1" t="s">
        <v>195</v>
      </c>
      <c r="E302">
        <v>85156693000</v>
      </c>
      <c r="F302">
        <v>95478558700</v>
      </c>
      <c r="G302">
        <v>107873382000</v>
      </c>
      <c r="H302">
        <v>124022534000</v>
      </c>
      <c r="I302">
        <v>135286970000</v>
      </c>
      <c r="J302">
        <v>149743023000</v>
      </c>
      <c r="K302">
        <v>144639135000</v>
      </c>
      <c r="L302">
        <v>159908446000</v>
      </c>
      <c r="M302">
        <v>171335652000</v>
      </c>
      <c r="N302">
        <v>187356905000</v>
      </c>
      <c r="O302">
        <v>204462894000</v>
      </c>
      <c r="P302">
        <v>226134533000</v>
      </c>
      <c r="Q302">
        <v>257576324000</v>
      </c>
      <c r="R302">
        <v>291089203000</v>
      </c>
      <c r="S302">
        <v>303007101000</v>
      </c>
      <c r="T302">
        <v>327762554000</v>
      </c>
      <c r="U302">
        <v>364949303000</v>
      </c>
      <c r="V302">
        <v>388499254000</v>
      </c>
      <c r="W302">
        <v>416383221000</v>
      </c>
      <c r="X302">
        <v>447326327000</v>
      </c>
      <c r="Y302">
        <v>476022821000</v>
      </c>
      <c r="Z302">
        <v>502001705000</v>
      </c>
      <c r="AA302">
        <v>526507414000</v>
      </c>
      <c r="AB302">
        <v>551368082100</v>
      </c>
      <c r="AC302">
        <v>593972019900</v>
      </c>
      <c r="AD302">
        <v>600089443300</v>
      </c>
      <c r="AE302">
        <v>665567936200</v>
      </c>
      <c r="AF302">
        <v>736108984100</v>
      </c>
      <c r="AG302">
        <f t="shared" si="17"/>
        <v>329986800653.57141</v>
      </c>
    </row>
    <row r="303" spans="1:33" x14ac:dyDescent="0.3">
      <c r="A303" t="s">
        <v>505</v>
      </c>
      <c r="B303" s="1" t="s">
        <v>506</v>
      </c>
      <c r="C303" t="s">
        <v>196</v>
      </c>
      <c r="D303" s="1" t="s">
        <v>197</v>
      </c>
      <c r="E303">
        <v>3661987100000</v>
      </c>
      <c r="F303">
        <v>3884508400000</v>
      </c>
      <c r="G303">
        <v>4144383600000</v>
      </c>
      <c r="H303">
        <v>4438216900000</v>
      </c>
      <c r="I303">
        <v>4802187900000</v>
      </c>
      <c r="J303">
        <v>5232506216200</v>
      </c>
      <c r="K303">
        <v>5518979789300</v>
      </c>
      <c r="L303">
        <v>5829131709300</v>
      </c>
      <c r="M303">
        <v>6840950000000</v>
      </c>
      <c r="N303">
        <v>8157718293700</v>
      </c>
      <c r="O303">
        <v>10703668446000</v>
      </c>
      <c r="P303">
        <v>21727824076000</v>
      </c>
      <c r="Q303">
        <v>26369932404000</v>
      </c>
      <c r="R303">
        <v>32047000719000</v>
      </c>
      <c r="S303">
        <v>32248417681000</v>
      </c>
      <c r="T303">
        <v>39243443549000</v>
      </c>
      <c r="U303">
        <v>45175655671000</v>
      </c>
      <c r="V303">
        <v>53358078042000</v>
      </c>
      <c r="W303">
        <v>57864627320000</v>
      </c>
      <c r="X303">
        <v>61573256815000</v>
      </c>
      <c r="Y303">
        <v>65829149255000</v>
      </c>
      <c r="Z303">
        <v>77087903007000</v>
      </c>
      <c r="AA303">
        <v>93833883938000</v>
      </c>
      <c r="AB303">
        <v>106845291580000</v>
      </c>
      <c r="AC303">
        <v>123457571240000</v>
      </c>
      <c r="AD303">
        <v>135612165000000</v>
      </c>
      <c r="AE303">
        <v>157104658970000</v>
      </c>
      <c r="AF303">
        <v>182569407513366</v>
      </c>
      <c r="AG303">
        <f t="shared" si="17"/>
        <v>49112946611959.5</v>
      </c>
    </row>
    <row r="304" spans="1:33" x14ac:dyDescent="0.3">
      <c r="A304" t="s">
        <v>505</v>
      </c>
      <c r="B304" s="1" t="s">
        <v>506</v>
      </c>
      <c r="C304" t="s">
        <v>198</v>
      </c>
      <c r="D304" s="1" t="s">
        <v>199</v>
      </c>
      <c r="E304">
        <v>70612734500</v>
      </c>
      <c r="F304">
        <v>109721473400</v>
      </c>
      <c r="G304">
        <v>156745000000</v>
      </c>
      <c r="H304">
        <v>121800000000</v>
      </c>
      <c r="I304">
        <v>138191608900</v>
      </c>
      <c r="J304">
        <v>263555000000</v>
      </c>
      <c r="K304">
        <v>287555000000</v>
      </c>
      <c r="L304">
        <v>289838000000</v>
      </c>
      <c r="M304">
        <v>276877000000</v>
      </c>
      <c r="N304">
        <v>280577000000</v>
      </c>
      <c r="O304">
        <v>309516000000</v>
      </c>
      <c r="P304">
        <v>309467000000</v>
      </c>
      <c r="Q304">
        <v>333565000000</v>
      </c>
      <c r="R304">
        <v>387197000000</v>
      </c>
      <c r="S304">
        <v>390403000000</v>
      </c>
      <c r="T304">
        <v>420515000000</v>
      </c>
      <c r="U304">
        <v>518288000000</v>
      </c>
      <c r="V304">
        <v>505078658700</v>
      </c>
      <c r="W304">
        <v>516662157300</v>
      </c>
      <c r="X304">
        <v>520872300700</v>
      </c>
      <c r="Y304">
        <v>619725621200</v>
      </c>
      <c r="Z304">
        <v>698684930600</v>
      </c>
      <c r="AA304">
        <v>783989395300</v>
      </c>
      <c r="AB304">
        <v>835741534500</v>
      </c>
      <c r="AC304">
        <v>843500000000</v>
      </c>
      <c r="AD304">
        <v>824100000000</v>
      </c>
      <c r="AE304">
        <v>908608274600</v>
      </c>
      <c r="AF304">
        <v>1018948330700</v>
      </c>
      <c r="AG304">
        <f t="shared" si="17"/>
        <v>455011965014.28571</v>
      </c>
    </row>
    <row r="305" spans="1:33" x14ac:dyDescent="0.3">
      <c r="A305" t="s">
        <v>505</v>
      </c>
      <c r="B305" s="1" t="s">
        <v>506</v>
      </c>
      <c r="C305" t="s">
        <v>200</v>
      </c>
      <c r="D305" s="1" t="s">
        <v>201</v>
      </c>
      <c r="E305">
        <v>88271003600</v>
      </c>
      <c r="F305">
        <v>99039002600</v>
      </c>
      <c r="G305">
        <v>106678001700</v>
      </c>
      <c r="H305">
        <v>108002000900</v>
      </c>
      <c r="I305">
        <v>123664998400</v>
      </c>
      <c r="J305">
        <v>130012004400</v>
      </c>
      <c r="K305">
        <v>133403799999.99998</v>
      </c>
      <c r="L305">
        <v>138447850000</v>
      </c>
      <c r="M305">
        <v>144064000000</v>
      </c>
      <c r="N305">
        <v>156229500000</v>
      </c>
      <c r="O305">
        <v>164873000000</v>
      </c>
      <c r="P305">
        <v>476411796400</v>
      </c>
      <c r="Q305">
        <v>552603000000</v>
      </c>
      <c r="R305">
        <v>616029000000</v>
      </c>
      <c r="S305">
        <v>645637000000</v>
      </c>
      <c r="T305">
        <v>699064000000</v>
      </c>
      <c r="U305">
        <v>753107000000</v>
      </c>
      <c r="V305">
        <v>830326000000</v>
      </c>
      <c r="W305">
        <v>856042000000</v>
      </c>
      <c r="X305">
        <v>852152000000</v>
      </c>
      <c r="Y305">
        <v>883787000000</v>
      </c>
      <c r="Z305">
        <v>925677000000</v>
      </c>
      <c r="AA305">
        <v>980498000000</v>
      </c>
      <c r="AB305">
        <v>994472000000</v>
      </c>
      <c r="AC305">
        <v>1078729000000</v>
      </c>
      <c r="AD305">
        <v>1140757000000</v>
      </c>
      <c r="AE305">
        <v>1676624000000</v>
      </c>
      <c r="AF305">
        <v>3068784000000</v>
      </c>
      <c r="AG305">
        <f t="shared" si="17"/>
        <v>657978034214.28577</v>
      </c>
    </row>
    <row r="306" spans="1:33" x14ac:dyDescent="0.3">
      <c r="A306" t="s">
        <v>505</v>
      </c>
      <c r="B306" s="1" t="s">
        <v>506</v>
      </c>
      <c r="C306" t="s">
        <v>202</v>
      </c>
      <c r="D306" s="1" t="s">
        <v>203</v>
      </c>
      <c r="E306">
        <v>40728899000</v>
      </c>
      <c r="F306">
        <v>46647000000</v>
      </c>
      <c r="G306">
        <v>54006000000</v>
      </c>
      <c r="H306">
        <v>62997000000</v>
      </c>
      <c r="I306">
        <v>69254000000</v>
      </c>
      <c r="J306">
        <v>133691930700</v>
      </c>
      <c r="K306">
        <v>150884945100</v>
      </c>
      <c r="L306">
        <v>168056098790</v>
      </c>
      <c r="M306">
        <v>205183619390</v>
      </c>
      <c r="N306">
        <v>241564076570</v>
      </c>
      <c r="O306">
        <v>274063476620</v>
      </c>
      <c r="P306">
        <v>316615042440</v>
      </c>
      <c r="Q306">
        <v>345149437450</v>
      </c>
      <c r="R306">
        <v>399233924460</v>
      </c>
      <c r="S306">
        <v>471795554900</v>
      </c>
      <c r="T306">
        <v>478044247100</v>
      </c>
      <c r="U306">
        <v>524124004000</v>
      </c>
      <c r="V306">
        <v>569992486400</v>
      </c>
      <c r="W306">
        <v>642673665900</v>
      </c>
      <c r="X306">
        <v>675911848200</v>
      </c>
      <c r="Y306">
        <v>721054964980</v>
      </c>
      <c r="Z306">
        <v>849404900100</v>
      </c>
      <c r="AA306">
        <v>990712417920</v>
      </c>
      <c r="AB306">
        <v>1073066120100</v>
      </c>
      <c r="AC306">
        <v>1263386318400</v>
      </c>
      <c r="AD306">
        <v>1449887922300</v>
      </c>
      <c r="AE306">
        <v>1693774236400</v>
      </c>
      <c r="AF306">
        <v>2168222876400</v>
      </c>
      <c r="AG306">
        <f t="shared" si="17"/>
        <v>574290250486.42859</v>
      </c>
    </row>
    <row r="307" spans="1:33" x14ac:dyDescent="0.3">
      <c r="A307" t="s">
        <v>505</v>
      </c>
      <c r="B307" s="1" t="s">
        <v>506</v>
      </c>
      <c r="C307" t="s">
        <v>204</v>
      </c>
      <c r="D307" s="1" t="s">
        <v>205</v>
      </c>
      <c r="E307">
        <v>51281997600</v>
      </c>
      <c r="F307">
        <v>61745943200</v>
      </c>
      <c r="G307">
        <v>75442860400</v>
      </c>
      <c r="H307">
        <v>86200247200</v>
      </c>
      <c r="I307">
        <v>92048369600</v>
      </c>
      <c r="J307">
        <v>106654200000</v>
      </c>
      <c r="K307">
        <v>118415700000</v>
      </c>
      <c r="L307">
        <v>129166600000</v>
      </c>
      <c r="M307">
        <v>142817800000</v>
      </c>
      <c r="N307">
        <v>161507500000</v>
      </c>
      <c r="O307">
        <v>183747400000</v>
      </c>
      <c r="P307">
        <v>206288000000</v>
      </c>
      <c r="Q307">
        <v>233567200000</v>
      </c>
      <c r="R307">
        <v>262416900000.00003</v>
      </c>
      <c r="S307">
        <v>275632200000</v>
      </c>
      <c r="T307">
        <v>299286000000</v>
      </c>
      <c r="U307">
        <v>335027800000</v>
      </c>
      <c r="V307">
        <v>361348500000</v>
      </c>
      <c r="W307">
        <v>376539400000</v>
      </c>
      <c r="X307">
        <v>414633500000</v>
      </c>
      <c r="Y307">
        <v>460405200000</v>
      </c>
      <c r="Z307">
        <v>495921900000</v>
      </c>
      <c r="AA307">
        <v>543403000000</v>
      </c>
      <c r="AB307">
        <v>575284900000</v>
      </c>
      <c r="AC307">
        <v>614917700000</v>
      </c>
      <c r="AD307">
        <v>585733600000</v>
      </c>
      <c r="AE307">
        <v>684203800000</v>
      </c>
      <c r="AF307">
        <v>776635600000</v>
      </c>
      <c r="AG307">
        <f t="shared" si="17"/>
        <v>311081207785.71429</v>
      </c>
    </row>
    <row r="308" spans="1:33" x14ac:dyDescent="0.3">
      <c r="A308" t="s">
        <v>505</v>
      </c>
      <c r="B308" s="1" t="s">
        <v>506</v>
      </c>
      <c r="C308" t="s">
        <v>206</v>
      </c>
      <c r="D308" s="1" t="s">
        <v>207</v>
      </c>
      <c r="E308">
        <v>1119006000000</v>
      </c>
      <c r="F308">
        <v>1235301000000</v>
      </c>
      <c r="G308">
        <v>1373083000000</v>
      </c>
      <c r="H308">
        <v>1308074000000</v>
      </c>
      <c r="I308">
        <v>1285946000000</v>
      </c>
      <c r="J308">
        <v>1337501000000</v>
      </c>
      <c r="K308">
        <v>1321142000000</v>
      </c>
      <c r="L308">
        <v>1297341000000</v>
      </c>
      <c r="M308">
        <v>1256669000000</v>
      </c>
      <c r="N308">
        <v>1316949000000</v>
      </c>
      <c r="O308">
        <v>1412125000000</v>
      </c>
      <c r="P308">
        <v>1503351000000</v>
      </c>
      <c r="Q308">
        <v>1650756000000</v>
      </c>
      <c r="R308">
        <v>1707487000000</v>
      </c>
      <c r="S308">
        <v>1659245000000</v>
      </c>
      <c r="T308">
        <v>1776332000000</v>
      </c>
      <c r="U308">
        <v>1934430000000</v>
      </c>
      <c r="V308">
        <v>2037059000000</v>
      </c>
      <c r="W308">
        <v>2138305000000</v>
      </c>
      <c r="X308">
        <v>2260005000000</v>
      </c>
      <c r="Y308">
        <v>2398280000000</v>
      </c>
      <c r="Z308">
        <v>2490598000000</v>
      </c>
      <c r="AA308">
        <v>2659611000000</v>
      </c>
      <c r="AB308">
        <v>2835429000000</v>
      </c>
      <c r="AC308">
        <v>2845022000000</v>
      </c>
      <c r="AD308">
        <v>2675793000000</v>
      </c>
      <c r="AE308">
        <v>2867622000000</v>
      </c>
      <c r="AF308">
        <v>2818046000000</v>
      </c>
      <c r="AG308">
        <f t="shared" si="17"/>
        <v>1875732428571.4285</v>
      </c>
    </row>
    <row r="309" spans="1:33" x14ac:dyDescent="0.3">
      <c r="A309" t="s">
        <v>505</v>
      </c>
      <c r="B309" s="1" t="s">
        <v>506</v>
      </c>
      <c r="C309" t="s">
        <v>208</v>
      </c>
      <c r="D309" s="1" t="s">
        <v>209</v>
      </c>
      <c r="E309">
        <v>5836483000000</v>
      </c>
      <c r="F309">
        <v>7122305000000</v>
      </c>
      <c r="G309">
        <v>8834560000000</v>
      </c>
      <c r="H309">
        <v>10442818000000</v>
      </c>
      <c r="I309">
        <v>11637546000000</v>
      </c>
      <c r="J309">
        <v>13324052000000</v>
      </c>
      <c r="K309">
        <v>15398700000000</v>
      </c>
      <c r="L309">
        <v>17433859000000</v>
      </c>
      <c r="M309">
        <v>19130011000000</v>
      </c>
      <c r="N309">
        <v>21110059000000</v>
      </c>
      <c r="O309">
        <v>22594966000000</v>
      </c>
      <c r="P309">
        <v>24345409000000</v>
      </c>
      <c r="Q309">
        <v>25741898000000</v>
      </c>
      <c r="R309">
        <v>27249944000000</v>
      </c>
      <c r="S309">
        <v>26520776000000</v>
      </c>
      <c r="T309">
        <v>27485093000000</v>
      </c>
      <c r="U309">
        <v>28538202000000</v>
      </c>
      <c r="V309">
        <v>28996631000000</v>
      </c>
      <c r="W309">
        <v>30351903000000</v>
      </c>
      <c r="X309">
        <v>32804707000000</v>
      </c>
      <c r="Y309">
        <v>34965213000000</v>
      </c>
      <c r="Z309">
        <v>36206666000000</v>
      </c>
      <c r="AA309">
        <v>39274757000000</v>
      </c>
      <c r="AB309">
        <v>43386710000000</v>
      </c>
      <c r="AC309">
        <v>47674187000000</v>
      </c>
      <c r="AD309">
        <v>48425421000000</v>
      </c>
      <c r="AE309">
        <v>55198927000000</v>
      </c>
      <c r="AF309">
        <v>66075190000000</v>
      </c>
      <c r="AG309">
        <f t="shared" si="17"/>
        <v>27718106892857.145</v>
      </c>
    </row>
    <row r="310" spans="1:33" x14ac:dyDescent="0.3">
      <c r="A310" t="s">
        <v>505</v>
      </c>
      <c r="B310" s="1" t="s">
        <v>506</v>
      </c>
      <c r="C310" t="s">
        <v>210</v>
      </c>
      <c r="D310" s="1" t="s">
        <v>211</v>
      </c>
      <c r="E310">
        <v>460839956000</v>
      </c>
      <c r="F310">
        <v>493834471000</v>
      </c>
      <c r="G310">
        <v>536722360000</v>
      </c>
      <c r="H310">
        <v>603407606000</v>
      </c>
      <c r="I310">
        <v>649719107000</v>
      </c>
      <c r="J310">
        <v>709561315000</v>
      </c>
      <c r="K310">
        <v>802276656000</v>
      </c>
      <c r="L310">
        <v>854139932000</v>
      </c>
      <c r="M310">
        <v>876732708000</v>
      </c>
      <c r="N310">
        <v>970421488000</v>
      </c>
      <c r="O310">
        <v>1061428264000</v>
      </c>
      <c r="P310">
        <v>1225716056000</v>
      </c>
      <c r="Q310">
        <v>1386951246000</v>
      </c>
      <c r="R310">
        <v>1589625135000</v>
      </c>
      <c r="S310">
        <v>1626390727000</v>
      </c>
      <c r="T310">
        <v>1680966939000</v>
      </c>
      <c r="U310">
        <v>1765008670000</v>
      </c>
      <c r="V310">
        <v>1845159750000</v>
      </c>
      <c r="W310">
        <v>1970145725000</v>
      </c>
      <c r="X310">
        <v>2086359608000</v>
      </c>
      <c r="Y310">
        <v>2310847787000</v>
      </c>
      <c r="Z310">
        <v>2512054819000</v>
      </c>
      <c r="AA310">
        <v>2641959405000</v>
      </c>
      <c r="AB310">
        <v>2844054748000</v>
      </c>
      <c r="AC310">
        <v>3026099913000</v>
      </c>
      <c r="AD310">
        <v>2920473195000</v>
      </c>
      <c r="AE310">
        <v>3250399268000</v>
      </c>
      <c r="AF310">
        <v>3796566848000</v>
      </c>
      <c r="AG310">
        <f t="shared" si="17"/>
        <v>1660637989357.1428</v>
      </c>
    </row>
    <row r="311" spans="1:33" x14ac:dyDescent="0.3">
      <c r="A311" t="s">
        <v>505</v>
      </c>
      <c r="B311" s="1" t="s">
        <v>506</v>
      </c>
      <c r="C311" t="s">
        <v>212</v>
      </c>
      <c r="D311" s="1" t="s">
        <v>213</v>
      </c>
      <c r="E311">
        <v>12055826758000</v>
      </c>
      <c r="F311">
        <v>13948159747000</v>
      </c>
      <c r="G311">
        <v>15452938758000</v>
      </c>
      <c r="H311">
        <v>17722970117000</v>
      </c>
      <c r="I311">
        <v>19882615729000</v>
      </c>
      <c r="J311">
        <v>21398856906000</v>
      </c>
      <c r="K311">
        <v>23152429571000</v>
      </c>
      <c r="L311">
        <v>24926137847000</v>
      </c>
      <c r="M311">
        <v>27925301414000</v>
      </c>
      <c r="N311">
        <v>31863319238000</v>
      </c>
      <c r="O311">
        <v>36321246607000</v>
      </c>
      <c r="P311">
        <v>42546289838000</v>
      </c>
      <c r="Q311">
        <v>48986620591000</v>
      </c>
      <c r="R311">
        <v>55141523847000</v>
      </c>
      <c r="S311">
        <v>63664065417000</v>
      </c>
      <c r="T311">
        <v>76344721044000</v>
      </c>
      <c r="U311">
        <v>87363287114000</v>
      </c>
      <c r="V311">
        <v>99440131062000</v>
      </c>
      <c r="W311">
        <v>112335216120000</v>
      </c>
      <c r="X311">
        <v>124679592930000</v>
      </c>
      <c r="Y311">
        <v>137718738789999.98</v>
      </c>
      <c r="Z311">
        <v>153916690150000</v>
      </c>
      <c r="AA311">
        <v>170900423610000</v>
      </c>
      <c r="AB311">
        <v>188996684450000</v>
      </c>
      <c r="AC311">
        <v>201035928570000</v>
      </c>
      <c r="AD311">
        <v>198299270530000</v>
      </c>
      <c r="AE311">
        <v>234710117360000</v>
      </c>
      <c r="AF311">
        <v>272407121723700</v>
      </c>
      <c r="AG311">
        <f t="shared" si="17"/>
        <v>89754865208525</v>
      </c>
    </row>
    <row r="312" spans="1:33" x14ac:dyDescent="0.3">
      <c r="A312" t="s">
        <v>505</v>
      </c>
      <c r="B312" s="1" t="s">
        <v>506</v>
      </c>
      <c r="C312" t="s">
        <v>214</v>
      </c>
      <c r="D312" s="1" t="s">
        <v>215</v>
      </c>
      <c r="E312">
        <v>454514100000000</v>
      </c>
      <c r="F312">
        <v>532568000000000</v>
      </c>
      <c r="G312">
        <v>627695800000000</v>
      </c>
      <c r="H312">
        <v>955753500000000</v>
      </c>
      <c r="I312">
        <v>1099731600000000</v>
      </c>
      <c r="J312">
        <v>1389769900000000</v>
      </c>
      <c r="K312">
        <v>1646322000000000</v>
      </c>
      <c r="L312">
        <v>1821833400000000</v>
      </c>
      <c r="M312">
        <v>2013674600000000</v>
      </c>
      <c r="N312">
        <v>2295826200000000</v>
      </c>
      <c r="O312">
        <v>2774281100000000</v>
      </c>
      <c r="P312">
        <v>3339216800000000</v>
      </c>
      <c r="Q312">
        <v>3950893200000000</v>
      </c>
      <c r="R312">
        <v>4948688397200000</v>
      </c>
      <c r="S312">
        <v>5606203365800000</v>
      </c>
      <c r="T312">
        <v>6864133100000000</v>
      </c>
      <c r="U312">
        <v>7831726000000000</v>
      </c>
      <c r="V312">
        <v>8615704500000000</v>
      </c>
      <c r="W312">
        <v>9546134000000000</v>
      </c>
      <c r="X312">
        <v>1.05697053E+16</v>
      </c>
      <c r="Y312">
        <v>1.15263328E+16</v>
      </c>
      <c r="Z312">
        <v>1.24017285E+16</v>
      </c>
      <c r="AA312">
        <v>1.35898257E+16</v>
      </c>
      <c r="AB312">
        <v>1.4838756E+16</v>
      </c>
      <c r="AC312">
        <v>1.58326572E+16</v>
      </c>
      <c r="AD312">
        <v>1.54433532E+16</v>
      </c>
      <c r="AE312">
        <v>1.69766908E+16</v>
      </c>
      <c r="AF312">
        <v>1.95884456E+16</v>
      </c>
      <c r="AG312">
        <f t="shared" si="17"/>
        <v>7038648737964286</v>
      </c>
    </row>
    <row r="313" spans="1:33" x14ac:dyDescent="0.3">
      <c r="A313" t="s">
        <v>505</v>
      </c>
      <c r="B313" s="1" t="s">
        <v>506</v>
      </c>
      <c r="C313" t="s">
        <v>216</v>
      </c>
      <c r="D313" s="1" t="s">
        <v>217</v>
      </c>
      <c r="E313">
        <v>197370155100000</v>
      </c>
      <c r="F313">
        <v>270427231010000</v>
      </c>
      <c r="G313">
        <v>316638314730000</v>
      </c>
      <c r="H313">
        <v>353547784240000</v>
      </c>
      <c r="I313">
        <v>474975733770000</v>
      </c>
      <c r="J313">
        <v>628070077410000</v>
      </c>
      <c r="K313">
        <v>738307447970000</v>
      </c>
      <c r="L313">
        <v>1023613009500000</v>
      </c>
      <c r="M313">
        <v>1258128741600000</v>
      </c>
      <c r="N313">
        <v>1637032106700000</v>
      </c>
      <c r="O313">
        <v>2029907660500000</v>
      </c>
      <c r="P313">
        <v>2442212113200000</v>
      </c>
      <c r="Q313">
        <v>3247304255200000</v>
      </c>
      <c r="R313">
        <v>3887723271000000</v>
      </c>
      <c r="S313">
        <v>4107466221900000</v>
      </c>
      <c r="T313">
        <v>5035812289000000</v>
      </c>
      <c r="U313">
        <v>6895999706412120</v>
      </c>
      <c r="V313">
        <v>7895676801943380</v>
      </c>
      <c r="W313">
        <v>1.06349977961169E+16</v>
      </c>
      <c r="X313">
        <v>1.22547075850814E+16</v>
      </c>
      <c r="Y313">
        <v>1.21038900865717E+16</v>
      </c>
      <c r="Z313">
        <v>1.44088908141246E+16</v>
      </c>
      <c r="AA313">
        <v>1.67364189901866E+16</v>
      </c>
      <c r="AB313">
        <v>2.16270699687997E+16</v>
      </c>
      <c r="AC313">
        <v>2.73640132470194E+16</v>
      </c>
      <c r="AD313">
        <v>4.07913768579528E+16</v>
      </c>
      <c r="AE313">
        <v>6.6774502840584704E+16</v>
      </c>
      <c r="AF313">
        <v>1.0435004995147301E+17</v>
      </c>
      <c r="AG313">
        <f t="shared" si="17"/>
        <v>1.3195933252110582E+16</v>
      </c>
    </row>
    <row r="314" spans="1:33" x14ac:dyDescent="0.3">
      <c r="A314" t="s">
        <v>505</v>
      </c>
      <c r="B314" s="1" t="s">
        <v>506</v>
      </c>
      <c r="C314" t="s">
        <v>218</v>
      </c>
      <c r="D314" s="1" t="s">
        <v>219</v>
      </c>
      <c r="E314">
        <v>6695482900000</v>
      </c>
      <c r="F314">
        <v>6500924600000</v>
      </c>
      <c r="G314">
        <v>15093144000000</v>
      </c>
      <c r="H314">
        <v>17125847500000</v>
      </c>
      <c r="I314">
        <v>34464012600000</v>
      </c>
      <c r="J314">
        <v>50213699900000</v>
      </c>
      <c r="K314">
        <v>41314568500000</v>
      </c>
      <c r="L314">
        <v>41022927400000</v>
      </c>
      <c r="M314">
        <v>29585788600000</v>
      </c>
      <c r="N314">
        <v>53235358700000</v>
      </c>
      <c r="O314">
        <v>73533598600000</v>
      </c>
      <c r="P314">
        <v>95587954800000</v>
      </c>
      <c r="Q314">
        <v>111455813400000</v>
      </c>
      <c r="R314">
        <v>157026061600000</v>
      </c>
      <c r="S314">
        <v>130643200400000</v>
      </c>
      <c r="T314">
        <v>162064565500000</v>
      </c>
      <c r="U314">
        <v>217327107400000</v>
      </c>
      <c r="V314">
        <v>254225490700000</v>
      </c>
      <c r="W314">
        <v>273587529200000</v>
      </c>
      <c r="X314">
        <v>266332655100000</v>
      </c>
      <c r="Y314">
        <v>194680971800000</v>
      </c>
      <c r="Z314">
        <v>196924141700000</v>
      </c>
      <c r="AA314">
        <v>221665709500000</v>
      </c>
      <c r="AB314">
        <v>268918874000000</v>
      </c>
      <c r="AC314">
        <v>276157867600000.03</v>
      </c>
      <c r="AD314">
        <v>215661517000000</v>
      </c>
      <c r="AE314">
        <v>301152819000000</v>
      </c>
      <c r="AF314">
        <v>383064152000000</v>
      </c>
      <c r="AG314">
        <f t="shared" si="17"/>
        <v>146259349428571.44</v>
      </c>
    </row>
    <row r="315" spans="1:33" x14ac:dyDescent="0.3">
      <c r="A315" t="s">
        <v>505</v>
      </c>
      <c r="B315" s="1" t="s">
        <v>506</v>
      </c>
      <c r="C315" t="s">
        <v>220</v>
      </c>
      <c r="D315" s="1" t="s">
        <v>221</v>
      </c>
      <c r="E315">
        <v>54758740000</v>
      </c>
      <c r="F315">
        <v>60147568000</v>
      </c>
      <c r="G315">
        <v>69400729000</v>
      </c>
      <c r="H315">
        <v>80430814000</v>
      </c>
      <c r="I315">
        <v>92790527000</v>
      </c>
      <c r="J315">
        <v>108495289000</v>
      </c>
      <c r="K315">
        <v>122089174000</v>
      </c>
      <c r="L315">
        <v>135997894000</v>
      </c>
      <c r="M315">
        <v>145576854000</v>
      </c>
      <c r="N315">
        <v>156259951000</v>
      </c>
      <c r="O315">
        <v>170306765000</v>
      </c>
      <c r="P315">
        <v>184916243000</v>
      </c>
      <c r="Q315">
        <v>197069396000</v>
      </c>
      <c r="R315">
        <v>187282983000</v>
      </c>
      <c r="S315">
        <v>169519713000</v>
      </c>
      <c r="T315">
        <v>167391394000</v>
      </c>
      <c r="U315">
        <v>171823511000</v>
      </c>
      <c r="V315">
        <v>175218480000</v>
      </c>
      <c r="W315">
        <v>179285627000</v>
      </c>
      <c r="X315">
        <v>195469876000</v>
      </c>
      <c r="Y315">
        <v>263506832000</v>
      </c>
      <c r="Z315">
        <v>269724840000.00003</v>
      </c>
      <c r="AA315">
        <v>298528309000</v>
      </c>
      <c r="AB315">
        <v>327441366000</v>
      </c>
      <c r="AC315">
        <v>356357386000</v>
      </c>
      <c r="AD315">
        <v>375249648000</v>
      </c>
      <c r="AE315">
        <v>434069740000</v>
      </c>
      <c r="AF315">
        <v>506282419000</v>
      </c>
      <c r="AG315">
        <f t="shared" si="17"/>
        <v>201978288142.85715</v>
      </c>
    </row>
    <row r="316" spans="1:33" x14ac:dyDescent="0.3">
      <c r="A316" t="s">
        <v>505</v>
      </c>
      <c r="B316" s="1" t="s">
        <v>506</v>
      </c>
      <c r="C316" t="s">
        <v>222</v>
      </c>
      <c r="D316" s="1" t="s">
        <v>223</v>
      </c>
      <c r="E316">
        <v>584442000</v>
      </c>
      <c r="F316">
        <v>645619000</v>
      </c>
      <c r="G316">
        <v>719682000</v>
      </c>
      <c r="H316">
        <v>836338000</v>
      </c>
      <c r="I316">
        <v>972730000</v>
      </c>
      <c r="J316">
        <v>1058134000</v>
      </c>
      <c r="K316">
        <v>1159235000</v>
      </c>
      <c r="L316">
        <v>1261677000</v>
      </c>
      <c r="M316">
        <v>1379730000</v>
      </c>
      <c r="N316">
        <v>1530565000</v>
      </c>
      <c r="O316">
        <v>1667820000</v>
      </c>
      <c r="P316">
        <v>1860211000</v>
      </c>
      <c r="Q316">
        <v>2232157000</v>
      </c>
      <c r="R316">
        <v>3225061000</v>
      </c>
      <c r="S316">
        <v>3522159000</v>
      </c>
      <c r="T316">
        <v>3831539000</v>
      </c>
      <c r="U316">
        <v>4097902000</v>
      </c>
      <c r="V316">
        <v>4235229000</v>
      </c>
      <c r="W316">
        <v>4478379000</v>
      </c>
      <c r="X316">
        <v>4684659000</v>
      </c>
      <c r="Y316">
        <v>4637321000</v>
      </c>
      <c r="Z316">
        <v>5070660000</v>
      </c>
      <c r="AA316">
        <v>5423135000</v>
      </c>
      <c r="AB316">
        <v>5615231000</v>
      </c>
      <c r="AC316">
        <v>5730875000</v>
      </c>
      <c r="AD316">
        <v>5213696000</v>
      </c>
      <c r="AE316" t="s">
        <v>34</v>
      </c>
      <c r="AF316" t="s">
        <v>34</v>
      </c>
      <c r="AG316">
        <f t="shared" si="17"/>
        <v>2910545615.3846154</v>
      </c>
    </row>
    <row r="317" spans="1:33" x14ac:dyDescent="0.3">
      <c r="A317" t="s">
        <v>505</v>
      </c>
      <c r="B317" s="1" t="s">
        <v>506</v>
      </c>
      <c r="C317" t="s">
        <v>224</v>
      </c>
      <c r="D317" s="1" t="s">
        <v>225</v>
      </c>
      <c r="E317">
        <v>315864156000</v>
      </c>
      <c r="F317">
        <v>365468356000</v>
      </c>
      <c r="G317">
        <v>409993538000</v>
      </c>
      <c r="H317">
        <v>456227436000</v>
      </c>
      <c r="I317">
        <v>500584684000</v>
      </c>
      <c r="J317">
        <v>554658652000</v>
      </c>
      <c r="K317">
        <v>566237877000</v>
      </c>
      <c r="L317">
        <v>592512219000</v>
      </c>
      <c r="M317">
        <v>597952947000</v>
      </c>
      <c r="N317">
        <v>627359651000</v>
      </c>
      <c r="O317">
        <v>660068849000</v>
      </c>
      <c r="P317">
        <v>707003822000</v>
      </c>
      <c r="Q317">
        <v>756104521000</v>
      </c>
      <c r="R317">
        <v>791265462000</v>
      </c>
      <c r="S317">
        <v>833529792000</v>
      </c>
      <c r="T317">
        <v>891237382000</v>
      </c>
      <c r="U317">
        <v>954615753000</v>
      </c>
      <c r="V317">
        <v>1011340215000</v>
      </c>
      <c r="W317">
        <v>1075041111000</v>
      </c>
      <c r="X317">
        <v>1124649387000</v>
      </c>
      <c r="Y317">
        <v>1179320725000</v>
      </c>
      <c r="Z317">
        <v>1237057240000</v>
      </c>
      <c r="AA317">
        <v>1289524316000</v>
      </c>
      <c r="AB317">
        <v>1352532822000</v>
      </c>
      <c r="AC317">
        <v>1434617152000</v>
      </c>
      <c r="AD317">
        <v>1422635043000</v>
      </c>
      <c r="AE317">
        <v>1578037629000</v>
      </c>
      <c r="AF317">
        <v>1763805784000</v>
      </c>
      <c r="AG317">
        <f t="shared" si="17"/>
        <v>894615947178.57141</v>
      </c>
    </row>
    <row r="318" spans="1:33" x14ac:dyDescent="0.3">
      <c r="A318" t="s">
        <v>505</v>
      </c>
      <c r="B318" s="1" t="s">
        <v>506</v>
      </c>
      <c r="C318" t="s">
        <v>226</v>
      </c>
      <c r="D318" s="1" t="s">
        <v>227</v>
      </c>
      <c r="E318">
        <v>988243200000</v>
      </c>
      <c r="F318">
        <v>1045872700000</v>
      </c>
      <c r="G318">
        <v>1092357300000</v>
      </c>
      <c r="H318">
        <v>1138856100000</v>
      </c>
      <c r="I318">
        <v>1175149500000</v>
      </c>
      <c r="J318">
        <v>1241512900000</v>
      </c>
      <c r="K318">
        <v>1304136800000</v>
      </c>
      <c r="L318">
        <v>1350258900000</v>
      </c>
      <c r="M318">
        <v>1394693200000</v>
      </c>
      <c r="N318">
        <v>1452319000000</v>
      </c>
      <c r="O318">
        <v>1493635300000</v>
      </c>
      <c r="P318">
        <v>1552686800000</v>
      </c>
      <c r="Q318">
        <v>1614839800000</v>
      </c>
      <c r="R318">
        <v>1637699400000</v>
      </c>
      <c r="S318">
        <v>1577255900000</v>
      </c>
      <c r="T318">
        <v>1611279400000</v>
      </c>
      <c r="U318">
        <v>1648755800000</v>
      </c>
      <c r="V318">
        <v>1624358700000</v>
      </c>
      <c r="W318">
        <v>1612751300000</v>
      </c>
      <c r="X318">
        <v>1627405600000</v>
      </c>
      <c r="Y318">
        <v>1655355000000</v>
      </c>
      <c r="Z318">
        <v>1695786800000</v>
      </c>
      <c r="AA318">
        <v>1736592800000</v>
      </c>
      <c r="AB318">
        <v>1771391200000</v>
      </c>
      <c r="AC318">
        <v>1796648500000</v>
      </c>
      <c r="AD318">
        <v>1661239800000</v>
      </c>
      <c r="AE318">
        <v>1822344500000</v>
      </c>
      <c r="AF318">
        <v>1946479100000</v>
      </c>
      <c r="AG318">
        <f t="shared" si="17"/>
        <v>1509639475000</v>
      </c>
    </row>
    <row r="319" spans="1:33" x14ac:dyDescent="0.3">
      <c r="A319" t="s">
        <v>505</v>
      </c>
      <c r="B319" s="1" t="s">
        <v>506</v>
      </c>
      <c r="C319" t="s">
        <v>228</v>
      </c>
      <c r="D319" s="1" t="s">
        <v>229</v>
      </c>
      <c r="E319">
        <v>231148000000</v>
      </c>
      <c r="F319">
        <v>274458000000</v>
      </c>
      <c r="G319">
        <v>297399000000</v>
      </c>
      <c r="H319">
        <v>321172000000</v>
      </c>
      <c r="I319">
        <v>346982000000</v>
      </c>
      <c r="J319">
        <v>387089000000</v>
      </c>
      <c r="K319">
        <v>422923000000</v>
      </c>
      <c r="L319">
        <v>470555000000</v>
      </c>
      <c r="M319">
        <v>544510000000</v>
      </c>
      <c r="N319">
        <v>622661000000</v>
      </c>
      <c r="O319">
        <v>700276000000</v>
      </c>
      <c r="P319">
        <v>784336000000</v>
      </c>
      <c r="Q319">
        <v>885632000000</v>
      </c>
      <c r="R319">
        <v>997444000000</v>
      </c>
      <c r="S319">
        <v>1065317000000</v>
      </c>
      <c r="T319">
        <v>1152781000000</v>
      </c>
      <c r="U319">
        <v>1240702000000</v>
      </c>
      <c r="V319">
        <v>1314126000000</v>
      </c>
      <c r="W319">
        <v>1432096000000</v>
      </c>
      <c r="X319">
        <v>1541903000000</v>
      </c>
      <c r="Y319">
        <v>1659677000000</v>
      </c>
      <c r="Z319">
        <v>1760975000000</v>
      </c>
      <c r="AA319">
        <v>1895025000000</v>
      </c>
      <c r="AB319">
        <v>2027251000000</v>
      </c>
      <c r="AC319">
        <v>2110433000000</v>
      </c>
      <c r="AD319">
        <v>1966928000000</v>
      </c>
      <c r="AE319">
        <v>2210219000000</v>
      </c>
      <c r="AF319">
        <v>2623255000000</v>
      </c>
      <c r="AG319">
        <f t="shared" si="17"/>
        <v>1117402607142.8572</v>
      </c>
    </row>
    <row r="320" spans="1:33" x14ac:dyDescent="0.3">
      <c r="A320" t="s">
        <v>505</v>
      </c>
      <c r="B320" s="1" t="s">
        <v>506</v>
      </c>
      <c r="C320" t="s">
        <v>230</v>
      </c>
      <c r="D320" s="1" t="s">
        <v>231</v>
      </c>
      <c r="E320">
        <v>521613500000000</v>
      </c>
      <c r="F320">
        <v>535562100000000</v>
      </c>
      <c r="G320">
        <v>543545400000000</v>
      </c>
      <c r="H320">
        <v>536497400000000</v>
      </c>
      <c r="I320">
        <v>528069900000000</v>
      </c>
      <c r="J320">
        <v>535417700000000</v>
      </c>
      <c r="K320">
        <v>531653900000000</v>
      </c>
      <c r="L320">
        <v>524478700000000</v>
      </c>
      <c r="M320">
        <v>523968600000000</v>
      </c>
      <c r="N320">
        <v>529400900000000</v>
      </c>
      <c r="O320">
        <v>532515600000000</v>
      </c>
      <c r="P320">
        <v>535170200000000</v>
      </c>
      <c r="Q320">
        <v>539281700000000</v>
      </c>
      <c r="R320">
        <v>527823800000000</v>
      </c>
      <c r="S320">
        <v>494938400000000</v>
      </c>
      <c r="T320">
        <v>505530600000000</v>
      </c>
      <c r="U320">
        <v>497448900000000</v>
      </c>
      <c r="V320">
        <v>500474700000000</v>
      </c>
      <c r="W320">
        <v>508700600000000</v>
      </c>
      <c r="X320">
        <v>518811000000000</v>
      </c>
      <c r="Y320">
        <v>538032300000000</v>
      </c>
      <c r="Z320">
        <v>544364600000000</v>
      </c>
      <c r="AA320">
        <v>553073000000000</v>
      </c>
      <c r="AB320">
        <v>556630100000000</v>
      </c>
      <c r="AC320">
        <v>557910800000000</v>
      </c>
      <c r="AD320">
        <v>539808200000000</v>
      </c>
      <c r="AE320">
        <v>552571400000000</v>
      </c>
      <c r="AF320">
        <v>559710100000000</v>
      </c>
      <c r="AG320">
        <f t="shared" si="17"/>
        <v>531178717857142.88</v>
      </c>
    </row>
    <row r="321" spans="1:33" x14ac:dyDescent="0.3">
      <c r="A321" t="s">
        <v>505</v>
      </c>
      <c r="B321" s="1" t="s">
        <v>506</v>
      </c>
      <c r="C321" t="s">
        <v>232</v>
      </c>
      <c r="D321" s="1" t="s">
        <v>233</v>
      </c>
      <c r="E321">
        <v>4714700000</v>
      </c>
      <c r="F321">
        <v>4911600000</v>
      </c>
      <c r="G321">
        <v>5137300000</v>
      </c>
      <c r="H321">
        <v>5609800000</v>
      </c>
      <c r="I321">
        <v>5778300000</v>
      </c>
      <c r="J321">
        <v>5998700000</v>
      </c>
      <c r="K321">
        <v>6363700000</v>
      </c>
      <c r="L321">
        <v>6794000000</v>
      </c>
      <c r="M321">
        <v>7228700000</v>
      </c>
      <c r="N321">
        <v>8090900000</v>
      </c>
      <c r="O321">
        <v>8925600000</v>
      </c>
      <c r="P321">
        <v>10675400000</v>
      </c>
      <c r="Q321">
        <v>12131300000</v>
      </c>
      <c r="R321">
        <v>16080143000</v>
      </c>
      <c r="S321">
        <v>17421892000</v>
      </c>
      <c r="T321">
        <v>19265001000</v>
      </c>
      <c r="U321">
        <v>20962145900</v>
      </c>
      <c r="V321">
        <v>22460538800</v>
      </c>
      <c r="W321">
        <v>24462652500</v>
      </c>
      <c r="X321">
        <v>26161826900</v>
      </c>
      <c r="Y321">
        <v>27396782700</v>
      </c>
      <c r="Z321">
        <v>28323711300</v>
      </c>
      <c r="AA321">
        <v>29541989500</v>
      </c>
      <c r="AB321">
        <v>30793311100</v>
      </c>
      <c r="AC321">
        <v>31597000000</v>
      </c>
      <c r="AD321">
        <v>31027272000</v>
      </c>
      <c r="AE321">
        <v>32870231099.999996</v>
      </c>
      <c r="AF321">
        <v>34543901064.254196</v>
      </c>
      <c r="AG321">
        <f t="shared" si="17"/>
        <v>17331014245.151936</v>
      </c>
    </row>
    <row r="322" spans="1:33" x14ac:dyDescent="0.3">
      <c r="A322" t="s">
        <v>505</v>
      </c>
      <c r="B322" s="1" t="s">
        <v>506</v>
      </c>
      <c r="C322" t="s">
        <v>234</v>
      </c>
      <c r="D322" s="1" t="s">
        <v>235</v>
      </c>
      <c r="E322">
        <v>1014190000000</v>
      </c>
      <c r="F322">
        <v>1415749700000</v>
      </c>
      <c r="G322">
        <v>1672142500000</v>
      </c>
      <c r="H322">
        <v>1733263500000</v>
      </c>
      <c r="I322">
        <v>2016456300000</v>
      </c>
      <c r="J322">
        <v>2599901600000</v>
      </c>
      <c r="K322">
        <v>3250593300000</v>
      </c>
      <c r="L322">
        <v>3776277300000</v>
      </c>
      <c r="M322">
        <v>4611975300000</v>
      </c>
      <c r="N322">
        <v>5870134300000</v>
      </c>
      <c r="O322">
        <v>7590593500000</v>
      </c>
      <c r="P322">
        <v>10213731200000</v>
      </c>
      <c r="Q322">
        <v>12849794000000</v>
      </c>
      <c r="R322">
        <v>16052919200000</v>
      </c>
      <c r="S322">
        <v>17007647000000</v>
      </c>
      <c r="T322">
        <v>21815517000000</v>
      </c>
      <c r="U322">
        <v>28243052700000</v>
      </c>
      <c r="V322">
        <v>31015186600000</v>
      </c>
      <c r="W322">
        <v>35999025100000</v>
      </c>
      <c r="X322">
        <v>39675832900000</v>
      </c>
      <c r="Y322">
        <v>40884133600000</v>
      </c>
      <c r="Z322">
        <v>46971150000000</v>
      </c>
      <c r="AA322">
        <v>54378857800000</v>
      </c>
      <c r="AB322">
        <v>61819536400000</v>
      </c>
      <c r="AC322">
        <v>69532626500000</v>
      </c>
      <c r="AD322">
        <v>70649033200000</v>
      </c>
      <c r="AE322">
        <v>83951587900000</v>
      </c>
      <c r="AF322">
        <v>103765518200000</v>
      </c>
      <c r="AG322">
        <f t="shared" si="17"/>
        <v>27870586664285.715</v>
      </c>
    </row>
    <row r="323" spans="1:33" x14ac:dyDescent="0.3">
      <c r="A323" t="s">
        <v>505</v>
      </c>
      <c r="B323" s="1" t="s">
        <v>506</v>
      </c>
      <c r="C323" t="s">
        <v>236</v>
      </c>
      <c r="D323" s="1" t="s">
        <v>237</v>
      </c>
      <c r="E323">
        <v>465250740000</v>
      </c>
      <c r="F323">
        <v>687998000000</v>
      </c>
      <c r="G323">
        <v>770313000000</v>
      </c>
      <c r="H323">
        <v>850808200000</v>
      </c>
      <c r="I323">
        <v>906927630000</v>
      </c>
      <c r="J323">
        <v>967836930000</v>
      </c>
      <c r="K323">
        <v>1020221000000</v>
      </c>
      <c r="L323">
        <v>1035373000000</v>
      </c>
      <c r="M323">
        <v>1131782000000</v>
      </c>
      <c r="N323">
        <v>1274329000000</v>
      </c>
      <c r="O323">
        <v>1415725000000</v>
      </c>
      <c r="P323">
        <v>1862041000000</v>
      </c>
      <c r="Q323">
        <v>2151349000000</v>
      </c>
      <c r="R323">
        <v>2483058000000</v>
      </c>
      <c r="S323">
        <v>3275642000000</v>
      </c>
      <c r="T323">
        <v>3597630000000</v>
      </c>
      <c r="U323">
        <v>4162514000000</v>
      </c>
      <c r="V323">
        <v>4767191000000</v>
      </c>
      <c r="W323">
        <v>5311322000000</v>
      </c>
      <c r="X323">
        <v>6003835000000</v>
      </c>
      <c r="Y323">
        <v>6884317000000</v>
      </c>
      <c r="Z323">
        <v>7594064000000</v>
      </c>
      <c r="AA323">
        <v>8483396000000</v>
      </c>
      <c r="AB323">
        <v>9340307000000</v>
      </c>
      <c r="AC323">
        <v>10237727000000</v>
      </c>
      <c r="AD323">
        <v>10715070000000</v>
      </c>
      <c r="AE323">
        <v>12027662000000</v>
      </c>
      <c r="AF323">
        <v>13368340000000</v>
      </c>
      <c r="AG323">
        <f t="shared" si="17"/>
        <v>4385429625000</v>
      </c>
    </row>
    <row r="324" spans="1:33" x14ac:dyDescent="0.3">
      <c r="A324" t="s">
        <v>505</v>
      </c>
      <c r="B324" s="1" t="s">
        <v>506</v>
      </c>
      <c r="C324" t="s">
        <v>238</v>
      </c>
      <c r="D324" s="1" t="s">
        <v>239</v>
      </c>
      <c r="E324">
        <v>76000000</v>
      </c>
      <c r="F324">
        <v>85000000</v>
      </c>
      <c r="G324">
        <v>91000000</v>
      </c>
      <c r="H324">
        <v>104000000</v>
      </c>
      <c r="I324">
        <v>107000000</v>
      </c>
      <c r="J324">
        <v>116000000</v>
      </c>
      <c r="K324">
        <v>122000000</v>
      </c>
      <c r="L324">
        <v>132884800.00000001</v>
      </c>
      <c r="M324">
        <v>139128500</v>
      </c>
      <c r="N324">
        <v>139198700</v>
      </c>
      <c r="O324">
        <v>146839400</v>
      </c>
      <c r="P324">
        <v>146392000</v>
      </c>
      <c r="Q324">
        <v>158556000</v>
      </c>
      <c r="R324">
        <v>168151000</v>
      </c>
      <c r="S324">
        <v>169788800</v>
      </c>
      <c r="T324">
        <v>169307800</v>
      </c>
      <c r="U324">
        <v>175155500</v>
      </c>
      <c r="V324">
        <v>183144800</v>
      </c>
      <c r="W324">
        <v>191157700</v>
      </c>
      <c r="X324">
        <v>197320400</v>
      </c>
      <c r="Y324">
        <v>226674400</v>
      </c>
      <c r="Z324">
        <v>240131400</v>
      </c>
      <c r="AA324">
        <v>246000000</v>
      </c>
      <c r="AB324">
        <v>263000000</v>
      </c>
      <c r="AC324">
        <v>252000000</v>
      </c>
      <c r="AD324">
        <v>258000000</v>
      </c>
      <c r="AE324">
        <v>303000000</v>
      </c>
      <c r="AF324">
        <v>322000000</v>
      </c>
      <c r="AG324">
        <f t="shared" si="17"/>
        <v>176029685.7142857</v>
      </c>
    </row>
    <row r="325" spans="1:33" x14ac:dyDescent="0.3">
      <c r="A325" t="s">
        <v>505</v>
      </c>
      <c r="B325" s="1" t="s">
        <v>506</v>
      </c>
      <c r="C325" t="s">
        <v>240</v>
      </c>
      <c r="D325" s="1" t="s">
        <v>241</v>
      </c>
      <c r="E325" t="s">
        <v>34</v>
      </c>
      <c r="F325" t="s">
        <v>34</v>
      </c>
      <c r="G325" t="s">
        <v>34</v>
      </c>
      <c r="H325" t="s">
        <v>34</v>
      </c>
      <c r="I325" t="s">
        <v>34</v>
      </c>
      <c r="J325" t="s">
        <v>34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  <c r="Z325" t="s">
        <v>34</v>
      </c>
      <c r="AA325" t="s">
        <v>34</v>
      </c>
      <c r="AB325" t="s">
        <v>34</v>
      </c>
      <c r="AC325" t="s">
        <v>34</v>
      </c>
      <c r="AD325" t="s">
        <v>34</v>
      </c>
      <c r="AE325" t="s">
        <v>34</v>
      </c>
      <c r="AF325" t="s">
        <v>34</v>
      </c>
      <c r="AG325" t="str">
        <f t="shared" si="17"/>
        <v>NA</v>
      </c>
    </row>
    <row r="326" spans="1:33" x14ac:dyDescent="0.3">
      <c r="A326" t="s">
        <v>505</v>
      </c>
      <c r="B326" s="1" t="s">
        <v>506</v>
      </c>
      <c r="C326" t="s">
        <v>242</v>
      </c>
      <c r="D326" s="1" t="s">
        <v>243</v>
      </c>
      <c r="E326">
        <v>436988800000000</v>
      </c>
      <c r="F326">
        <v>490850900000000</v>
      </c>
      <c r="G326">
        <v>542001800000000</v>
      </c>
      <c r="H326">
        <v>537215300000000</v>
      </c>
      <c r="I326">
        <v>591453000000000</v>
      </c>
      <c r="J326">
        <v>651634400000000</v>
      </c>
      <c r="K326">
        <v>707021300000000</v>
      </c>
      <c r="L326">
        <v>784741300000000</v>
      </c>
      <c r="M326">
        <v>837365000000000</v>
      </c>
      <c r="N326">
        <v>908439200000000</v>
      </c>
      <c r="O326">
        <v>957447800000000</v>
      </c>
      <c r="P326">
        <v>1005601500000000</v>
      </c>
      <c r="Q326">
        <v>1089660200000000</v>
      </c>
      <c r="R326">
        <v>1154216500000000</v>
      </c>
      <c r="S326">
        <v>1205347700000000</v>
      </c>
      <c r="T326">
        <v>1322611200000000</v>
      </c>
      <c r="U326">
        <v>1388937200000000</v>
      </c>
      <c r="V326">
        <v>1440111400000000</v>
      </c>
      <c r="W326">
        <v>1500819100000000</v>
      </c>
      <c r="X326">
        <v>1562928900000000</v>
      </c>
      <c r="Y326">
        <v>1658020400000000</v>
      </c>
      <c r="Z326">
        <v>1740779600000000</v>
      </c>
      <c r="AA326">
        <v>1835698200000000</v>
      </c>
      <c r="AB326">
        <v>1898192600000000</v>
      </c>
      <c r="AC326">
        <v>1924498100000000</v>
      </c>
      <c r="AD326">
        <v>1940726200000000</v>
      </c>
      <c r="AE326">
        <v>2080198500000000</v>
      </c>
      <c r="AF326">
        <v>2161773900000000</v>
      </c>
      <c r="AG326">
        <f t="shared" si="17"/>
        <v>1226974285714285.8</v>
      </c>
    </row>
    <row r="327" spans="1:33" x14ac:dyDescent="0.3">
      <c r="A327" t="s">
        <v>505</v>
      </c>
      <c r="B327" s="1" t="s">
        <v>506</v>
      </c>
      <c r="C327" t="s">
        <v>244</v>
      </c>
      <c r="D327" s="1" t="s">
        <v>245</v>
      </c>
      <c r="E327" t="s">
        <v>34</v>
      </c>
      <c r="F327" t="s">
        <v>34</v>
      </c>
      <c r="G327" t="s">
        <v>34</v>
      </c>
      <c r="H327" t="s">
        <v>34</v>
      </c>
      <c r="I327" t="s">
        <v>34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>
        <v>3537599000</v>
      </c>
      <c r="S327">
        <v>3610441000</v>
      </c>
      <c r="T327">
        <v>4030990000</v>
      </c>
      <c r="U327">
        <v>4555904000</v>
      </c>
      <c r="V327">
        <v>4797274000</v>
      </c>
      <c r="W327">
        <v>5071332000</v>
      </c>
      <c r="X327">
        <v>5325095000</v>
      </c>
      <c r="Y327">
        <v>5674423000</v>
      </c>
      <c r="Z327">
        <v>6037271000</v>
      </c>
      <c r="AA327">
        <v>6356456000</v>
      </c>
      <c r="AB327">
        <v>6671521000</v>
      </c>
      <c r="AC327">
        <v>7056172000</v>
      </c>
      <c r="AD327">
        <v>6771602000</v>
      </c>
      <c r="AE327">
        <v>7957875000</v>
      </c>
      <c r="AF327">
        <v>8936177000</v>
      </c>
      <c r="AG327">
        <f t="shared" si="17"/>
        <v>5759342133.333333</v>
      </c>
    </row>
    <row r="328" spans="1:33" x14ac:dyDescent="0.3">
      <c r="A328" t="s">
        <v>505</v>
      </c>
      <c r="B328" s="1" t="s">
        <v>506</v>
      </c>
      <c r="C328" t="s">
        <v>246</v>
      </c>
      <c r="D328" s="1" t="s">
        <v>247</v>
      </c>
      <c r="E328">
        <v>8113900000</v>
      </c>
      <c r="F328">
        <v>9429100000</v>
      </c>
      <c r="G328">
        <v>9206700000</v>
      </c>
      <c r="H328">
        <v>7906500000</v>
      </c>
      <c r="I328">
        <v>9169700000</v>
      </c>
      <c r="J328">
        <v>11570300000</v>
      </c>
      <c r="K328">
        <v>10700000000</v>
      </c>
      <c r="L328">
        <v>11590000000</v>
      </c>
      <c r="M328">
        <v>14267200000</v>
      </c>
      <c r="N328">
        <v>17516700000</v>
      </c>
      <c r="O328">
        <v>23593200000</v>
      </c>
      <c r="P328">
        <v>29469500000</v>
      </c>
      <c r="Q328">
        <v>32580600000</v>
      </c>
      <c r="R328">
        <v>39619800000</v>
      </c>
      <c r="S328">
        <v>30496200000</v>
      </c>
      <c r="T328">
        <v>33079199999.999996</v>
      </c>
      <c r="U328">
        <v>42522800000</v>
      </c>
      <c r="V328">
        <v>48722300000</v>
      </c>
      <c r="W328">
        <v>49392100000</v>
      </c>
      <c r="X328">
        <v>46284900000</v>
      </c>
      <c r="Y328">
        <v>34473300000</v>
      </c>
      <c r="Z328">
        <v>33055699999.999996</v>
      </c>
      <c r="AA328">
        <v>36610565200</v>
      </c>
      <c r="AB328">
        <v>41731084900</v>
      </c>
      <c r="AC328">
        <v>41349336400</v>
      </c>
      <c r="AD328">
        <v>32445021100</v>
      </c>
      <c r="AE328">
        <v>41441000000</v>
      </c>
      <c r="AF328">
        <v>53705000000</v>
      </c>
      <c r="AG328">
        <f t="shared" si="17"/>
        <v>28572918128.57143</v>
      </c>
    </row>
    <row r="329" spans="1:33" x14ac:dyDescent="0.3">
      <c r="A329" t="s">
        <v>505</v>
      </c>
      <c r="B329" s="1" t="s">
        <v>506</v>
      </c>
      <c r="C329" t="s">
        <v>248</v>
      </c>
      <c r="D329" s="1" t="s">
        <v>249</v>
      </c>
      <c r="E329">
        <v>16145100000</v>
      </c>
      <c r="F329">
        <v>23399300000</v>
      </c>
      <c r="G329">
        <v>30685700000</v>
      </c>
      <c r="H329">
        <v>34181400000</v>
      </c>
      <c r="I329">
        <v>48744000000</v>
      </c>
      <c r="J329">
        <v>65357700000</v>
      </c>
      <c r="K329">
        <v>73883500000</v>
      </c>
      <c r="L329">
        <v>75366800000</v>
      </c>
      <c r="M329">
        <v>83871400000</v>
      </c>
      <c r="N329">
        <v>94350700000</v>
      </c>
      <c r="O329">
        <v>100899200000</v>
      </c>
      <c r="P329">
        <v>113800100000</v>
      </c>
      <c r="Q329">
        <v>141897700000</v>
      </c>
      <c r="R329">
        <v>187991900000</v>
      </c>
      <c r="S329">
        <v>201222900000</v>
      </c>
      <c r="T329">
        <v>220369300000</v>
      </c>
      <c r="U329">
        <v>285989100000</v>
      </c>
      <c r="V329">
        <v>310471300000</v>
      </c>
      <c r="W329">
        <v>355294800000</v>
      </c>
      <c r="X329">
        <v>400694000000</v>
      </c>
      <c r="Y329">
        <v>430489400000</v>
      </c>
      <c r="Z329">
        <v>476331200000</v>
      </c>
      <c r="AA329">
        <v>530475699999.99994</v>
      </c>
      <c r="AB329">
        <v>569385600000</v>
      </c>
      <c r="AC329">
        <v>654015200000</v>
      </c>
      <c r="AD329">
        <v>639688600000</v>
      </c>
      <c r="AE329">
        <v>782854300000</v>
      </c>
      <c r="AF329">
        <v>971034900000</v>
      </c>
      <c r="AG329">
        <f t="shared" si="17"/>
        <v>282817528571.42859</v>
      </c>
    </row>
    <row r="330" spans="1:33" x14ac:dyDescent="0.3">
      <c r="A330" t="s">
        <v>505</v>
      </c>
      <c r="B330" s="1" t="s">
        <v>506</v>
      </c>
      <c r="C330" t="s">
        <v>250</v>
      </c>
      <c r="D330" s="1" t="s">
        <v>251</v>
      </c>
      <c r="E330">
        <v>1419100028900</v>
      </c>
      <c r="F330">
        <v>1725688971300</v>
      </c>
      <c r="G330">
        <v>2201200000000</v>
      </c>
      <c r="H330">
        <v>4222449098800</v>
      </c>
      <c r="I330">
        <v>10329402638000</v>
      </c>
      <c r="J330">
        <v>13638378021000</v>
      </c>
      <c r="K330">
        <v>15701800000000</v>
      </c>
      <c r="L330">
        <v>17681982600000</v>
      </c>
      <c r="M330">
        <v>21277279467000</v>
      </c>
      <c r="N330">
        <v>25049270658000</v>
      </c>
      <c r="O330">
        <v>29147834246000</v>
      </c>
      <c r="P330">
        <v>35081076406999.996</v>
      </c>
      <c r="Q330">
        <v>40553790510000</v>
      </c>
      <c r="R330">
        <v>47602813795000</v>
      </c>
      <c r="S330">
        <v>49673414248000</v>
      </c>
      <c r="T330">
        <v>58866800648000</v>
      </c>
      <c r="U330">
        <v>70256887355000.008</v>
      </c>
      <c r="V330">
        <v>81609860356000</v>
      </c>
      <c r="W330">
        <v>93867573852000</v>
      </c>
      <c r="X330">
        <v>106797293550000</v>
      </c>
      <c r="Y330">
        <v>117252000000000</v>
      </c>
      <c r="Z330">
        <v>129279000000000</v>
      </c>
      <c r="AA330">
        <v>140749000000000</v>
      </c>
      <c r="AB330">
        <v>152414000000000</v>
      </c>
      <c r="AC330">
        <v>162657000000000</v>
      </c>
      <c r="AD330">
        <v>171705383000000</v>
      </c>
      <c r="AE330">
        <v>182584101000000</v>
      </c>
      <c r="AF330">
        <v>217107907000000</v>
      </c>
      <c r="AG330">
        <f t="shared" si="17"/>
        <v>71444724551785.719</v>
      </c>
    </row>
    <row r="331" spans="1:33" x14ac:dyDescent="0.3">
      <c r="A331" t="s">
        <v>505</v>
      </c>
      <c r="B331" s="1" t="s">
        <v>506</v>
      </c>
      <c r="C331" t="s">
        <v>252</v>
      </c>
      <c r="D331" s="1" t="s">
        <v>253</v>
      </c>
      <c r="E331">
        <v>4059337000</v>
      </c>
      <c r="F331">
        <v>4682205000</v>
      </c>
      <c r="G331">
        <v>5395984000</v>
      </c>
      <c r="H331">
        <v>6014655000</v>
      </c>
      <c r="I331">
        <v>6272632000</v>
      </c>
      <c r="J331">
        <v>6868490000</v>
      </c>
      <c r="K331">
        <v>7470967000</v>
      </c>
      <c r="L331">
        <v>8406365000</v>
      </c>
      <c r="M331">
        <v>9571793000</v>
      </c>
      <c r="N331">
        <v>11096723000</v>
      </c>
      <c r="O331">
        <v>13662280000</v>
      </c>
      <c r="P331">
        <v>17199979000</v>
      </c>
      <c r="Q331">
        <v>22703836000</v>
      </c>
      <c r="R331">
        <v>24527909000</v>
      </c>
      <c r="S331">
        <v>19000008000</v>
      </c>
      <c r="T331">
        <v>18087980000</v>
      </c>
      <c r="U331">
        <v>19763840000</v>
      </c>
      <c r="V331">
        <v>21924455000</v>
      </c>
      <c r="W331">
        <v>22749010000</v>
      </c>
      <c r="X331">
        <v>23625802000</v>
      </c>
      <c r="Y331">
        <v>24572126000</v>
      </c>
      <c r="Z331">
        <v>25371324000</v>
      </c>
      <c r="AA331">
        <v>26984433000</v>
      </c>
      <c r="AB331">
        <v>29153556000</v>
      </c>
      <c r="AC331">
        <v>30572869000</v>
      </c>
      <c r="AD331">
        <v>30109462000</v>
      </c>
      <c r="AE331">
        <v>33348932000</v>
      </c>
      <c r="AF331">
        <v>38870028000</v>
      </c>
      <c r="AG331">
        <f t="shared" si="17"/>
        <v>18288106428.57143</v>
      </c>
    </row>
    <row r="332" spans="1:33" x14ac:dyDescent="0.3">
      <c r="A332" t="s">
        <v>505</v>
      </c>
      <c r="B332" s="1" t="s">
        <v>506</v>
      </c>
      <c r="C332" t="s">
        <v>254</v>
      </c>
      <c r="D332" s="1" t="s">
        <v>255</v>
      </c>
      <c r="E332">
        <v>19000855070000</v>
      </c>
      <c r="F332">
        <v>21512807518000</v>
      </c>
      <c r="G332">
        <v>24250000000000</v>
      </c>
      <c r="H332">
        <v>26149000000000</v>
      </c>
      <c r="I332">
        <v>26223000000000</v>
      </c>
      <c r="J332">
        <v>26020000000000</v>
      </c>
      <c r="K332">
        <v>26607000000000</v>
      </c>
      <c r="L332">
        <v>28872000000000</v>
      </c>
      <c r="M332">
        <v>30275000000000</v>
      </c>
      <c r="N332">
        <v>31898440698000</v>
      </c>
      <c r="O332">
        <v>32407234772000</v>
      </c>
      <c r="P332">
        <v>33199235101000</v>
      </c>
      <c r="Q332">
        <v>37427237685000</v>
      </c>
      <c r="R332">
        <v>43896766029000</v>
      </c>
      <c r="S332">
        <v>53364871265000</v>
      </c>
      <c r="T332">
        <v>57954189866000</v>
      </c>
      <c r="U332">
        <v>60190142387000</v>
      </c>
      <c r="V332">
        <v>66355325270000</v>
      </c>
      <c r="W332">
        <v>70671755394000</v>
      </c>
      <c r="X332">
        <v>72503534723000</v>
      </c>
      <c r="Y332">
        <v>75268476789000</v>
      </c>
      <c r="Z332">
        <v>77104567977000</v>
      </c>
      <c r="AA332">
        <v>79939228634000</v>
      </c>
      <c r="AB332">
        <v>82764040127000</v>
      </c>
      <c r="AC332">
        <v>80195660490000</v>
      </c>
      <c r="AD332">
        <v>116954329000000</v>
      </c>
      <c r="AE332">
        <v>271915973000000</v>
      </c>
      <c r="AF332" t="s">
        <v>34</v>
      </c>
      <c r="AG332">
        <f t="shared" si="17"/>
        <v>58256321177592.594</v>
      </c>
    </row>
    <row r="333" spans="1:33" x14ac:dyDescent="0.3">
      <c r="A333" t="s">
        <v>505</v>
      </c>
      <c r="B333" s="1" t="s">
        <v>506</v>
      </c>
      <c r="C333" t="s">
        <v>256</v>
      </c>
      <c r="D333" s="1" t="s">
        <v>257</v>
      </c>
      <c r="E333">
        <v>3633954700</v>
      </c>
      <c r="F333">
        <v>4067667800</v>
      </c>
      <c r="G333">
        <v>4598765700</v>
      </c>
      <c r="H333">
        <v>5132795500</v>
      </c>
      <c r="I333">
        <v>5576576200</v>
      </c>
      <c r="J333">
        <v>6157651700</v>
      </c>
      <c r="K333">
        <v>7108593800</v>
      </c>
      <c r="L333">
        <v>8177271600</v>
      </c>
      <c r="M333">
        <v>8758658800</v>
      </c>
      <c r="N333">
        <v>9761984300</v>
      </c>
      <c r="O333">
        <v>10698574300</v>
      </c>
      <c r="P333">
        <v>12189415000</v>
      </c>
      <c r="Q333">
        <v>11851232400</v>
      </c>
      <c r="R333">
        <v>14596777300</v>
      </c>
      <c r="S333">
        <v>14751776400</v>
      </c>
      <c r="T333">
        <v>16357954100</v>
      </c>
      <c r="U333">
        <v>18726255900</v>
      </c>
      <c r="V333">
        <v>20346890600</v>
      </c>
      <c r="W333">
        <v>22840746100</v>
      </c>
      <c r="X333">
        <v>26492017600</v>
      </c>
      <c r="Y333">
        <v>30107080100</v>
      </c>
      <c r="Z333">
        <v>31353871100</v>
      </c>
      <c r="AA333">
        <v>30727156300</v>
      </c>
      <c r="AB333">
        <v>33829187500</v>
      </c>
      <c r="AC333">
        <v>34126707000.000004</v>
      </c>
      <c r="AD333">
        <v>34034351600</v>
      </c>
      <c r="AE333">
        <v>34711730500</v>
      </c>
      <c r="AF333">
        <v>36584527300</v>
      </c>
      <c r="AG333">
        <f t="shared" si="17"/>
        <v>17760720400</v>
      </c>
    </row>
    <row r="334" spans="1:33" x14ac:dyDescent="0.3">
      <c r="A334" t="s">
        <v>505</v>
      </c>
      <c r="B334" s="1" t="s">
        <v>506</v>
      </c>
      <c r="C334" t="s">
        <v>258</v>
      </c>
      <c r="D334" s="1" t="s">
        <v>259</v>
      </c>
      <c r="E334" t="s">
        <v>34</v>
      </c>
      <c r="F334" t="s">
        <v>34</v>
      </c>
      <c r="G334" t="s">
        <v>34</v>
      </c>
      <c r="H334" t="s">
        <v>34</v>
      </c>
      <c r="I334" t="s">
        <v>34</v>
      </c>
      <c r="J334">
        <v>874000000</v>
      </c>
      <c r="K334">
        <v>906000000</v>
      </c>
      <c r="L334">
        <v>927000000</v>
      </c>
      <c r="M334">
        <v>748000000</v>
      </c>
      <c r="N334">
        <v>897000000</v>
      </c>
      <c r="O334">
        <v>949000000</v>
      </c>
      <c r="P334">
        <v>1119000000</v>
      </c>
      <c r="Q334">
        <v>1373000000</v>
      </c>
      <c r="R334">
        <v>1726000000</v>
      </c>
      <c r="S334">
        <v>1768000000</v>
      </c>
      <c r="T334">
        <v>1998000000</v>
      </c>
      <c r="U334">
        <v>2398000000</v>
      </c>
      <c r="V334">
        <v>2791614000</v>
      </c>
      <c r="W334">
        <v>3177198100</v>
      </c>
      <c r="X334">
        <v>3225652000</v>
      </c>
      <c r="Y334">
        <v>3227075700</v>
      </c>
      <c r="Z334">
        <v>3398419600</v>
      </c>
      <c r="AA334">
        <v>3390703400</v>
      </c>
      <c r="AB334">
        <v>3422754800</v>
      </c>
      <c r="AC334">
        <v>3319596500</v>
      </c>
      <c r="AD334">
        <v>3039982500</v>
      </c>
      <c r="AE334">
        <v>3509000000</v>
      </c>
      <c r="AF334">
        <v>4001046970</v>
      </c>
      <c r="AG334">
        <f t="shared" si="17"/>
        <v>2268958416.0869565</v>
      </c>
    </row>
    <row r="335" spans="1:33" x14ac:dyDescent="0.3">
      <c r="A335" t="s">
        <v>505</v>
      </c>
      <c r="B335" s="1" t="s">
        <v>506</v>
      </c>
      <c r="C335" t="s">
        <v>260</v>
      </c>
      <c r="D335" s="1" t="s">
        <v>261</v>
      </c>
      <c r="E335">
        <v>10680000000</v>
      </c>
      <c r="F335">
        <v>12180000000</v>
      </c>
      <c r="G335">
        <v>14149000000</v>
      </c>
      <c r="H335">
        <v>12742000000</v>
      </c>
      <c r="I335">
        <v>16686000000</v>
      </c>
      <c r="J335">
        <v>19602000000</v>
      </c>
      <c r="K335">
        <v>20640000000</v>
      </c>
      <c r="L335">
        <v>26012000000</v>
      </c>
      <c r="M335">
        <v>33620000000</v>
      </c>
      <c r="N335">
        <v>43059000000</v>
      </c>
      <c r="O335">
        <v>61932000000</v>
      </c>
      <c r="P335">
        <v>78938100000</v>
      </c>
      <c r="Q335">
        <v>85901500000</v>
      </c>
      <c r="R335">
        <v>106096000000</v>
      </c>
      <c r="S335">
        <v>76225600000</v>
      </c>
      <c r="T335">
        <v>95491600000</v>
      </c>
      <c r="U335">
        <v>58966500000</v>
      </c>
      <c r="V335">
        <v>116755200000</v>
      </c>
      <c r="W335">
        <v>95823400000</v>
      </c>
      <c r="X335">
        <v>73000700000</v>
      </c>
      <c r="Y335">
        <v>67289100000</v>
      </c>
      <c r="Z335">
        <v>69396200000</v>
      </c>
      <c r="AA335">
        <v>93605400000</v>
      </c>
      <c r="AB335">
        <v>104673900000</v>
      </c>
      <c r="AC335">
        <v>96835500000</v>
      </c>
      <c r="AD335">
        <v>65001000000</v>
      </c>
      <c r="AE335">
        <v>179667000000</v>
      </c>
      <c r="AF335">
        <v>220214000000</v>
      </c>
      <c r="AG335">
        <f t="shared" si="17"/>
        <v>69827953571.428574</v>
      </c>
    </row>
    <row r="336" spans="1:33" x14ac:dyDescent="0.3">
      <c r="A336" t="s">
        <v>505</v>
      </c>
      <c r="B336" s="1" t="s">
        <v>506</v>
      </c>
      <c r="C336" t="s">
        <v>262</v>
      </c>
      <c r="D336" s="1" t="s">
        <v>263</v>
      </c>
      <c r="E336">
        <v>2871655600</v>
      </c>
      <c r="F336">
        <v>3094985100</v>
      </c>
      <c r="G336">
        <v>3335683000</v>
      </c>
      <c r="H336">
        <v>3595100000</v>
      </c>
      <c r="I336">
        <v>4001900000</v>
      </c>
      <c r="J336">
        <v>4194899999.9999995</v>
      </c>
      <c r="K336">
        <v>4205200000</v>
      </c>
      <c r="L336">
        <v>4190500000</v>
      </c>
      <c r="M336">
        <v>4135300000</v>
      </c>
      <c r="N336">
        <v>4295500000</v>
      </c>
      <c r="O336">
        <v>4556500000</v>
      </c>
      <c r="P336">
        <v>5015500000</v>
      </c>
      <c r="Q336">
        <v>5523400000</v>
      </c>
      <c r="R336">
        <v>5503700000</v>
      </c>
      <c r="S336">
        <v>4901400000</v>
      </c>
      <c r="T336">
        <v>5300400000</v>
      </c>
      <c r="U336">
        <v>5097100000</v>
      </c>
      <c r="V336">
        <v>5116100000</v>
      </c>
      <c r="W336">
        <v>5924500000</v>
      </c>
      <c r="X336">
        <v>6099300000</v>
      </c>
      <c r="Y336">
        <v>6032700000</v>
      </c>
      <c r="Z336">
        <v>6146200000</v>
      </c>
      <c r="AA336">
        <v>6375200000</v>
      </c>
      <c r="AB336">
        <v>6544600000</v>
      </c>
      <c r="AC336">
        <v>6396400000</v>
      </c>
      <c r="AD336">
        <v>6014100000</v>
      </c>
      <c r="AE336">
        <v>7046100000</v>
      </c>
      <c r="AF336" t="s">
        <v>34</v>
      </c>
      <c r="AG336">
        <f t="shared" si="17"/>
        <v>5019034211.1111107</v>
      </c>
    </row>
    <row r="337" spans="1:33" x14ac:dyDescent="0.3">
      <c r="A337" t="s">
        <v>505</v>
      </c>
      <c r="B337" s="1" t="s">
        <v>506</v>
      </c>
      <c r="C337" t="s">
        <v>264</v>
      </c>
      <c r="D337" s="1" t="s">
        <v>265</v>
      </c>
      <c r="E337">
        <v>7760934000</v>
      </c>
      <c r="F337">
        <v>9711149000</v>
      </c>
      <c r="G337">
        <v>11722435000</v>
      </c>
      <c r="H337">
        <v>13021016000</v>
      </c>
      <c r="I337">
        <v>12710580000</v>
      </c>
      <c r="J337">
        <v>13351454000</v>
      </c>
      <c r="K337">
        <v>14177014000</v>
      </c>
      <c r="L337">
        <v>15182389000</v>
      </c>
      <c r="M337">
        <v>16649996000</v>
      </c>
      <c r="N337">
        <v>18219669000</v>
      </c>
      <c r="O337">
        <v>20979923000</v>
      </c>
      <c r="P337">
        <v>24053291000</v>
      </c>
      <c r="Q337">
        <v>29011219000</v>
      </c>
      <c r="R337">
        <v>32660067000</v>
      </c>
      <c r="S337">
        <v>26897015000</v>
      </c>
      <c r="T337">
        <v>28033833000</v>
      </c>
      <c r="U337">
        <v>31317168000</v>
      </c>
      <c r="V337">
        <v>33410163000</v>
      </c>
      <c r="W337">
        <v>35039541000</v>
      </c>
      <c r="X337">
        <v>36581311000</v>
      </c>
      <c r="Y337">
        <v>37345698000</v>
      </c>
      <c r="Z337">
        <v>38889862000</v>
      </c>
      <c r="AA337">
        <v>42276297000</v>
      </c>
      <c r="AB337">
        <v>45515226000</v>
      </c>
      <c r="AC337">
        <v>48959160000</v>
      </c>
      <c r="AD337">
        <v>49873172000</v>
      </c>
      <c r="AE337">
        <v>56478107000</v>
      </c>
      <c r="AF337">
        <v>67399062000.000008</v>
      </c>
      <c r="AG337">
        <f t="shared" si="17"/>
        <v>29186669678.57143</v>
      </c>
    </row>
    <row r="338" spans="1:33" x14ac:dyDescent="0.3">
      <c r="A338" t="s">
        <v>505</v>
      </c>
      <c r="B338" s="1" t="s">
        <v>506</v>
      </c>
      <c r="C338" t="s">
        <v>266</v>
      </c>
      <c r="D338" s="1" t="s">
        <v>267</v>
      </c>
      <c r="E338">
        <v>15239441000</v>
      </c>
      <c r="F338">
        <v>16037154000</v>
      </c>
      <c r="G338">
        <v>17349210000</v>
      </c>
      <c r="H338">
        <v>18131018000</v>
      </c>
      <c r="I338">
        <v>20547759000</v>
      </c>
      <c r="J338">
        <v>22986027000</v>
      </c>
      <c r="K338">
        <v>23879889000</v>
      </c>
      <c r="L338">
        <v>25011094000</v>
      </c>
      <c r="M338">
        <v>26227287000</v>
      </c>
      <c r="N338">
        <v>28189387000</v>
      </c>
      <c r="O338">
        <v>30280986000</v>
      </c>
      <c r="P338">
        <v>34175045000</v>
      </c>
      <c r="Q338">
        <v>37641903000</v>
      </c>
      <c r="R338">
        <v>40009559000</v>
      </c>
      <c r="S338">
        <v>39050743000</v>
      </c>
      <c r="T338">
        <v>42402715000</v>
      </c>
      <c r="U338">
        <v>44323466000</v>
      </c>
      <c r="V338">
        <v>46526238000</v>
      </c>
      <c r="W338">
        <v>49094489000</v>
      </c>
      <c r="X338">
        <v>51791322000</v>
      </c>
      <c r="Y338">
        <v>54142304000</v>
      </c>
      <c r="Z338">
        <v>56208068000</v>
      </c>
      <c r="AA338">
        <v>58168784000</v>
      </c>
      <c r="AB338">
        <v>60121164000</v>
      </c>
      <c r="AC338">
        <v>62431529000</v>
      </c>
      <c r="AD338">
        <v>64524267000</v>
      </c>
      <c r="AE338">
        <v>72360860000</v>
      </c>
      <c r="AF338">
        <v>77529000000</v>
      </c>
      <c r="AG338">
        <f t="shared" si="17"/>
        <v>40513596714.285713</v>
      </c>
    </row>
    <row r="339" spans="1:33" x14ac:dyDescent="0.3">
      <c r="A339" t="s">
        <v>505</v>
      </c>
      <c r="B339" s="1" t="s">
        <v>506</v>
      </c>
      <c r="C339" t="s">
        <v>268</v>
      </c>
      <c r="D339" s="1" t="s">
        <v>269</v>
      </c>
      <c r="E339">
        <v>56142000000</v>
      </c>
      <c r="F339">
        <v>57174000000</v>
      </c>
      <c r="G339">
        <v>57961000000</v>
      </c>
      <c r="H339">
        <v>54238000000</v>
      </c>
      <c r="I339">
        <v>52328000000</v>
      </c>
      <c r="J339">
        <v>54369000000</v>
      </c>
      <c r="K339">
        <v>55112000000</v>
      </c>
      <c r="L339">
        <v>59220000000</v>
      </c>
      <c r="M339">
        <v>66147000000</v>
      </c>
      <c r="N339">
        <v>85382000000</v>
      </c>
      <c r="O339">
        <v>97415000000</v>
      </c>
      <c r="P339">
        <v>119014000000</v>
      </c>
      <c r="Q339">
        <v>148181000000</v>
      </c>
      <c r="R339">
        <v>168639000000</v>
      </c>
      <c r="S339">
        <v>172363000000</v>
      </c>
      <c r="T339">
        <v>225997000000</v>
      </c>
      <c r="U339">
        <v>295438000000</v>
      </c>
      <c r="V339">
        <v>345080000000</v>
      </c>
      <c r="W339">
        <v>411739000000</v>
      </c>
      <c r="X339">
        <v>438516000000</v>
      </c>
      <c r="Y339">
        <v>359708000000</v>
      </c>
      <c r="Z339">
        <v>360344000000</v>
      </c>
      <c r="AA339">
        <v>404381000000</v>
      </c>
      <c r="AB339">
        <v>445527000000</v>
      </c>
      <c r="AC339">
        <v>444540000000</v>
      </c>
      <c r="AD339">
        <v>202471000000</v>
      </c>
      <c r="AE339">
        <v>247926000000</v>
      </c>
      <c r="AF339">
        <v>193906000000</v>
      </c>
      <c r="AG339">
        <f t="shared" si="17"/>
        <v>202830642857.14285</v>
      </c>
    </row>
    <row r="340" spans="1:33" x14ac:dyDescent="0.3">
      <c r="A340" t="s">
        <v>505</v>
      </c>
      <c r="B340" s="1" t="s">
        <v>506</v>
      </c>
      <c r="C340" t="s">
        <v>270</v>
      </c>
      <c r="D340" s="1" t="s">
        <v>271</v>
      </c>
      <c r="E340">
        <v>3274384949700</v>
      </c>
      <c r="F340">
        <v>4005905771000</v>
      </c>
      <c r="G340">
        <v>4340454054100.0005</v>
      </c>
      <c r="H340">
        <v>4790571869500</v>
      </c>
      <c r="I340">
        <v>5376276965400</v>
      </c>
      <c r="J340">
        <v>6265668346500</v>
      </c>
      <c r="K340">
        <v>7166084523000</v>
      </c>
      <c r="L340">
        <v>7312517881300</v>
      </c>
      <c r="M340">
        <v>7891241683000</v>
      </c>
      <c r="N340">
        <v>9465265240700</v>
      </c>
      <c r="O340">
        <v>11736268677000</v>
      </c>
      <c r="P340">
        <v>13701545531000</v>
      </c>
      <c r="Q340">
        <v>15974088180000</v>
      </c>
      <c r="R340">
        <v>18322512467000</v>
      </c>
      <c r="S340">
        <v>18812595596000</v>
      </c>
      <c r="T340">
        <v>20863367561000</v>
      </c>
      <c r="U340">
        <v>23393792065000</v>
      </c>
      <c r="V340">
        <v>25415464299000</v>
      </c>
      <c r="W340">
        <v>27417720539000</v>
      </c>
      <c r="X340">
        <v>30240583633000</v>
      </c>
      <c r="Y340">
        <v>33216175582000</v>
      </c>
      <c r="Z340">
        <v>37637585996000</v>
      </c>
      <c r="AA340">
        <v>41058842552000</v>
      </c>
      <c r="AB340">
        <v>45886302017000</v>
      </c>
      <c r="AC340">
        <v>51035216506000</v>
      </c>
      <c r="AD340">
        <v>49435649383000</v>
      </c>
      <c r="AE340">
        <v>55744385864000</v>
      </c>
      <c r="AF340">
        <v>62680860911240</v>
      </c>
      <c r="AG340">
        <f t="shared" si="17"/>
        <v>22945047451551.43</v>
      </c>
    </row>
    <row r="341" spans="1:33" x14ac:dyDescent="0.3">
      <c r="A341" t="s">
        <v>505</v>
      </c>
      <c r="B341" s="1" t="s">
        <v>506</v>
      </c>
      <c r="C341" t="s">
        <v>272</v>
      </c>
      <c r="D341" s="1" t="s">
        <v>273</v>
      </c>
      <c r="E341">
        <v>31082569000</v>
      </c>
      <c r="F341">
        <v>50817585200</v>
      </c>
      <c r="G341">
        <v>63734101000</v>
      </c>
      <c r="H341">
        <v>79161065200</v>
      </c>
      <c r="I341">
        <v>113944873800</v>
      </c>
      <c r="J341">
        <v>151080955400</v>
      </c>
      <c r="K341">
        <v>180349563400</v>
      </c>
      <c r="L341">
        <v>390113132800</v>
      </c>
      <c r="M341">
        <v>455035943900</v>
      </c>
      <c r="N341">
        <v>550920593200</v>
      </c>
      <c r="O341">
        <v>630038654600</v>
      </c>
      <c r="P341">
        <v>791364591300</v>
      </c>
      <c r="Q341">
        <v>902893964000</v>
      </c>
      <c r="R341">
        <v>1088154018100</v>
      </c>
      <c r="S341">
        <v>1271897950800</v>
      </c>
      <c r="T341">
        <v>1524177906400</v>
      </c>
      <c r="U341">
        <v>1823114919200</v>
      </c>
      <c r="V341">
        <v>2185457550900.0002</v>
      </c>
      <c r="W341">
        <v>2926763440900</v>
      </c>
      <c r="X341">
        <v>3739646523700</v>
      </c>
      <c r="Y341">
        <v>4606103177100</v>
      </c>
      <c r="Z341">
        <v>5679325217400</v>
      </c>
      <c r="AA341">
        <v>6531224000000</v>
      </c>
      <c r="AB341">
        <v>7235940000000</v>
      </c>
      <c r="AC341">
        <v>8219853000000</v>
      </c>
      <c r="AD341">
        <v>9036385000000</v>
      </c>
      <c r="AE341">
        <v>10156208000000</v>
      </c>
      <c r="AF341">
        <v>12493783000000</v>
      </c>
      <c r="AG341">
        <f t="shared" si="17"/>
        <v>2961020403475</v>
      </c>
    </row>
    <row r="342" spans="1:33" x14ac:dyDescent="0.3">
      <c r="A342" t="s">
        <v>505</v>
      </c>
      <c r="B342" s="1" t="s">
        <v>506</v>
      </c>
      <c r="C342" t="s">
        <v>274</v>
      </c>
      <c r="D342" s="1" t="s">
        <v>275</v>
      </c>
      <c r="E342">
        <v>222473000000</v>
      </c>
      <c r="F342">
        <v>253732000000</v>
      </c>
      <c r="G342">
        <v>281795000000</v>
      </c>
      <c r="H342">
        <v>283243000000</v>
      </c>
      <c r="I342">
        <v>300764000000</v>
      </c>
      <c r="J342">
        <v>356401000000</v>
      </c>
      <c r="K342">
        <v>352579000000</v>
      </c>
      <c r="L342">
        <v>383213000000</v>
      </c>
      <c r="M342">
        <v>418769000000</v>
      </c>
      <c r="N342">
        <v>474048000000</v>
      </c>
      <c r="O342">
        <v>543578000000</v>
      </c>
      <c r="P342">
        <v>596784000000</v>
      </c>
      <c r="Q342">
        <v>665340000000</v>
      </c>
      <c r="R342">
        <v>769949000000</v>
      </c>
      <c r="S342">
        <v>712857000000</v>
      </c>
      <c r="T342">
        <v>821434000000</v>
      </c>
      <c r="U342">
        <v>911733000000</v>
      </c>
      <c r="V342">
        <v>971252000000</v>
      </c>
      <c r="W342">
        <v>1018614000000</v>
      </c>
      <c r="X342">
        <v>1106443000000</v>
      </c>
      <c r="Y342">
        <v>1176941187000</v>
      </c>
      <c r="Z342">
        <v>1249697694000</v>
      </c>
      <c r="AA342">
        <v>1372309832000</v>
      </c>
      <c r="AB342">
        <v>1447759635000</v>
      </c>
      <c r="AC342">
        <v>1512737754000</v>
      </c>
      <c r="AD342">
        <v>1418490911000</v>
      </c>
      <c r="AE342">
        <v>1548898030000</v>
      </c>
      <c r="AF342">
        <v>1791357528000</v>
      </c>
      <c r="AG342">
        <f t="shared" si="17"/>
        <v>820114056107.14282</v>
      </c>
    </row>
    <row r="343" spans="1:33" x14ac:dyDescent="0.3">
      <c r="A343" t="s">
        <v>505</v>
      </c>
      <c r="B343" s="1" t="s">
        <v>506</v>
      </c>
      <c r="C343" t="s">
        <v>276</v>
      </c>
      <c r="D343" s="1" t="s">
        <v>277</v>
      </c>
      <c r="E343">
        <v>4696100000</v>
      </c>
      <c r="F343">
        <v>5301000000</v>
      </c>
      <c r="G343">
        <v>5981791800</v>
      </c>
      <c r="H343">
        <v>6356934600</v>
      </c>
      <c r="I343">
        <v>6935351900</v>
      </c>
      <c r="J343">
        <v>7348448200</v>
      </c>
      <c r="K343">
        <v>10651000000</v>
      </c>
      <c r="L343">
        <v>11482000000</v>
      </c>
      <c r="M343">
        <v>13467149516.4464</v>
      </c>
      <c r="N343">
        <v>15703418429.637701</v>
      </c>
      <c r="O343">
        <v>14891039159.3943</v>
      </c>
      <c r="P343">
        <v>20162565003.966702</v>
      </c>
      <c r="Q343">
        <v>23915308285.996403</v>
      </c>
      <c r="R343">
        <v>29077071208.252697</v>
      </c>
      <c r="S343">
        <v>30019774446.951698</v>
      </c>
      <c r="T343">
        <v>33128653547.666698</v>
      </c>
      <c r="U343">
        <v>40511084367.119804</v>
      </c>
      <c r="V343">
        <v>44345433581.429298</v>
      </c>
      <c r="W343">
        <v>50633451385.486801</v>
      </c>
      <c r="X343">
        <v>56866746459.796501</v>
      </c>
      <c r="Y343">
        <v>63455345610.5951</v>
      </c>
      <c r="Z343">
        <v>67773797492.797806</v>
      </c>
      <c r="AA343">
        <v>74110201545.923706</v>
      </c>
      <c r="AB343">
        <v>83177380050.760193</v>
      </c>
      <c r="AC343">
        <v>88079030673.816208</v>
      </c>
      <c r="AD343">
        <v>57104573453.1511</v>
      </c>
      <c r="AE343">
        <v>80773786471.891495</v>
      </c>
      <c r="AF343">
        <v>94945304410.020401</v>
      </c>
      <c r="AG343">
        <f t="shared" si="17"/>
        <v>37174776485.753609</v>
      </c>
    </row>
    <row r="344" spans="1:33" x14ac:dyDescent="0.3">
      <c r="A344" t="s">
        <v>505</v>
      </c>
      <c r="B344" s="1" t="s">
        <v>506</v>
      </c>
      <c r="C344" t="s">
        <v>278</v>
      </c>
      <c r="D344" s="1" t="s">
        <v>279</v>
      </c>
      <c r="E344">
        <v>1350907857400</v>
      </c>
      <c r="F344">
        <v>1422331655700</v>
      </c>
      <c r="G344">
        <v>1574218062200</v>
      </c>
      <c r="H344">
        <v>1722870804900</v>
      </c>
      <c r="I344">
        <v>2117674359999.9998</v>
      </c>
      <c r="J344">
        <v>2103270238000</v>
      </c>
      <c r="K344">
        <v>2540202707500</v>
      </c>
      <c r="L344">
        <v>2711115443400</v>
      </c>
      <c r="M344">
        <v>2733678207000</v>
      </c>
      <c r="N344">
        <v>2876233000000</v>
      </c>
      <c r="O344">
        <v>3294055000000</v>
      </c>
      <c r="P344">
        <v>3607837000000</v>
      </c>
      <c r="Q344">
        <v>3903961000000</v>
      </c>
      <c r="R344">
        <v>4387928186200.0005</v>
      </c>
      <c r="S344">
        <v>4812024616500</v>
      </c>
      <c r="T344">
        <v>5288939000000</v>
      </c>
      <c r="U344">
        <v>6123929000000</v>
      </c>
      <c r="V344">
        <v>6352360000000</v>
      </c>
      <c r="W344">
        <v>6540560000000</v>
      </c>
      <c r="X344">
        <v>7092793000000</v>
      </c>
      <c r="Y344">
        <v>7747690000000</v>
      </c>
      <c r="Z344">
        <v>8311915000000</v>
      </c>
      <c r="AA344">
        <v>8922205000000</v>
      </c>
      <c r="AB344">
        <v>9481952937800</v>
      </c>
      <c r="AC344">
        <v>10124689257000</v>
      </c>
      <c r="AD344">
        <v>10052835647000</v>
      </c>
      <c r="AE344">
        <v>10707689833000</v>
      </c>
      <c r="AF344">
        <v>11743634002838.799</v>
      </c>
      <c r="AG344">
        <f t="shared" si="17"/>
        <v>5344625029158.5293</v>
      </c>
    </row>
    <row r="345" spans="1:33" x14ac:dyDescent="0.3">
      <c r="A345" t="s">
        <v>505</v>
      </c>
      <c r="B345" s="1" t="s">
        <v>506</v>
      </c>
      <c r="C345" t="s">
        <v>280</v>
      </c>
      <c r="D345" s="1" t="s">
        <v>281</v>
      </c>
      <c r="E345">
        <v>2846600000</v>
      </c>
      <c r="F345">
        <v>3010600000</v>
      </c>
      <c r="G345">
        <v>3346800000</v>
      </c>
      <c r="H345">
        <v>3581800000</v>
      </c>
      <c r="I345">
        <v>3861000000</v>
      </c>
      <c r="J345">
        <v>4153347577.2567301</v>
      </c>
      <c r="K345">
        <v>4285837182.61129</v>
      </c>
      <c r="L345">
        <v>4515597860.4841805</v>
      </c>
      <c r="M345">
        <v>4787522734.83323</v>
      </c>
      <c r="N345">
        <v>4895548668.49716</v>
      </c>
      <c r="O345">
        <v>5159253744.0376596</v>
      </c>
      <c r="P345">
        <v>5403002129.8578405</v>
      </c>
      <c r="Q345">
        <v>5790276387.8031301</v>
      </c>
      <c r="R345">
        <v>6206020687.9018793</v>
      </c>
      <c r="S345">
        <v>6259644872.2505999</v>
      </c>
      <c r="T345">
        <v>6815803641.6991596</v>
      </c>
      <c r="U345">
        <v>6924597593.5951605</v>
      </c>
      <c r="V345">
        <v>7364460035.4063492</v>
      </c>
      <c r="W345">
        <v>7944345732.6743097</v>
      </c>
      <c r="X345">
        <v>8751102047.107069</v>
      </c>
      <c r="Y345">
        <v>9996709856.476881</v>
      </c>
      <c r="Z345">
        <v>10541130290.478001</v>
      </c>
      <c r="AA345">
        <v>11936597419.944401</v>
      </c>
      <c r="AB345">
        <v>13044024383.036699</v>
      </c>
      <c r="AC345">
        <v>14285608022.074001</v>
      </c>
      <c r="AD345">
        <v>13353750729.3643</v>
      </c>
      <c r="AE345">
        <v>15292623516.793798</v>
      </c>
      <c r="AF345">
        <v>17212471076.2957</v>
      </c>
      <c r="AG345">
        <f t="shared" si="17"/>
        <v>7555931292.517127</v>
      </c>
    </row>
    <row r="346" spans="1:33" x14ac:dyDescent="0.3">
      <c r="A346" t="s">
        <v>505</v>
      </c>
      <c r="B346" s="1" t="s">
        <v>506</v>
      </c>
      <c r="C346" t="s">
        <v>282</v>
      </c>
      <c r="D346" s="1" t="s">
        <v>283</v>
      </c>
      <c r="E346">
        <v>120230000</v>
      </c>
      <c r="F346">
        <v>110858000</v>
      </c>
      <c r="G346">
        <v>110705600</v>
      </c>
      <c r="H346">
        <v>112279400</v>
      </c>
      <c r="I346">
        <v>114326300</v>
      </c>
      <c r="J346">
        <v>115347500</v>
      </c>
      <c r="K346">
        <v>122824000</v>
      </c>
      <c r="L346">
        <v>131738200</v>
      </c>
      <c r="M346">
        <v>131398500.00000001</v>
      </c>
      <c r="N346">
        <v>132934599.99999999</v>
      </c>
      <c r="O346">
        <v>137666300</v>
      </c>
      <c r="P346">
        <v>142745200</v>
      </c>
      <c r="Q346">
        <v>149870000</v>
      </c>
      <c r="R346">
        <v>145969100</v>
      </c>
      <c r="S346">
        <v>150624900</v>
      </c>
      <c r="T346">
        <v>160318500</v>
      </c>
      <c r="U346">
        <v>171567100</v>
      </c>
      <c r="V346">
        <v>179855800</v>
      </c>
      <c r="W346">
        <v>185468000</v>
      </c>
      <c r="X346">
        <v>185172900</v>
      </c>
      <c r="Y346">
        <v>182997300</v>
      </c>
      <c r="Z346">
        <v>200716000</v>
      </c>
      <c r="AA346">
        <v>212701200</v>
      </c>
      <c r="AB346">
        <v>219430038.45214802</v>
      </c>
      <c r="AC346">
        <v>231996704.10156301</v>
      </c>
      <c r="AD346">
        <v>240751144.40917999</v>
      </c>
      <c r="AE346">
        <v>257784881.59179699</v>
      </c>
      <c r="AF346">
        <v>258774475.09765601</v>
      </c>
      <c r="AG346">
        <f t="shared" si="17"/>
        <v>164894701.55901232</v>
      </c>
    </row>
    <row r="347" spans="1:33" x14ac:dyDescent="0.3">
      <c r="A347" t="s">
        <v>505</v>
      </c>
      <c r="B347" s="1" t="s">
        <v>506</v>
      </c>
      <c r="C347" t="s">
        <v>284</v>
      </c>
      <c r="D347" s="1" t="s">
        <v>285</v>
      </c>
      <c r="E347">
        <v>27143980300</v>
      </c>
      <c r="F347">
        <v>29256854000</v>
      </c>
      <c r="G347">
        <v>31463957800</v>
      </c>
      <c r="H347">
        <v>38304841300</v>
      </c>
      <c r="I347">
        <v>41607896200</v>
      </c>
      <c r="J347">
        <v>42516905600</v>
      </c>
      <c r="K347">
        <v>44634477800</v>
      </c>
      <c r="L347">
        <v>48289612500</v>
      </c>
      <c r="M347">
        <v>53951335500</v>
      </c>
      <c r="N347">
        <v>62684948400</v>
      </c>
      <c r="O347">
        <v>77980678600</v>
      </c>
      <c r="P347">
        <v>105279845900</v>
      </c>
      <c r="Q347">
        <v>112387258000</v>
      </c>
      <c r="R347">
        <v>124019067700</v>
      </c>
      <c r="S347">
        <v>123694877400</v>
      </c>
      <c r="T347">
        <v>155297484400</v>
      </c>
      <c r="U347">
        <v>190166085500</v>
      </c>
      <c r="V347">
        <v>199572130500</v>
      </c>
      <c r="W347">
        <v>217184508000</v>
      </c>
      <c r="X347">
        <v>199572600000</v>
      </c>
      <c r="Y347">
        <v>200220600000</v>
      </c>
      <c r="Z347">
        <v>225473200000</v>
      </c>
      <c r="AA347">
        <v>243406900000</v>
      </c>
      <c r="AB347">
        <v>266637599999.99997</v>
      </c>
      <c r="AC347">
        <v>289665500000</v>
      </c>
      <c r="AD347">
        <v>307210500000</v>
      </c>
      <c r="AE347">
        <v>332595400000</v>
      </c>
      <c r="AF347">
        <v>361696335150.565</v>
      </c>
      <c r="AG347">
        <f t="shared" si="17"/>
        <v>148282692162.52017</v>
      </c>
    </row>
    <row r="348" spans="1:33" x14ac:dyDescent="0.3">
      <c r="A348" t="s">
        <v>505</v>
      </c>
      <c r="B348" s="1" t="s">
        <v>506</v>
      </c>
      <c r="C348" t="s">
        <v>286</v>
      </c>
      <c r="D348" s="1" t="s">
        <v>287</v>
      </c>
      <c r="E348">
        <v>70246666500</v>
      </c>
      <c r="F348">
        <v>79365491500</v>
      </c>
      <c r="G348">
        <v>88174655800</v>
      </c>
      <c r="H348">
        <v>100041504300</v>
      </c>
      <c r="I348">
        <v>109399819700</v>
      </c>
      <c r="J348">
        <v>122410117200</v>
      </c>
      <c r="K348">
        <v>134391830500.00002</v>
      </c>
      <c r="L348">
        <v>145055337400</v>
      </c>
      <c r="M348">
        <v>162290576600</v>
      </c>
      <c r="N348">
        <v>180908355100</v>
      </c>
      <c r="O348">
        <v>191393481100</v>
      </c>
      <c r="P348">
        <v>222870000000</v>
      </c>
      <c r="Q348">
        <v>255211000000</v>
      </c>
      <c r="R348">
        <v>284254000000</v>
      </c>
      <c r="S348">
        <v>291756000000</v>
      </c>
      <c r="T348">
        <v>307957000000</v>
      </c>
      <c r="U348">
        <v>330647000000</v>
      </c>
      <c r="V348">
        <v>350644000000</v>
      </c>
      <c r="W348">
        <v>377411000000</v>
      </c>
      <c r="X348">
        <v>400351000000</v>
      </c>
      <c r="Y348">
        <v>420936000000</v>
      </c>
      <c r="Z348">
        <v>447620000000</v>
      </c>
      <c r="AA348">
        <v>472861000000</v>
      </c>
      <c r="AB348">
        <v>500047000000</v>
      </c>
      <c r="AC348">
        <v>512108000000</v>
      </c>
      <c r="AD348">
        <v>448874000000</v>
      </c>
      <c r="AE348">
        <v>478807000000</v>
      </c>
      <c r="AF348">
        <v>572111000000</v>
      </c>
      <c r="AG348">
        <f t="shared" si="17"/>
        <v>287790815560.71429</v>
      </c>
    </row>
    <row r="349" spans="1:33" x14ac:dyDescent="0.3">
      <c r="A349" t="s">
        <v>505</v>
      </c>
      <c r="B349" s="1" t="s">
        <v>506</v>
      </c>
      <c r="C349" t="s">
        <v>288</v>
      </c>
      <c r="D349" s="1" t="s">
        <v>289</v>
      </c>
      <c r="E349">
        <v>2440392366000</v>
      </c>
      <c r="F349">
        <v>3284161831000</v>
      </c>
      <c r="G349">
        <v>4144914169000</v>
      </c>
      <c r="H349">
        <v>5092988047000</v>
      </c>
      <c r="I349">
        <v>6034995116000</v>
      </c>
      <c r="J349">
        <v>7016603942000</v>
      </c>
      <c r="K349">
        <v>7437107660000</v>
      </c>
      <c r="L349">
        <v>7827757973000</v>
      </c>
      <c r="M349">
        <v>8259533149000</v>
      </c>
      <c r="N349">
        <v>9248389798000</v>
      </c>
      <c r="O349">
        <v>9999598960000</v>
      </c>
      <c r="P349">
        <v>11120115768000</v>
      </c>
      <c r="Q349">
        <v>12046753155000</v>
      </c>
      <c r="R349">
        <v>12927761289000</v>
      </c>
      <c r="S349">
        <v>12749117923000</v>
      </c>
      <c r="T349">
        <v>13968149526000</v>
      </c>
      <c r="U349">
        <v>15268436665000</v>
      </c>
      <c r="V349">
        <v>16529124024000</v>
      </c>
      <c r="W349">
        <v>16954005681000.002</v>
      </c>
      <c r="X349">
        <v>18137650609000</v>
      </c>
      <c r="Y349">
        <v>19228614671000</v>
      </c>
      <c r="Z349">
        <v>20758790505000</v>
      </c>
      <c r="AA349">
        <v>22536210257000</v>
      </c>
      <c r="AB349">
        <v>24176670376000</v>
      </c>
      <c r="AC349">
        <v>25143134201000</v>
      </c>
      <c r="AD349">
        <v>24079804339000</v>
      </c>
      <c r="AE349">
        <v>26608701425000</v>
      </c>
      <c r="AF349">
        <v>29503758304000</v>
      </c>
      <c r="AG349">
        <f t="shared" si="17"/>
        <v>14018687204607.143</v>
      </c>
    </row>
    <row r="350" spans="1:33" x14ac:dyDescent="0.3">
      <c r="A350" t="s">
        <v>505</v>
      </c>
      <c r="B350" s="1" t="s">
        <v>506</v>
      </c>
      <c r="C350" t="s">
        <v>290</v>
      </c>
      <c r="D350" s="1" t="s">
        <v>291</v>
      </c>
      <c r="E350">
        <v>221575300</v>
      </c>
      <c r="F350">
        <v>218534700</v>
      </c>
      <c r="G350">
        <v>206626300</v>
      </c>
      <c r="H350">
        <v>218873100</v>
      </c>
      <c r="I350">
        <v>220140500</v>
      </c>
      <c r="J350">
        <v>233271800</v>
      </c>
      <c r="K350">
        <v>240970900</v>
      </c>
      <c r="L350">
        <v>242517200</v>
      </c>
      <c r="M350">
        <v>245432900</v>
      </c>
      <c r="N350">
        <v>240236000</v>
      </c>
      <c r="O350">
        <v>250281900</v>
      </c>
      <c r="P350">
        <v>253541900</v>
      </c>
      <c r="Q350">
        <v>256787199.99999997</v>
      </c>
      <c r="R350">
        <v>263145100</v>
      </c>
      <c r="S350">
        <v>280284600</v>
      </c>
      <c r="T350">
        <v>296944100</v>
      </c>
      <c r="U350">
        <v>311301600</v>
      </c>
      <c r="V350">
        <v>327248700</v>
      </c>
      <c r="W350">
        <v>317214400</v>
      </c>
      <c r="X350">
        <v>319271200</v>
      </c>
      <c r="Y350">
        <v>316489900</v>
      </c>
      <c r="Z350">
        <v>332265200</v>
      </c>
      <c r="AA350">
        <v>366666800</v>
      </c>
      <c r="AB350">
        <v>401932300</v>
      </c>
      <c r="AC350">
        <v>416000000</v>
      </c>
      <c r="AD350">
        <v>408000000</v>
      </c>
      <c r="AE350">
        <v>406000000</v>
      </c>
      <c r="AF350">
        <v>424000000</v>
      </c>
      <c r="AG350">
        <f t="shared" si="17"/>
        <v>294126914.28571427</v>
      </c>
    </row>
    <row r="351" spans="1:33" x14ac:dyDescent="0.3">
      <c r="A351" t="s">
        <v>505</v>
      </c>
      <c r="B351" s="1" t="s">
        <v>506</v>
      </c>
      <c r="C351" t="s">
        <v>292</v>
      </c>
      <c r="D351" s="1" t="s">
        <v>293</v>
      </c>
      <c r="E351">
        <v>6479715000</v>
      </c>
      <c r="F351">
        <v>7797562000</v>
      </c>
      <c r="G351">
        <v>8916975000</v>
      </c>
      <c r="H351">
        <v>9122113000</v>
      </c>
      <c r="I351">
        <v>12321554000</v>
      </c>
      <c r="J351">
        <v>16019558000</v>
      </c>
      <c r="K351">
        <v>19051531000</v>
      </c>
      <c r="L351">
        <v>22555858000</v>
      </c>
      <c r="M351">
        <v>27619000000</v>
      </c>
      <c r="N351">
        <v>32032000000</v>
      </c>
      <c r="O351">
        <v>37652000000</v>
      </c>
      <c r="P351">
        <v>44754000000</v>
      </c>
      <c r="Q351">
        <v>53430000000</v>
      </c>
      <c r="R351">
        <v>62922000000</v>
      </c>
      <c r="S351">
        <v>60429803000</v>
      </c>
      <c r="T351">
        <v>86275377400</v>
      </c>
      <c r="U351">
        <v>98772813600</v>
      </c>
      <c r="V351">
        <v>105480183900</v>
      </c>
      <c r="W351">
        <v>119532870700</v>
      </c>
      <c r="X351">
        <v>131964258399.99998</v>
      </c>
      <c r="Y351">
        <v>146740205200</v>
      </c>
      <c r="Z351">
        <v>159010419100</v>
      </c>
      <c r="AA351">
        <v>176007292900</v>
      </c>
      <c r="AB351">
        <v>189062627300</v>
      </c>
      <c r="AC351">
        <v>206256239200</v>
      </c>
      <c r="AD351">
        <v>199733683700</v>
      </c>
      <c r="AE351">
        <v>242078629000</v>
      </c>
      <c r="AF351">
        <v>274207499000</v>
      </c>
      <c r="AG351">
        <f t="shared" ref="AG351:AG414" si="18">IFERROR(AVERAGE(E351:AF351),"NA")</f>
        <v>91293777442.857147</v>
      </c>
    </row>
    <row r="352" spans="1:33" x14ac:dyDescent="0.3">
      <c r="A352" t="s">
        <v>505</v>
      </c>
      <c r="B352" s="1" t="s">
        <v>506</v>
      </c>
      <c r="C352" t="s">
        <v>294</v>
      </c>
      <c r="D352" s="1" t="s">
        <v>295</v>
      </c>
      <c r="E352">
        <v>2382000000</v>
      </c>
      <c r="F352">
        <v>2447100000</v>
      </c>
      <c r="G352">
        <v>2527200000</v>
      </c>
      <c r="H352">
        <v>2639300000</v>
      </c>
      <c r="I352">
        <v>2727700000</v>
      </c>
      <c r="J352">
        <v>2874000000</v>
      </c>
      <c r="K352">
        <v>2985300000</v>
      </c>
      <c r="L352">
        <v>3087700000</v>
      </c>
      <c r="M352">
        <v>3180000000</v>
      </c>
      <c r="N352">
        <v>3250700000</v>
      </c>
      <c r="O352">
        <v>3379700000</v>
      </c>
      <c r="P352">
        <v>3653100000</v>
      </c>
      <c r="Q352">
        <v>4287399999.9999995</v>
      </c>
      <c r="R352">
        <v>4421500000</v>
      </c>
      <c r="S352">
        <v>3924900000</v>
      </c>
      <c r="T352">
        <v>4048800000</v>
      </c>
      <c r="U352">
        <v>4374200000</v>
      </c>
      <c r="V352">
        <v>4469800000</v>
      </c>
      <c r="W352">
        <v>4936000000</v>
      </c>
      <c r="X352">
        <v>5321300000</v>
      </c>
      <c r="Y352">
        <v>5643600000</v>
      </c>
      <c r="Z352">
        <v>5841200000</v>
      </c>
      <c r="AA352">
        <v>5693000000</v>
      </c>
      <c r="AB352">
        <v>6081900000</v>
      </c>
      <c r="AC352">
        <v>6595900000</v>
      </c>
      <c r="AD352">
        <v>5900600000</v>
      </c>
      <c r="AE352">
        <v>7293300000</v>
      </c>
      <c r="AF352">
        <v>8341500000</v>
      </c>
      <c r="AG352">
        <f t="shared" si="18"/>
        <v>4368167857.1428576</v>
      </c>
    </row>
    <row r="353" spans="1:33" x14ac:dyDescent="0.3">
      <c r="A353" t="s">
        <v>505</v>
      </c>
      <c r="B353" s="1" t="s">
        <v>506</v>
      </c>
      <c r="C353" t="s">
        <v>296</v>
      </c>
      <c r="D353" s="1" t="s">
        <v>297</v>
      </c>
      <c r="E353">
        <v>651455743000</v>
      </c>
      <c r="F353">
        <v>737996595800</v>
      </c>
      <c r="G353">
        <v>932926210900</v>
      </c>
      <c r="H353">
        <v>945461183000</v>
      </c>
      <c r="I353">
        <v>1080531999700</v>
      </c>
      <c r="J353">
        <v>1224062063100</v>
      </c>
      <c r="K353">
        <v>1391878162500</v>
      </c>
      <c r="L353">
        <v>1550609921100</v>
      </c>
      <c r="M353">
        <v>1829072230300</v>
      </c>
      <c r="N353">
        <v>2361156946300</v>
      </c>
      <c r="O353">
        <v>3041405736500</v>
      </c>
      <c r="P353">
        <v>4027558620100</v>
      </c>
      <c r="Q353">
        <v>4956647181200</v>
      </c>
      <c r="R353">
        <v>6555569353600</v>
      </c>
      <c r="S353">
        <v>6590637139700</v>
      </c>
      <c r="T353">
        <v>9756588400000</v>
      </c>
      <c r="U353">
        <v>13173763400000</v>
      </c>
      <c r="V353">
        <v>16688419554000</v>
      </c>
      <c r="W353">
        <v>19174242645000</v>
      </c>
      <c r="X353">
        <v>22227054279000</v>
      </c>
      <c r="Y353">
        <v>22894780891000</v>
      </c>
      <c r="Z353">
        <v>23931342642000</v>
      </c>
      <c r="AA353">
        <v>28010710566000</v>
      </c>
      <c r="AB353">
        <v>32582629019000</v>
      </c>
      <c r="AC353">
        <v>37839225358000</v>
      </c>
      <c r="AD353">
        <v>37453275328000</v>
      </c>
      <c r="AE353">
        <v>43555484407000</v>
      </c>
      <c r="AF353">
        <v>53851544500000</v>
      </c>
      <c r="AG353">
        <f t="shared" si="18"/>
        <v>14250572502707.143</v>
      </c>
    </row>
    <row r="354" spans="1:33" x14ac:dyDescent="0.3">
      <c r="A354" t="s">
        <v>505</v>
      </c>
      <c r="B354" s="1" t="s">
        <v>506</v>
      </c>
      <c r="C354" t="s">
        <v>298</v>
      </c>
      <c r="D354" s="1" t="s">
        <v>299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>
        <v>1065699000.0000001</v>
      </c>
      <c r="K354">
        <v>1295110000</v>
      </c>
      <c r="L354">
        <v>1360353000</v>
      </c>
      <c r="M354">
        <v>1510128000</v>
      </c>
      <c r="N354">
        <v>1669783000</v>
      </c>
      <c r="O354">
        <v>1814994000</v>
      </c>
      <c r="P354">
        <v>2169629000</v>
      </c>
      <c r="Q354">
        <v>2689128000</v>
      </c>
      <c r="R354">
        <v>3103332000</v>
      </c>
      <c r="S354">
        <v>2993886000</v>
      </c>
      <c r="T354">
        <v>3125090000</v>
      </c>
      <c r="U354">
        <v>3264781000</v>
      </c>
      <c r="V354">
        <v>3181477000</v>
      </c>
      <c r="W354">
        <v>3362481000</v>
      </c>
      <c r="X354">
        <v>3457922000</v>
      </c>
      <c r="Y354">
        <v>3654512000</v>
      </c>
      <c r="Z354">
        <v>3954211000</v>
      </c>
      <c r="AA354">
        <v>4299091000</v>
      </c>
      <c r="AB354">
        <v>4663130000</v>
      </c>
      <c r="AC354">
        <v>4950717000</v>
      </c>
      <c r="AD354">
        <v>4185553000</v>
      </c>
      <c r="AE354">
        <v>4955116000</v>
      </c>
      <c r="AF354">
        <v>5924018000</v>
      </c>
      <c r="AG354">
        <f t="shared" si="18"/>
        <v>3158701782.6086955</v>
      </c>
    </row>
    <row r="355" spans="1:33" x14ac:dyDescent="0.3">
      <c r="A355" t="s">
        <v>505</v>
      </c>
      <c r="B355" s="1" t="s">
        <v>506</v>
      </c>
      <c r="C355" t="s">
        <v>300</v>
      </c>
      <c r="D355" s="1" t="s">
        <v>301</v>
      </c>
      <c r="E355">
        <v>333318637900</v>
      </c>
      <c r="F355">
        <v>376190905400</v>
      </c>
      <c r="G355">
        <v>372961514800</v>
      </c>
      <c r="H355">
        <v>446582377200</v>
      </c>
      <c r="I355">
        <v>453615452100</v>
      </c>
      <c r="J355">
        <v>457103481100</v>
      </c>
      <c r="K355">
        <v>495426125000</v>
      </c>
      <c r="L355">
        <v>518837735100</v>
      </c>
      <c r="M355">
        <v>555595350000</v>
      </c>
      <c r="N355">
        <v>586301365800</v>
      </c>
      <c r="O355">
        <v>610379364600</v>
      </c>
      <c r="P355">
        <v>667442466200</v>
      </c>
      <c r="Q355">
        <v>712306259300</v>
      </c>
      <c r="R355">
        <v>789160621300</v>
      </c>
      <c r="S355">
        <v>815015565700</v>
      </c>
      <c r="T355">
        <v>848999414900</v>
      </c>
      <c r="U355">
        <v>890538547400</v>
      </c>
      <c r="V355">
        <v>922703408000</v>
      </c>
      <c r="W355">
        <v>972847042400</v>
      </c>
      <c r="X355">
        <v>1001454000000</v>
      </c>
      <c r="Y355">
        <v>1078119000000</v>
      </c>
      <c r="Z355">
        <v>1094249000000</v>
      </c>
      <c r="AA355">
        <v>1148895000000</v>
      </c>
      <c r="AB355">
        <v>1195237000000</v>
      </c>
      <c r="AC355">
        <v>1239836000000</v>
      </c>
      <c r="AD355">
        <v>1152477000000</v>
      </c>
      <c r="AE355">
        <v>1274727000000</v>
      </c>
      <c r="AF355">
        <v>1330158000000</v>
      </c>
      <c r="AG355">
        <f t="shared" si="18"/>
        <v>797874201221.42859</v>
      </c>
    </row>
    <row r="356" spans="1:33" x14ac:dyDescent="0.3">
      <c r="A356" t="s">
        <v>505</v>
      </c>
      <c r="B356" s="1" t="s">
        <v>506</v>
      </c>
      <c r="C356" t="s">
        <v>302</v>
      </c>
      <c r="D356" s="1" t="s">
        <v>303</v>
      </c>
      <c r="E356">
        <v>27629314600</v>
      </c>
      <c r="F356">
        <v>45515261400</v>
      </c>
      <c r="G356">
        <v>56259542300</v>
      </c>
      <c r="H356">
        <v>65917213200</v>
      </c>
      <c r="I356">
        <v>80294385500</v>
      </c>
      <c r="J356">
        <v>90307729900</v>
      </c>
      <c r="K356">
        <v>116978761400</v>
      </c>
      <c r="L356">
        <v>140902062600</v>
      </c>
      <c r="M356">
        <v>156571193600</v>
      </c>
      <c r="N356">
        <v>179233890400</v>
      </c>
      <c r="O356">
        <v>204516281100</v>
      </c>
      <c r="P356">
        <v>241557230800</v>
      </c>
      <c r="Q356">
        <v>279371709900</v>
      </c>
      <c r="R356">
        <v>313972580300</v>
      </c>
      <c r="S356">
        <v>337481536000</v>
      </c>
      <c r="T356">
        <v>387549074600</v>
      </c>
      <c r="U356">
        <v>424947383000</v>
      </c>
      <c r="V356">
        <v>473491595600</v>
      </c>
      <c r="W356">
        <v>517732700300</v>
      </c>
      <c r="X356">
        <v>563666356000</v>
      </c>
      <c r="Y356">
        <v>648075352100</v>
      </c>
      <c r="Z356">
        <v>761028906900</v>
      </c>
      <c r="AA356">
        <v>843423195300</v>
      </c>
      <c r="AB356">
        <v>905940307600</v>
      </c>
      <c r="AC356">
        <v>970297226600</v>
      </c>
      <c r="AD356">
        <v>988863485400</v>
      </c>
      <c r="AE356">
        <v>1058441811500.0001</v>
      </c>
      <c r="AF356">
        <v>1175291808600</v>
      </c>
      <c r="AG356">
        <f t="shared" si="18"/>
        <v>430544924875</v>
      </c>
    </row>
    <row r="357" spans="1:33" x14ac:dyDescent="0.3">
      <c r="A357" t="s">
        <v>505</v>
      </c>
      <c r="B357" s="1" t="s">
        <v>506</v>
      </c>
      <c r="C357" t="s">
        <v>304</v>
      </c>
      <c r="D357" s="1" t="s">
        <v>305</v>
      </c>
      <c r="E357">
        <v>604729000000</v>
      </c>
      <c r="F357">
        <v>791980000000</v>
      </c>
      <c r="G357">
        <v>1119509000000</v>
      </c>
      <c r="H357">
        <v>1609776000000</v>
      </c>
      <c r="I357">
        <v>2190320000000</v>
      </c>
      <c r="J357">
        <v>2552732500000</v>
      </c>
      <c r="K357">
        <v>3548472200000</v>
      </c>
      <c r="L357">
        <v>5625254700000</v>
      </c>
      <c r="M357">
        <v>7716616200000</v>
      </c>
      <c r="N357">
        <v>9078928500000</v>
      </c>
      <c r="O357">
        <v>12286765400000</v>
      </c>
      <c r="P357">
        <v>16852757800000</v>
      </c>
      <c r="Q357">
        <v>23336112700000</v>
      </c>
      <c r="R357">
        <v>29233288000000</v>
      </c>
      <c r="S357">
        <v>33894039100000</v>
      </c>
      <c r="T357">
        <v>39776764900000</v>
      </c>
      <c r="U357">
        <v>46307887700000</v>
      </c>
      <c r="V357">
        <v>51259260000000</v>
      </c>
      <c r="W357">
        <v>58011626000000</v>
      </c>
      <c r="X357">
        <v>65261890200000</v>
      </c>
      <c r="Y357">
        <v>72714021200000</v>
      </c>
      <c r="Z357">
        <v>79690363000000</v>
      </c>
      <c r="AA357">
        <v>89547993900000</v>
      </c>
      <c r="AB357">
        <v>100244307200000</v>
      </c>
      <c r="AC357">
        <v>112633324500000</v>
      </c>
      <c r="AD357">
        <v>107916476500000</v>
      </c>
      <c r="AE357">
        <v>113480192800000</v>
      </c>
      <c r="AF357">
        <v>125338951900000</v>
      </c>
      <c r="AG357">
        <f t="shared" si="18"/>
        <v>43308012175000</v>
      </c>
    </row>
    <row r="358" spans="1:33" x14ac:dyDescent="0.3">
      <c r="A358" t="s">
        <v>505</v>
      </c>
      <c r="B358" s="1" t="s">
        <v>506</v>
      </c>
      <c r="C358" t="s">
        <v>306</v>
      </c>
      <c r="D358" s="1" t="s">
        <v>307</v>
      </c>
      <c r="E358">
        <v>14430409200</v>
      </c>
      <c r="F358">
        <v>17150804800.000002</v>
      </c>
      <c r="G358">
        <v>19146035800</v>
      </c>
      <c r="H358">
        <v>21411651300</v>
      </c>
      <c r="I358">
        <v>23634854900</v>
      </c>
      <c r="J358">
        <v>27219616600</v>
      </c>
      <c r="K358">
        <v>30625794400</v>
      </c>
      <c r="L358">
        <v>35302751800</v>
      </c>
      <c r="M358">
        <v>37267277400</v>
      </c>
      <c r="N358">
        <v>42693441700</v>
      </c>
      <c r="O358">
        <v>46223734400</v>
      </c>
      <c r="P358">
        <v>54148842400</v>
      </c>
      <c r="Q358">
        <v>62357555400</v>
      </c>
      <c r="R358">
        <v>71026304000</v>
      </c>
      <c r="S358">
        <v>76184185600</v>
      </c>
      <c r="T358">
        <v>83795110900</v>
      </c>
      <c r="U358">
        <v>91420837000</v>
      </c>
      <c r="V358">
        <v>106863600500</v>
      </c>
      <c r="W358">
        <v>117423149200</v>
      </c>
      <c r="X358">
        <v>134835972799.99998</v>
      </c>
      <c r="Y358">
        <v>146018649600</v>
      </c>
      <c r="Z358">
        <v>157707675300</v>
      </c>
      <c r="AA358">
        <v>171570012800</v>
      </c>
      <c r="AB358">
        <v>181067043600</v>
      </c>
      <c r="AC358">
        <v>181210794000</v>
      </c>
      <c r="AD358">
        <v>174243078100</v>
      </c>
      <c r="AE358">
        <v>183939687500</v>
      </c>
      <c r="AF358">
        <v>211234804595.94699</v>
      </c>
      <c r="AG358">
        <f t="shared" si="18"/>
        <v>90005488414.140961</v>
      </c>
    </row>
    <row r="359" spans="1:33" x14ac:dyDescent="0.3">
      <c r="A359" t="s">
        <v>505</v>
      </c>
      <c r="B359" s="1" t="s">
        <v>506</v>
      </c>
      <c r="C359" t="s">
        <v>308</v>
      </c>
      <c r="D359" s="1" t="s">
        <v>309</v>
      </c>
      <c r="E359" t="s">
        <v>34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  <c r="N359">
        <v>43000000</v>
      </c>
      <c r="O359">
        <v>40000000</v>
      </c>
      <c r="P359">
        <v>39000000</v>
      </c>
      <c r="Q359">
        <v>29000000</v>
      </c>
      <c r="R359">
        <v>42000000</v>
      </c>
      <c r="S359">
        <v>60000000</v>
      </c>
      <c r="T359">
        <v>54000000</v>
      </c>
      <c r="U359">
        <v>66000000</v>
      </c>
      <c r="V359">
        <v>98000000</v>
      </c>
      <c r="W359">
        <v>92000000</v>
      </c>
      <c r="X359">
        <v>108000000</v>
      </c>
      <c r="Y359">
        <v>102000000</v>
      </c>
      <c r="Z359">
        <v>134000000</v>
      </c>
      <c r="AA359">
        <v>145000000</v>
      </c>
      <c r="AB359">
        <v>169000000</v>
      </c>
      <c r="AC359">
        <v>175000000</v>
      </c>
      <c r="AD359">
        <v>186000000</v>
      </c>
      <c r="AE359">
        <v>195000000</v>
      </c>
      <c r="AF359">
        <v>209000000</v>
      </c>
      <c r="AG359">
        <f t="shared" si="18"/>
        <v>104526315.78947368</v>
      </c>
    </row>
    <row r="360" spans="1:33" x14ac:dyDescent="0.3">
      <c r="A360" t="s">
        <v>505</v>
      </c>
      <c r="B360" s="1" t="s">
        <v>506</v>
      </c>
      <c r="C360" t="s">
        <v>310</v>
      </c>
      <c r="D360" s="1" t="s">
        <v>311</v>
      </c>
      <c r="E360">
        <v>219175000000</v>
      </c>
      <c r="F360">
        <v>248913000000</v>
      </c>
      <c r="G360">
        <v>280513000000</v>
      </c>
      <c r="H360">
        <v>300845000000</v>
      </c>
      <c r="I360">
        <v>342036000000</v>
      </c>
      <c r="J360">
        <v>379488000000</v>
      </c>
      <c r="K360">
        <v>441518545600</v>
      </c>
      <c r="L360">
        <v>459443000000</v>
      </c>
      <c r="M360">
        <v>492231000000</v>
      </c>
      <c r="N360">
        <v>536749000000</v>
      </c>
      <c r="O360">
        <v>589412000000</v>
      </c>
      <c r="P360">
        <v>654084000000</v>
      </c>
      <c r="Q360">
        <v>727827000000</v>
      </c>
      <c r="R360">
        <v>815658000000</v>
      </c>
      <c r="S360">
        <v>988272000000</v>
      </c>
      <c r="T360">
        <v>1192774000000</v>
      </c>
      <c r="U360">
        <v>1559222569200</v>
      </c>
      <c r="V360">
        <v>1758379177900</v>
      </c>
      <c r="W360">
        <v>1949294818500</v>
      </c>
      <c r="X360">
        <v>2232525283500</v>
      </c>
      <c r="Y360">
        <v>2423638482800</v>
      </c>
      <c r="Z360">
        <v>2608184437700</v>
      </c>
      <c r="AA360">
        <v>3077144919300</v>
      </c>
      <c r="AB360">
        <v>3455949289800</v>
      </c>
      <c r="AC360">
        <v>3858930402400</v>
      </c>
      <c r="AD360">
        <v>3888703650900</v>
      </c>
      <c r="AE360">
        <v>4352550241000</v>
      </c>
      <c r="AF360">
        <v>4933696581300</v>
      </c>
      <c r="AG360">
        <f t="shared" si="18"/>
        <v>1598827085710.7144</v>
      </c>
    </row>
    <row r="361" spans="1:33" x14ac:dyDescent="0.3">
      <c r="A361" t="s">
        <v>505</v>
      </c>
      <c r="B361" s="1" t="s">
        <v>506</v>
      </c>
      <c r="C361" t="s">
        <v>312</v>
      </c>
      <c r="D361" s="1" t="s">
        <v>313</v>
      </c>
      <c r="E361">
        <v>329547000000</v>
      </c>
      <c r="F361">
        <v>344625000000</v>
      </c>
      <c r="G361">
        <v>369046000000</v>
      </c>
      <c r="H361">
        <v>394295000000</v>
      </c>
      <c r="I361">
        <v>419459000000</v>
      </c>
      <c r="J361">
        <v>452007000000</v>
      </c>
      <c r="K361">
        <v>481881000000</v>
      </c>
      <c r="L361">
        <v>501137000000</v>
      </c>
      <c r="M361">
        <v>512810000000</v>
      </c>
      <c r="N361">
        <v>529286000000</v>
      </c>
      <c r="O361">
        <v>550883000000</v>
      </c>
      <c r="P361">
        <v>584546000000</v>
      </c>
      <c r="Q361">
        <v>619170000000</v>
      </c>
      <c r="R361">
        <v>647198000000</v>
      </c>
      <c r="S361">
        <v>624842000000</v>
      </c>
      <c r="T361">
        <v>639187000000</v>
      </c>
      <c r="U361">
        <v>650359000000</v>
      </c>
      <c r="V361">
        <v>652966000000</v>
      </c>
      <c r="W361">
        <v>660463000000</v>
      </c>
      <c r="X361">
        <v>671560000000</v>
      </c>
      <c r="Y361">
        <v>690008000000</v>
      </c>
      <c r="Z361">
        <v>708337000000</v>
      </c>
      <c r="AA361">
        <v>738146000000</v>
      </c>
      <c r="AB361">
        <v>773987000000</v>
      </c>
      <c r="AC361">
        <v>813055000000</v>
      </c>
      <c r="AD361">
        <v>796530000000</v>
      </c>
      <c r="AE361">
        <v>870587000000</v>
      </c>
      <c r="AF361">
        <v>958549000000</v>
      </c>
      <c r="AG361">
        <f t="shared" si="18"/>
        <v>606588071428.57141</v>
      </c>
    </row>
    <row r="362" spans="1:33" x14ac:dyDescent="0.3">
      <c r="A362" t="s">
        <v>505</v>
      </c>
      <c r="B362" s="1" t="s">
        <v>506</v>
      </c>
      <c r="C362" t="s">
        <v>314</v>
      </c>
      <c r="D362" s="1" t="s">
        <v>315</v>
      </c>
      <c r="E362">
        <v>329295986700</v>
      </c>
      <c r="F362">
        <v>335481995300</v>
      </c>
      <c r="G362">
        <v>349259989000</v>
      </c>
      <c r="H362">
        <v>381462820100</v>
      </c>
      <c r="I362">
        <v>408433138400</v>
      </c>
      <c r="J362">
        <v>441871689700</v>
      </c>
      <c r="K362">
        <v>439382912200</v>
      </c>
      <c r="L362">
        <v>471996332200</v>
      </c>
      <c r="M362">
        <v>518544966900</v>
      </c>
      <c r="N362">
        <v>565527882900</v>
      </c>
      <c r="O362">
        <v>598402122300</v>
      </c>
      <c r="P362">
        <v>663296638900</v>
      </c>
      <c r="Q362">
        <v>767977072000</v>
      </c>
      <c r="R362">
        <v>735713380100</v>
      </c>
      <c r="S362">
        <v>744715000000</v>
      </c>
      <c r="T362">
        <v>842913000000</v>
      </c>
      <c r="U362">
        <v>887425000000</v>
      </c>
      <c r="V362">
        <v>897146000000</v>
      </c>
      <c r="W362">
        <v>912104000000</v>
      </c>
      <c r="X362">
        <v>955285000000</v>
      </c>
      <c r="Y362">
        <v>939822000000</v>
      </c>
      <c r="Z362">
        <v>940568000000</v>
      </c>
      <c r="AA362">
        <v>969083000000</v>
      </c>
      <c r="AB362">
        <v>1000000000000</v>
      </c>
      <c r="AC362">
        <v>1010000000000</v>
      </c>
      <c r="AD362">
        <v>990000000000</v>
      </c>
      <c r="AE362">
        <v>1016000000000</v>
      </c>
      <c r="AF362">
        <v>1092000000000</v>
      </c>
      <c r="AG362">
        <f t="shared" si="18"/>
        <v>721560997382.14282</v>
      </c>
    </row>
    <row r="363" spans="1:33" x14ac:dyDescent="0.3">
      <c r="A363" t="s">
        <v>505</v>
      </c>
      <c r="B363" s="1" t="s">
        <v>506</v>
      </c>
      <c r="C363" t="s">
        <v>316</v>
      </c>
      <c r="D363" s="1" t="s">
        <v>317</v>
      </c>
      <c r="E363">
        <v>96236000000</v>
      </c>
      <c r="F363">
        <v>101101000000</v>
      </c>
      <c r="G363">
        <v>104815000000</v>
      </c>
      <c r="H363">
        <v>106826000000</v>
      </c>
      <c r="I363">
        <v>113229000000</v>
      </c>
      <c r="J363">
        <v>119839000000</v>
      </c>
      <c r="K363">
        <v>128712000000</v>
      </c>
      <c r="L363">
        <v>135181000000</v>
      </c>
      <c r="M363">
        <v>144502000000</v>
      </c>
      <c r="N363">
        <v>154559000000</v>
      </c>
      <c r="O363">
        <v>162937000000</v>
      </c>
      <c r="P363">
        <v>172004000000</v>
      </c>
      <c r="Q363">
        <v>186673000000</v>
      </c>
      <c r="R363">
        <v>189406000000</v>
      </c>
      <c r="S363">
        <v>194307000000</v>
      </c>
      <c r="T363">
        <v>203342000000</v>
      </c>
      <c r="U363">
        <v>213025000000</v>
      </c>
      <c r="V363">
        <v>217489000000</v>
      </c>
      <c r="W363">
        <v>232793000000</v>
      </c>
      <c r="X363">
        <v>242670000000</v>
      </c>
      <c r="Y363">
        <v>255340000000</v>
      </c>
      <c r="Z363">
        <v>271271000000</v>
      </c>
      <c r="AA363">
        <v>290709000000</v>
      </c>
      <c r="AB363">
        <v>306231000000</v>
      </c>
      <c r="AC363">
        <v>323447000000</v>
      </c>
      <c r="AD363">
        <v>327795000000</v>
      </c>
      <c r="AE363">
        <v>361299000000</v>
      </c>
      <c r="AF363">
        <v>391301874951.46802</v>
      </c>
      <c r="AG363">
        <f t="shared" si="18"/>
        <v>205251424105.40958</v>
      </c>
    </row>
    <row r="364" spans="1:33" x14ac:dyDescent="0.3">
      <c r="A364" t="s">
        <v>505</v>
      </c>
      <c r="B364" s="1" t="s">
        <v>506</v>
      </c>
      <c r="C364" t="s">
        <v>318</v>
      </c>
      <c r="D364" s="1" t="s">
        <v>319</v>
      </c>
      <c r="E364">
        <v>31177739100</v>
      </c>
      <c r="F364">
        <v>36340948300</v>
      </c>
      <c r="G364">
        <v>41476833900</v>
      </c>
      <c r="H364">
        <v>49050861300</v>
      </c>
      <c r="I364">
        <v>57346028100</v>
      </c>
      <c r="J364">
        <v>64812005100</v>
      </c>
      <c r="K364">
        <v>71563317800</v>
      </c>
      <c r="L364">
        <v>74445035500</v>
      </c>
      <c r="M364">
        <v>80390359200</v>
      </c>
      <c r="N364">
        <v>92323401500</v>
      </c>
      <c r="O364">
        <v>105776805200</v>
      </c>
      <c r="P364">
        <v>118838000000</v>
      </c>
      <c r="Q364">
        <v>136950000000</v>
      </c>
      <c r="R364">
        <v>164602000000</v>
      </c>
      <c r="S364">
        <v>168792000000</v>
      </c>
      <c r="T364">
        <v>187053000000</v>
      </c>
      <c r="U364">
        <v>219182000000</v>
      </c>
      <c r="V364">
        <v>247993000000</v>
      </c>
      <c r="W364">
        <v>271530000000</v>
      </c>
      <c r="X364">
        <v>308403000000</v>
      </c>
      <c r="Y364">
        <v>347707000000</v>
      </c>
      <c r="Z364">
        <v>380261000000</v>
      </c>
      <c r="AA364">
        <v>414280000000</v>
      </c>
      <c r="AB364">
        <v>410988000000</v>
      </c>
      <c r="AC364">
        <v>420614000000</v>
      </c>
      <c r="AD364">
        <v>435395000000</v>
      </c>
      <c r="AE364">
        <v>497525000000</v>
      </c>
      <c r="AF364">
        <v>562209000000</v>
      </c>
      <c r="AG364">
        <f t="shared" si="18"/>
        <v>214179476250</v>
      </c>
    </row>
    <row r="365" spans="1:33" x14ac:dyDescent="0.3">
      <c r="A365" t="s">
        <v>505</v>
      </c>
      <c r="B365" s="1" t="s">
        <v>506</v>
      </c>
      <c r="C365" t="s">
        <v>320</v>
      </c>
      <c r="D365" s="1" t="s">
        <v>321</v>
      </c>
      <c r="E365">
        <v>1149308000000</v>
      </c>
      <c r="F365">
        <v>1230635000000</v>
      </c>
      <c r="G365">
        <v>1336789000000</v>
      </c>
      <c r="H365">
        <v>1559457000000</v>
      </c>
      <c r="I365">
        <v>1561942000000</v>
      </c>
      <c r="J365">
        <v>1592111000000</v>
      </c>
      <c r="K365">
        <v>1793433000000</v>
      </c>
      <c r="L365">
        <v>1930044000000</v>
      </c>
      <c r="M365">
        <v>1968221000000</v>
      </c>
      <c r="N365">
        <v>1983025000000</v>
      </c>
      <c r="O365">
        <v>2311140000000</v>
      </c>
      <c r="P365">
        <v>2484845000000</v>
      </c>
      <c r="Q365">
        <v>2743282000000</v>
      </c>
      <c r="R365">
        <v>3254730000000</v>
      </c>
      <c r="S365">
        <v>3457659000000</v>
      </c>
      <c r="T365">
        <v>3884725000000</v>
      </c>
      <c r="U365">
        <v>4134241000000</v>
      </c>
      <c r="V365">
        <v>4812970000000</v>
      </c>
      <c r="W365">
        <v>5050073000000</v>
      </c>
      <c r="X365">
        <v>5363658000000</v>
      </c>
      <c r="Y365">
        <v>5725216000000</v>
      </c>
      <c r="Z365">
        <v>6162424000000</v>
      </c>
      <c r="AA365">
        <v>6494706283190.8398</v>
      </c>
      <c r="AB365">
        <v>7130436979398.6504</v>
      </c>
      <c r="AC365">
        <v>7552132556043.4004</v>
      </c>
      <c r="AD365">
        <v>7911229969663.4697</v>
      </c>
      <c r="AE365">
        <v>8270826368456.9199</v>
      </c>
      <c r="AF365">
        <v>9569895311424.1016</v>
      </c>
      <c r="AG365">
        <f t="shared" si="18"/>
        <v>4014969838149.1929</v>
      </c>
    </row>
    <row r="366" spans="1:33" x14ac:dyDescent="0.3">
      <c r="A366" t="s">
        <v>505</v>
      </c>
      <c r="B366" s="1" t="s">
        <v>506</v>
      </c>
      <c r="C366" t="s">
        <v>322</v>
      </c>
      <c r="D366" s="1" t="s">
        <v>323</v>
      </c>
      <c r="E366">
        <v>3100235093700</v>
      </c>
      <c r="F366">
        <v>4086065207400</v>
      </c>
      <c r="G366">
        <v>4418708747600</v>
      </c>
      <c r="H366">
        <v>4805156414800</v>
      </c>
      <c r="I366">
        <v>5482354321300</v>
      </c>
      <c r="J366">
        <v>7062751068400</v>
      </c>
      <c r="K366">
        <v>8234493679700</v>
      </c>
      <c r="L366">
        <v>11501450399000</v>
      </c>
      <c r="M366">
        <v>13556973688000</v>
      </c>
      <c r="N366">
        <v>18124060020000</v>
      </c>
      <c r="O366">
        <v>23121878997000</v>
      </c>
      <c r="P366">
        <v>30375178717000</v>
      </c>
      <c r="Q366">
        <v>34675943737000.004</v>
      </c>
      <c r="R366">
        <v>39954211886000</v>
      </c>
      <c r="S366">
        <v>43461458621000</v>
      </c>
      <c r="T366">
        <v>54612264177000</v>
      </c>
      <c r="U366">
        <v>63134734885000</v>
      </c>
      <c r="V366">
        <v>72351452212000</v>
      </c>
      <c r="W366">
        <v>81009964620000</v>
      </c>
      <c r="X366">
        <v>90136984656000</v>
      </c>
      <c r="Y366">
        <v>95177735684000</v>
      </c>
      <c r="Z366">
        <v>102575418030000</v>
      </c>
      <c r="AA366">
        <v>114899249900000</v>
      </c>
      <c r="AB366">
        <v>129086907450000</v>
      </c>
      <c r="AC366">
        <v>145639139380000</v>
      </c>
      <c r="AD366">
        <v>154252318900000</v>
      </c>
      <c r="AE366">
        <v>176075501870000</v>
      </c>
      <c r="AF366">
        <v>202365026790000</v>
      </c>
      <c r="AG366">
        <f t="shared" si="18"/>
        <v>61902772112567.859</v>
      </c>
    </row>
    <row r="367" spans="1:33" x14ac:dyDescent="0.3">
      <c r="A367" t="s">
        <v>505</v>
      </c>
      <c r="B367" s="1" t="s">
        <v>506</v>
      </c>
      <c r="C367" t="s">
        <v>324</v>
      </c>
      <c r="D367" s="1" t="s">
        <v>325</v>
      </c>
      <c r="E367">
        <v>178311000000</v>
      </c>
      <c r="F367">
        <v>185593000000</v>
      </c>
      <c r="G367">
        <v>195663000000</v>
      </c>
      <c r="H367">
        <v>205089000000</v>
      </c>
      <c r="I367">
        <v>219847000000</v>
      </c>
      <c r="J367">
        <v>248646000000</v>
      </c>
      <c r="K367">
        <v>252393000000</v>
      </c>
      <c r="L367">
        <v>258581000000</v>
      </c>
      <c r="M367">
        <v>268694000000</v>
      </c>
      <c r="N367">
        <v>280786000000</v>
      </c>
      <c r="O367">
        <v>308447000000</v>
      </c>
      <c r="P367">
        <v>334840000000</v>
      </c>
      <c r="Q367">
        <v>372889000000</v>
      </c>
      <c r="R367">
        <v>414890000000</v>
      </c>
      <c r="S367">
        <v>414622000000</v>
      </c>
      <c r="T367">
        <v>437296000000</v>
      </c>
      <c r="U367">
        <v>464186000000</v>
      </c>
      <c r="V367">
        <v>466703000000</v>
      </c>
      <c r="W367">
        <v>501891000000</v>
      </c>
      <c r="X367">
        <v>527631000000</v>
      </c>
      <c r="Y367">
        <v>558954000000</v>
      </c>
      <c r="Z367">
        <v>594795000000</v>
      </c>
      <c r="AA367">
        <v>618106000000</v>
      </c>
      <c r="AB367">
        <v>660878000000</v>
      </c>
      <c r="AC367">
        <v>692683000000</v>
      </c>
      <c r="AD367">
        <v>669280177800</v>
      </c>
      <c r="AE367">
        <v>729444530815.49402</v>
      </c>
      <c r="AF367">
        <v>794798212000</v>
      </c>
      <c r="AG367">
        <f t="shared" si="18"/>
        <v>423426318593.41052</v>
      </c>
    </row>
    <row r="368" spans="1:33" x14ac:dyDescent="0.3">
      <c r="A368" t="s">
        <v>505</v>
      </c>
      <c r="B368" s="1" t="s">
        <v>506</v>
      </c>
      <c r="C368" t="s">
        <v>326</v>
      </c>
      <c r="D368" s="1" t="s">
        <v>327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>
        <v>1284000000</v>
      </c>
      <c r="M368">
        <v>1239000000</v>
      </c>
      <c r="N368">
        <v>1210000000</v>
      </c>
      <c r="O368">
        <v>1061000000</v>
      </c>
      <c r="P368">
        <v>990000000</v>
      </c>
      <c r="Q368">
        <v>938000000</v>
      </c>
      <c r="R368">
        <v>939000000</v>
      </c>
      <c r="S368">
        <v>795000000</v>
      </c>
      <c r="T368">
        <v>799000000</v>
      </c>
      <c r="U368">
        <v>729000000</v>
      </c>
      <c r="V368">
        <v>746000000</v>
      </c>
      <c r="W368">
        <v>772000000</v>
      </c>
      <c r="X368">
        <v>832000000</v>
      </c>
      <c r="Y368">
        <v>910000000</v>
      </c>
      <c r="Z368">
        <v>1230000000</v>
      </c>
      <c r="AA368">
        <v>1560000000</v>
      </c>
      <c r="AB368">
        <v>1301000000</v>
      </c>
      <c r="AC368">
        <v>1181000000</v>
      </c>
      <c r="AD368">
        <v>858000000</v>
      </c>
      <c r="AE368" t="s">
        <v>34</v>
      </c>
      <c r="AF368" t="s">
        <v>34</v>
      </c>
      <c r="AG368">
        <f t="shared" si="18"/>
        <v>1019684210.5263158</v>
      </c>
    </row>
    <row r="369" spans="1:33" x14ac:dyDescent="0.3">
      <c r="A369" t="s">
        <v>505</v>
      </c>
      <c r="B369" s="1" t="s">
        <v>506</v>
      </c>
      <c r="C369" t="s">
        <v>328</v>
      </c>
      <c r="D369" s="1" t="s">
        <v>329</v>
      </c>
      <c r="E369">
        <v>963138000000</v>
      </c>
      <c r="F369">
        <v>1054672000000</v>
      </c>
      <c r="G369">
        <v>1141340000000</v>
      </c>
      <c r="H369">
        <v>1163683000000</v>
      </c>
      <c r="I369">
        <v>1266463000000</v>
      </c>
      <c r="J369">
        <v>1509132000000</v>
      </c>
      <c r="K369">
        <v>1566708000000</v>
      </c>
      <c r="L369">
        <v>1564145000000</v>
      </c>
      <c r="M369">
        <v>1624095000000</v>
      </c>
      <c r="N369">
        <v>1788123000000</v>
      </c>
      <c r="O369">
        <v>1997037000000</v>
      </c>
      <c r="P369">
        <v>2224871000000</v>
      </c>
      <c r="Q369">
        <v>2360174000000</v>
      </c>
      <c r="R369">
        <v>2622135000000</v>
      </c>
      <c r="S369">
        <v>2439712000000</v>
      </c>
      <c r="T369">
        <v>2605351000000</v>
      </c>
      <c r="U369">
        <v>2809929000000</v>
      </c>
      <c r="V369">
        <v>2983082000000</v>
      </c>
      <c r="W369">
        <v>3090335000000</v>
      </c>
      <c r="X369">
        <v>3161776000000</v>
      </c>
      <c r="Y369">
        <v>3130183000000</v>
      </c>
      <c r="Z369">
        <v>3116035000000</v>
      </c>
      <c r="AA369">
        <v>3323103000000</v>
      </c>
      <c r="AB369">
        <v>3576581000000</v>
      </c>
      <c r="AC369">
        <v>3596937000000</v>
      </c>
      <c r="AD369">
        <v>3461575000000</v>
      </c>
      <c r="AE369">
        <v>4323931000000</v>
      </c>
      <c r="AF369">
        <v>5704556000000</v>
      </c>
      <c r="AG369">
        <f t="shared" si="18"/>
        <v>2506028642857.1431</v>
      </c>
    </row>
    <row r="370" spans="1:33" x14ac:dyDescent="0.3">
      <c r="A370" t="s">
        <v>505</v>
      </c>
      <c r="B370" s="1" t="s">
        <v>506</v>
      </c>
      <c r="C370" t="s">
        <v>330</v>
      </c>
      <c r="D370" s="1" t="s">
        <v>331</v>
      </c>
      <c r="E370">
        <v>5307100000</v>
      </c>
      <c r="F370">
        <v>5874300000</v>
      </c>
      <c r="G370">
        <v>6089500000</v>
      </c>
      <c r="H370">
        <v>5381813700</v>
      </c>
      <c r="I370">
        <v>5995683900</v>
      </c>
      <c r="J370">
        <v>7500615500</v>
      </c>
      <c r="K370">
        <v>7479294200</v>
      </c>
      <c r="L370">
        <v>7744889700</v>
      </c>
      <c r="M370">
        <v>8318160800</v>
      </c>
      <c r="N370">
        <v>9521647600</v>
      </c>
      <c r="O370">
        <v>11951025800</v>
      </c>
      <c r="P370">
        <v>14309467300</v>
      </c>
      <c r="Q370">
        <v>16181828400</v>
      </c>
      <c r="R370">
        <v>23418146500</v>
      </c>
      <c r="S370">
        <v>18605325800</v>
      </c>
      <c r="T370">
        <v>24990000000</v>
      </c>
      <c r="U370">
        <v>29797800000</v>
      </c>
      <c r="V370">
        <v>33608699999.999996</v>
      </c>
      <c r="W370">
        <v>34580400000</v>
      </c>
      <c r="X370">
        <v>35642800000</v>
      </c>
      <c r="Y370">
        <v>30264300000</v>
      </c>
      <c r="Z370">
        <v>28887000000</v>
      </c>
      <c r="AA370">
        <v>31089400000</v>
      </c>
      <c r="AB370">
        <v>35184000000</v>
      </c>
      <c r="AC370">
        <v>33859400000</v>
      </c>
      <c r="AD370">
        <v>29187163400</v>
      </c>
      <c r="AE370">
        <v>33909815300.000004</v>
      </c>
      <c r="AF370">
        <v>44089600000</v>
      </c>
      <c r="AG370">
        <f t="shared" si="18"/>
        <v>20670327782.142857</v>
      </c>
    </row>
    <row r="371" spans="1:33" x14ac:dyDescent="0.3">
      <c r="A371" t="s">
        <v>505</v>
      </c>
      <c r="B371" s="1" t="s">
        <v>506</v>
      </c>
      <c r="C371" t="s">
        <v>332</v>
      </c>
      <c r="D371" s="1" t="s">
        <v>333</v>
      </c>
      <c r="E371">
        <v>1865922000000</v>
      </c>
      <c r="F371">
        <v>2120173000000</v>
      </c>
      <c r="G371">
        <v>2428312000000</v>
      </c>
      <c r="H371">
        <v>2677656000000</v>
      </c>
      <c r="I371">
        <v>2938379000000</v>
      </c>
      <c r="J371">
        <v>5147094961300</v>
      </c>
      <c r="K371">
        <v>5655817907900</v>
      </c>
      <c r="L371">
        <v>6030116987000</v>
      </c>
      <c r="M371">
        <v>6581622987800</v>
      </c>
      <c r="N371">
        <v>7611677902900</v>
      </c>
      <c r="O371">
        <v>8619231796800.001</v>
      </c>
      <c r="P371">
        <v>9689070773700</v>
      </c>
      <c r="Q371">
        <v>11165234339600</v>
      </c>
      <c r="R371">
        <v>12647136760800</v>
      </c>
      <c r="S371">
        <v>14705697558500</v>
      </c>
      <c r="T371">
        <v>16507053350300</v>
      </c>
      <c r="U371">
        <v>19731030411400</v>
      </c>
      <c r="V371">
        <v>22344639137200</v>
      </c>
      <c r="W371">
        <v>25042169405200</v>
      </c>
      <c r="X371">
        <v>27952815352700</v>
      </c>
      <c r="Y371">
        <v>30425879918400</v>
      </c>
      <c r="Z371">
        <v>32725049000000</v>
      </c>
      <c r="AA371">
        <v>35552819000000</v>
      </c>
      <c r="AB371">
        <v>39189810000000</v>
      </c>
      <c r="AC371">
        <v>43798401000000</v>
      </c>
      <c r="AD371">
        <v>47540409000000</v>
      </c>
      <c r="AE371">
        <v>55836225000000</v>
      </c>
      <c r="AF371">
        <v>66623563947700</v>
      </c>
      <c r="AG371">
        <f t="shared" si="18"/>
        <v>20112607446400</v>
      </c>
    </row>
    <row r="372" spans="1:33" x14ac:dyDescent="0.3">
      <c r="A372" t="s">
        <v>505</v>
      </c>
      <c r="B372" s="1" t="s">
        <v>506</v>
      </c>
      <c r="C372" t="s">
        <v>334</v>
      </c>
      <c r="D372" s="1" t="s">
        <v>335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>
        <v>146297500</v>
      </c>
      <c r="K372">
        <v>156907900</v>
      </c>
      <c r="L372">
        <v>163184900</v>
      </c>
      <c r="M372">
        <v>153963200</v>
      </c>
      <c r="N372">
        <v>165186200</v>
      </c>
      <c r="O372">
        <v>190452900</v>
      </c>
      <c r="P372">
        <v>192382400</v>
      </c>
      <c r="Q372">
        <v>198897700</v>
      </c>
      <c r="R372">
        <v>198283900</v>
      </c>
      <c r="S372">
        <v>187522800</v>
      </c>
      <c r="T372">
        <v>185943000</v>
      </c>
      <c r="U372">
        <v>196911100</v>
      </c>
      <c r="V372">
        <v>212397800</v>
      </c>
      <c r="W372">
        <v>221117200</v>
      </c>
      <c r="X372">
        <v>241669800</v>
      </c>
      <c r="Y372">
        <v>280457700</v>
      </c>
      <c r="Z372">
        <v>298300000</v>
      </c>
      <c r="AA372">
        <v>285600000</v>
      </c>
      <c r="AB372">
        <v>288546281.25</v>
      </c>
      <c r="AC372">
        <v>281970375</v>
      </c>
      <c r="AD372">
        <v>257885921.875</v>
      </c>
      <c r="AE372">
        <v>232903015.625</v>
      </c>
      <c r="AF372" t="s">
        <v>34</v>
      </c>
      <c r="AG372">
        <f t="shared" si="18"/>
        <v>215308254.26136363</v>
      </c>
    </row>
    <row r="373" spans="1:33" x14ac:dyDescent="0.3">
      <c r="A373" t="s">
        <v>505</v>
      </c>
      <c r="B373" s="1" t="s">
        <v>506</v>
      </c>
      <c r="C373" t="s">
        <v>336</v>
      </c>
      <c r="D373" s="1" t="s">
        <v>337</v>
      </c>
      <c r="E373">
        <v>9573813700</v>
      </c>
      <c r="F373">
        <v>9870494000</v>
      </c>
      <c r="G373">
        <v>10677286100</v>
      </c>
      <c r="H373">
        <v>11575486400</v>
      </c>
      <c r="I373">
        <v>12130252200</v>
      </c>
      <c r="J373">
        <v>12304115000</v>
      </c>
      <c r="K373">
        <v>12502013400</v>
      </c>
      <c r="L373">
        <v>12994310400</v>
      </c>
      <c r="M373">
        <v>13693981200</v>
      </c>
      <c r="N373">
        <v>15013381700</v>
      </c>
      <c r="O373">
        <v>16374393900</v>
      </c>
      <c r="P373">
        <v>18141666300</v>
      </c>
      <c r="Q373">
        <v>21295984200</v>
      </c>
      <c r="R373">
        <v>25155888600</v>
      </c>
      <c r="S373">
        <v>27116635600</v>
      </c>
      <c r="T373">
        <v>29440287600</v>
      </c>
      <c r="U373">
        <v>34686224300</v>
      </c>
      <c r="V373">
        <v>40429700000</v>
      </c>
      <c r="W373">
        <v>45599900000</v>
      </c>
      <c r="X373">
        <v>49921400000</v>
      </c>
      <c r="Y373">
        <v>54091800000</v>
      </c>
      <c r="Z373">
        <v>57907700000</v>
      </c>
      <c r="AA373">
        <v>62202700000</v>
      </c>
      <c r="AB373">
        <v>67294169200.000008</v>
      </c>
      <c r="AC373">
        <v>69721787500</v>
      </c>
      <c r="AD373">
        <v>57086836900</v>
      </c>
      <c r="AE373">
        <v>67406738100</v>
      </c>
      <c r="AF373">
        <v>76522511800</v>
      </c>
      <c r="AG373">
        <f t="shared" si="18"/>
        <v>33597552075</v>
      </c>
    </row>
    <row r="374" spans="1:33" x14ac:dyDescent="0.3">
      <c r="A374" t="s">
        <v>505</v>
      </c>
      <c r="B374" s="1" t="s">
        <v>506</v>
      </c>
      <c r="C374" t="s">
        <v>338</v>
      </c>
      <c r="D374" s="1" t="s">
        <v>339</v>
      </c>
      <c r="E374">
        <v>6194700000</v>
      </c>
      <c r="F374">
        <v>6794700000</v>
      </c>
      <c r="G374">
        <v>7079600000</v>
      </c>
      <c r="H374">
        <v>7803600000</v>
      </c>
      <c r="I374">
        <v>8828200000</v>
      </c>
      <c r="J374">
        <v>9735800000</v>
      </c>
      <c r="K374">
        <v>10396300000</v>
      </c>
      <c r="L374">
        <v>11655500000</v>
      </c>
      <c r="M374">
        <v>12567346700</v>
      </c>
      <c r="N374">
        <v>12652124500</v>
      </c>
      <c r="O374">
        <v>15094000000</v>
      </c>
      <c r="P374">
        <v>25538749000</v>
      </c>
      <c r="Q374">
        <v>28304313400</v>
      </c>
      <c r="R374">
        <v>31512437600</v>
      </c>
      <c r="S374">
        <v>32013264100</v>
      </c>
      <c r="T374">
        <v>38752078700</v>
      </c>
      <c r="U374">
        <v>42642222800</v>
      </c>
      <c r="V374">
        <v>44371635600</v>
      </c>
      <c r="W374">
        <v>47721285900</v>
      </c>
      <c r="X374">
        <v>57130774000</v>
      </c>
      <c r="Y374">
        <v>60139423700</v>
      </c>
      <c r="Z374">
        <v>65038163500</v>
      </c>
      <c r="AA374">
        <v>72521646100</v>
      </c>
      <c r="AB374">
        <v>79404670700</v>
      </c>
      <c r="AC374">
        <v>83845179700</v>
      </c>
      <c r="AD374">
        <v>82515000000</v>
      </c>
      <c r="AE374">
        <v>91625732515.011002</v>
      </c>
      <c r="AF374">
        <v>111241167818.15001</v>
      </c>
      <c r="AG374">
        <f t="shared" si="18"/>
        <v>39397129154.755745</v>
      </c>
    </row>
    <row r="375" spans="1:33" x14ac:dyDescent="0.3">
      <c r="A375" t="s">
        <v>505</v>
      </c>
      <c r="B375" s="1" t="s">
        <v>506</v>
      </c>
      <c r="C375" t="s">
        <v>340</v>
      </c>
      <c r="D375" s="1" t="s">
        <v>341</v>
      </c>
      <c r="E375">
        <v>17789145328100</v>
      </c>
      <c r="F375">
        <v>20132862098100</v>
      </c>
      <c r="G375">
        <v>21702866395200</v>
      </c>
      <c r="H375">
        <v>25248610402400</v>
      </c>
      <c r="I375">
        <v>27563440659500</v>
      </c>
      <c r="J375">
        <v>30874087613300</v>
      </c>
      <c r="K375">
        <v>34883186504100.004</v>
      </c>
      <c r="L375">
        <v>41135696942300</v>
      </c>
      <c r="M375">
        <v>49411959699800</v>
      </c>
      <c r="N375">
        <v>57501991731700</v>
      </c>
      <c r="O375">
        <v>66335828408400</v>
      </c>
      <c r="P375">
        <v>75681657797800</v>
      </c>
      <c r="Q375">
        <v>89866048799900</v>
      </c>
      <c r="R375">
        <v>107403590628100</v>
      </c>
      <c r="S375">
        <v>111030933590100</v>
      </c>
      <c r="T375">
        <v>129092883480000</v>
      </c>
      <c r="U375">
        <v>141486449392600</v>
      </c>
      <c r="V375">
        <v>147225506094700</v>
      </c>
      <c r="W375">
        <v>166350805107500</v>
      </c>
      <c r="X375">
        <v>180174060966200</v>
      </c>
      <c r="Y375">
        <v>188477326977400</v>
      </c>
      <c r="Z375">
        <v>204647273075000</v>
      </c>
      <c r="AA375">
        <v>219122277202800</v>
      </c>
      <c r="AB375">
        <v>230576477470400</v>
      </c>
      <c r="AC375">
        <v>236681497060700</v>
      </c>
      <c r="AD375">
        <v>239914728793800</v>
      </c>
      <c r="AE375">
        <v>270633896196500</v>
      </c>
      <c r="AF375">
        <v>291336457145400</v>
      </c>
      <c r="AG375">
        <f t="shared" si="18"/>
        <v>122224340912921.42</v>
      </c>
    </row>
    <row r="376" spans="1:33" x14ac:dyDescent="0.3">
      <c r="A376" t="s">
        <v>505</v>
      </c>
      <c r="B376" s="1" t="s">
        <v>506</v>
      </c>
      <c r="C376" t="s">
        <v>342</v>
      </c>
      <c r="D376" s="1" t="s">
        <v>343</v>
      </c>
      <c r="E376">
        <v>120263000000</v>
      </c>
      <c r="F376">
        <v>135606000000</v>
      </c>
      <c r="G376">
        <v>154905000000</v>
      </c>
      <c r="H376">
        <v>162586000000</v>
      </c>
      <c r="I376">
        <v>169859000000</v>
      </c>
      <c r="J376">
        <v>180584000000</v>
      </c>
      <c r="K376">
        <v>182527000000</v>
      </c>
      <c r="L376">
        <v>192691000000</v>
      </c>
      <c r="M376">
        <v>204337000000</v>
      </c>
      <c r="N376">
        <v>227935000000</v>
      </c>
      <c r="O376">
        <v>250749000000</v>
      </c>
      <c r="P376">
        <v>290271000000</v>
      </c>
      <c r="Q376">
        <v>319693000000</v>
      </c>
      <c r="R376">
        <v>352719000000</v>
      </c>
      <c r="S376">
        <v>363943000000</v>
      </c>
      <c r="T376">
        <v>416784000000</v>
      </c>
      <c r="U376">
        <v>473049000000</v>
      </c>
      <c r="V376">
        <v>508131000000</v>
      </c>
      <c r="W376">
        <v>543556000000</v>
      </c>
      <c r="X376">
        <v>570041000000</v>
      </c>
      <c r="Y376">
        <v>604416000000</v>
      </c>
      <c r="Z376">
        <v>647668000000</v>
      </c>
      <c r="AA376">
        <v>687989000000</v>
      </c>
      <c r="AB376">
        <v>731588000000</v>
      </c>
      <c r="AC376">
        <v>761984000000</v>
      </c>
      <c r="AD376">
        <v>705795000000</v>
      </c>
      <c r="AE376">
        <v>868149000000</v>
      </c>
      <c r="AF376">
        <v>930536000000</v>
      </c>
      <c r="AG376">
        <f t="shared" si="18"/>
        <v>419941214285.71429</v>
      </c>
    </row>
    <row r="377" spans="1:33" x14ac:dyDescent="0.3">
      <c r="A377" t="s">
        <v>505</v>
      </c>
      <c r="B377" s="1" t="s">
        <v>506</v>
      </c>
      <c r="C377" t="s">
        <v>344</v>
      </c>
      <c r="D377" s="1" t="s">
        <v>345</v>
      </c>
      <c r="E377">
        <v>2176583797799.9998</v>
      </c>
      <c r="F377">
        <v>2481303646200</v>
      </c>
      <c r="G377">
        <v>2773375100600</v>
      </c>
      <c r="H377">
        <v>3046222105600</v>
      </c>
      <c r="I377">
        <v>3347587190100</v>
      </c>
      <c r="J377">
        <v>3697556200000</v>
      </c>
      <c r="K377">
        <v>4024398940200</v>
      </c>
      <c r="L377">
        <v>4350559772099.9995</v>
      </c>
      <c r="M377">
        <v>4717808940500</v>
      </c>
      <c r="N377">
        <v>5323904177200</v>
      </c>
      <c r="O377">
        <v>5917282301200</v>
      </c>
      <c r="P377">
        <v>6550417112900</v>
      </c>
      <c r="Q377">
        <v>7198244887800</v>
      </c>
      <c r="R377">
        <v>8050200620600</v>
      </c>
      <c r="S377">
        <v>8390421456300</v>
      </c>
      <c r="T377">
        <v>9399450758100</v>
      </c>
      <c r="U377">
        <v>10144661327000</v>
      </c>
      <c r="V377">
        <v>11060588831000</v>
      </c>
      <c r="W377">
        <v>12050591984000</v>
      </c>
      <c r="X377">
        <v>13206828252000</v>
      </c>
      <c r="Y377">
        <v>13944157448000</v>
      </c>
      <c r="Z377">
        <v>15132381470000</v>
      </c>
      <c r="AA377">
        <v>16556651083000</v>
      </c>
      <c r="AB377">
        <v>18265190258000</v>
      </c>
      <c r="AC377">
        <v>19517863172000</v>
      </c>
      <c r="AD377">
        <v>17951573570000</v>
      </c>
      <c r="AE377">
        <v>19410614486000</v>
      </c>
      <c r="AF377">
        <v>22024515001000</v>
      </c>
      <c r="AG377">
        <f t="shared" si="18"/>
        <v>9668247638900</v>
      </c>
    </row>
    <row r="378" spans="1:33" x14ac:dyDescent="0.3">
      <c r="A378" t="s">
        <v>505</v>
      </c>
      <c r="B378" s="1" t="s">
        <v>506</v>
      </c>
      <c r="C378" t="s">
        <v>346</v>
      </c>
      <c r="D378" s="1" t="s">
        <v>347</v>
      </c>
      <c r="E378">
        <v>345060000000</v>
      </c>
      <c r="F378">
        <v>431897000000</v>
      </c>
      <c r="G378">
        <v>522582000000</v>
      </c>
      <c r="H378">
        <v>607103000000</v>
      </c>
      <c r="I378">
        <v>674530000000</v>
      </c>
      <c r="J378">
        <v>748483000000</v>
      </c>
      <c r="K378">
        <v>781548000000</v>
      </c>
      <c r="L378">
        <v>812214000000</v>
      </c>
      <c r="M378">
        <v>847152000000</v>
      </c>
      <c r="N378">
        <v>933091000000</v>
      </c>
      <c r="O378">
        <v>990530000000</v>
      </c>
      <c r="P378">
        <v>1069431000000</v>
      </c>
      <c r="Q378">
        <v>1187508000000</v>
      </c>
      <c r="R378">
        <v>1285571000000</v>
      </c>
      <c r="S378">
        <v>1372025000000</v>
      </c>
      <c r="T378">
        <v>1434368000000</v>
      </c>
      <c r="U378">
        <v>1553641000000</v>
      </c>
      <c r="V378">
        <v>1612739000000</v>
      </c>
      <c r="W378">
        <v>1630126000000</v>
      </c>
      <c r="X378">
        <v>1700552000000</v>
      </c>
      <c r="Y378">
        <v>1798471000000</v>
      </c>
      <c r="Z378">
        <v>1853205000000</v>
      </c>
      <c r="AA378">
        <v>1982794000000</v>
      </c>
      <c r="AB378">
        <v>2126506000000</v>
      </c>
      <c r="AC378">
        <v>2288492000000</v>
      </c>
      <c r="AD378">
        <v>2337672000000</v>
      </c>
      <c r="AE378">
        <v>2631302000000</v>
      </c>
      <c r="AF378">
        <v>3067495000000</v>
      </c>
      <c r="AG378">
        <f t="shared" si="18"/>
        <v>1379503142857.1428</v>
      </c>
    </row>
    <row r="379" spans="1:33" x14ac:dyDescent="0.3">
      <c r="A379" t="s">
        <v>505</v>
      </c>
      <c r="B379" s="1" t="s">
        <v>506</v>
      </c>
      <c r="C379" t="s">
        <v>348</v>
      </c>
      <c r="D379" s="1" t="s">
        <v>349</v>
      </c>
      <c r="E379">
        <v>89028557000</v>
      </c>
      <c r="F379">
        <v>94351591000</v>
      </c>
      <c r="G379">
        <v>102330960000</v>
      </c>
      <c r="H379">
        <v>111353381000</v>
      </c>
      <c r="I379">
        <v>119603305000</v>
      </c>
      <c r="J379">
        <v>128414445000</v>
      </c>
      <c r="K379">
        <v>135775008999.99998</v>
      </c>
      <c r="L379">
        <v>142554263000</v>
      </c>
      <c r="M379">
        <v>146067858000</v>
      </c>
      <c r="N379">
        <v>152248388000</v>
      </c>
      <c r="O379">
        <v>158552704000</v>
      </c>
      <c r="P379">
        <v>166260469000</v>
      </c>
      <c r="Q379">
        <v>175483401000</v>
      </c>
      <c r="R379">
        <v>179102781000</v>
      </c>
      <c r="S379">
        <v>175416437000</v>
      </c>
      <c r="T379">
        <v>179610779000</v>
      </c>
      <c r="U379">
        <v>176096171000</v>
      </c>
      <c r="V379">
        <v>168295569000</v>
      </c>
      <c r="W379">
        <v>170492269000</v>
      </c>
      <c r="X379">
        <v>173053691000</v>
      </c>
      <c r="Y379">
        <v>179713159000</v>
      </c>
      <c r="Z379">
        <v>186489811000</v>
      </c>
      <c r="AA379">
        <v>195947210000</v>
      </c>
      <c r="AB379">
        <v>205184124000</v>
      </c>
      <c r="AC379">
        <v>214374620000</v>
      </c>
      <c r="AD379">
        <v>200518859000</v>
      </c>
      <c r="AE379">
        <v>216053209000</v>
      </c>
      <c r="AF379">
        <v>242340811000</v>
      </c>
      <c r="AG379">
        <f t="shared" si="18"/>
        <v>163739779678.57144</v>
      </c>
    </row>
    <row r="380" spans="1:33" x14ac:dyDescent="0.3">
      <c r="A380" t="s">
        <v>505</v>
      </c>
      <c r="B380" s="1" t="s">
        <v>506</v>
      </c>
      <c r="C380" t="s">
        <v>350</v>
      </c>
      <c r="D380" s="1" t="s">
        <v>351</v>
      </c>
      <c r="E380">
        <v>42647331000</v>
      </c>
      <c r="F380">
        <v>45340835000</v>
      </c>
      <c r="G380">
        <v>48187039000</v>
      </c>
      <c r="H380">
        <v>54086400000</v>
      </c>
      <c r="I380">
        <v>57841000000</v>
      </c>
      <c r="J380">
        <v>61701800000</v>
      </c>
      <c r="K380">
        <v>69208400000</v>
      </c>
      <c r="L380">
        <v>71623500000</v>
      </c>
      <c r="M380">
        <v>74827400000</v>
      </c>
      <c r="N380">
        <v>80322313000</v>
      </c>
      <c r="O380">
        <v>83914521300</v>
      </c>
      <c r="P380">
        <v>87276164400</v>
      </c>
      <c r="Q380">
        <v>89524131600</v>
      </c>
      <c r="R380">
        <v>93639300000</v>
      </c>
      <c r="S380">
        <v>96385600000</v>
      </c>
      <c r="T380">
        <v>98381300000</v>
      </c>
      <c r="U380">
        <v>100351700000</v>
      </c>
      <c r="V380">
        <v>101564800000</v>
      </c>
      <c r="W380">
        <v>102450000000</v>
      </c>
      <c r="X380">
        <v>102445800000</v>
      </c>
      <c r="Y380">
        <v>103375500000</v>
      </c>
      <c r="Z380">
        <v>104336700000</v>
      </c>
      <c r="AA380">
        <v>103445500000</v>
      </c>
      <c r="AB380">
        <v>100958100000</v>
      </c>
      <c r="AC380">
        <v>105126400000</v>
      </c>
      <c r="AD380">
        <v>103130900000</v>
      </c>
      <c r="AE380">
        <v>106368900000</v>
      </c>
      <c r="AF380">
        <v>113434800000</v>
      </c>
      <c r="AG380">
        <f t="shared" si="18"/>
        <v>85782004832.142853</v>
      </c>
    </row>
    <row r="381" spans="1:33" x14ac:dyDescent="0.3">
      <c r="A381" t="s">
        <v>505</v>
      </c>
      <c r="B381" s="1" t="s">
        <v>506</v>
      </c>
      <c r="C381" t="s">
        <v>352</v>
      </c>
      <c r="D381" s="1" t="s">
        <v>353</v>
      </c>
      <c r="E381">
        <v>29621999600</v>
      </c>
      <c r="F381">
        <v>32975999000.000004</v>
      </c>
      <c r="G381">
        <v>41123999700</v>
      </c>
      <c r="H381">
        <v>37330001900</v>
      </c>
      <c r="I381">
        <v>45111000000</v>
      </c>
      <c r="J381">
        <v>64646000000</v>
      </c>
      <c r="K381">
        <v>63840000000</v>
      </c>
      <c r="L381">
        <v>70484000000</v>
      </c>
      <c r="M381">
        <v>85663000000</v>
      </c>
      <c r="N381">
        <v>115512000000</v>
      </c>
      <c r="O381">
        <v>162091000000</v>
      </c>
      <c r="P381">
        <v>221611000000</v>
      </c>
      <c r="Q381">
        <v>290152000000</v>
      </c>
      <c r="R381">
        <v>419583000000</v>
      </c>
      <c r="S381">
        <v>355986000000</v>
      </c>
      <c r="T381">
        <v>455445195100</v>
      </c>
      <c r="U381">
        <v>610701977800</v>
      </c>
      <c r="V381">
        <v>680073948600</v>
      </c>
      <c r="W381">
        <v>723368620400</v>
      </c>
      <c r="X381">
        <v>750657538800</v>
      </c>
      <c r="Y381">
        <v>588733438300</v>
      </c>
      <c r="Z381">
        <v>552305142000</v>
      </c>
      <c r="AA381">
        <v>586400804900</v>
      </c>
      <c r="AB381">
        <v>667339231900</v>
      </c>
      <c r="AC381">
        <v>641991414388.25696</v>
      </c>
      <c r="AD381">
        <v>525657362576.784</v>
      </c>
      <c r="AE381">
        <v>654224514779.63892</v>
      </c>
      <c r="AF381">
        <v>859980222336.33801</v>
      </c>
      <c r="AG381">
        <f t="shared" si="18"/>
        <v>369021800431.4649</v>
      </c>
    </row>
    <row r="382" spans="1:33" x14ac:dyDescent="0.3">
      <c r="A382" t="s">
        <v>505</v>
      </c>
      <c r="B382" s="1" t="s">
        <v>506</v>
      </c>
      <c r="C382" t="s">
        <v>354</v>
      </c>
      <c r="D382" s="1" t="s">
        <v>355</v>
      </c>
      <c r="E382">
        <v>7610600000</v>
      </c>
      <c r="F382">
        <v>11387700000</v>
      </c>
      <c r="G382">
        <v>25500100000</v>
      </c>
      <c r="H382">
        <v>37007700000</v>
      </c>
      <c r="I382">
        <v>55126400000</v>
      </c>
      <c r="J382">
        <v>80873100000</v>
      </c>
      <c r="K382">
        <v>117391400000</v>
      </c>
      <c r="L382">
        <v>152271500000</v>
      </c>
      <c r="M382">
        <v>191917600000</v>
      </c>
      <c r="N382">
        <v>244688300000</v>
      </c>
      <c r="O382">
        <v>286861900000</v>
      </c>
      <c r="P382">
        <v>342762600000</v>
      </c>
      <c r="Q382">
        <v>425691100000</v>
      </c>
      <c r="R382">
        <v>539834600000</v>
      </c>
      <c r="S382">
        <v>530894400000</v>
      </c>
      <c r="T382">
        <v>540336300000.00006</v>
      </c>
      <c r="U382">
        <v>587203300000</v>
      </c>
      <c r="V382">
        <v>621268700000</v>
      </c>
      <c r="W382">
        <v>631602900000</v>
      </c>
      <c r="X382">
        <v>668876400000</v>
      </c>
      <c r="Y382">
        <v>712543600000</v>
      </c>
      <c r="Z382">
        <v>752116400000</v>
      </c>
      <c r="AA382">
        <v>851619700000</v>
      </c>
      <c r="AB382">
        <v>959058600000</v>
      </c>
      <c r="AC382">
        <v>1063794600000.0001</v>
      </c>
      <c r="AD382">
        <v>1066780500000</v>
      </c>
      <c r="AE382">
        <v>1189089800000</v>
      </c>
      <c r="AF382">
        <v>1409783900000</v>
      </c>
      <c r="AG382">
        <f t="shared" si="18"/>
        <v>503710489285.71429</v>
      </c>
    </row>
    <row r="383" spans="1:33" x14ac:dyDescent="0.3">
      <c r="A383" t="s">
        <v>505</v>
      </c>
      <c r="B383" s="1" t="s">
        <v>506</v>
      </c>
      <c r="C383" t="s">
        <v>356</v>
      </c>
      <c r="D383" s="1" t="s">
        <v>357</v>
      </c>
      <c r="E383">
        <v>1428522100000</v>
      </c>
      <c r="F383">
        <v>2007825100000</v>
      </c>
      <c r="G383">
        <v>2342514000000</v>
      </c>
      <c r="H383">
        <v>2629623000000</v>
      </c>
      <c r="I383">
        <v>4823233500000</v>
      </c>
      <c r="J383">
        <v>7305646300000</v>
      </c>
      <c r="K383">
        <v>8943582400000</v>
      </c>
      <c r="L383">
        <v>10830500000000</v>
      </c>
      <c r="M383">
        <v>13208233779000</v>
      </c>
      <c r="N383">
        <v>17027190860000</v>
      </c>
      <c r="O383">
        <v>21609765489000</v>
      </c>
      <c r="P383">
        <v>26917201375000</v>
      </c>
      <c r="Q383">
        <v>33247513229000</v>
      </c>
      <c r="R383">
        <v>41276849187000</v>
      </c>
      <c r="S383">
        <v>38807218575000</v>
      </c>
      <c r="T383">
        <v>46308541190000</v>
      </c>
      <c r="U383">
        <v>60114000000000</v>
      </c>
      <c r="V383">
        <v>68103400000000</v>
      </c>
      <c r="W383">
        <v>72985700000000</v>
      </c>
      <c r="X383">
        <v>79030000000000</v>
      </c>
      <c r="Y383">
        <v>83087400000000</v>
      </c>
      <c r="Z383">
        <v>85616100000000</v>
      </c>
      <c r="AA383">
        <v>91843200000000</v>
      </c>
      <c r="AB383">
        <v>103861700000000</v>
      </c>
      <c r="AC383">
        <v>109608300000000</v>
      </c>
      <c r="AD383">
        <v>107658100000000</v>
      </c>
      <c r="AE383">
        <v>135295000000000</v>
      </c>
      <c r="AF383">
        <v>153435200000000</v>
      </c>
      <c r="AG383">
        <f t="shared" si="18"/>
        <v>51048287860142.859</v>
      </c>
    </row>
    <row r="384" spans="1:33" x14ac:dyDescent="0.3">
      <c r="A384" t="s">
        <v>505</v>
      </c>
      <c r="B384" s="1" t="s">
        <v>506</v>
      </c>
      <c r="C384" t="s">
        <v>358</v>
      </c>
      <c r="D384" s="1" t="s">
        <v>359</v>
      </c>
      <c r="E384">
        <v>339141984300</v>
      </c>
      <c r="F384">
        <v>424127987700</v>
      </c>
      <c r="G384">
        <v>558300004400</v>
      </c>
      <c r="H384">
        <v>621300023300</v>
      </c>
      <c r="I384">
        <v>720393000000</v>
      </c>
      <c r="J384">
        <v>806264000000</v>
      </c>
      <c r="K384">
        <v>871241000000</v>
      </c>
      <c r="L384">
        <v>934621000000</v>
      </c>
      <c r="M384">
        <v>1149697000000</v>
      </c>
      <c r="N384">
        <v>1372390000000</v>
      </c>
      <c r="O384">
        <v>1636651000000</v>
      </c>
      <c r="P384">
        <v>1831664000000</v>
      </c>
      <c r="Q384">
        <v>2226515000000</v>
      </c>
      <c r="R384">
        <v>2832801000000</v>
      </c>
      <c r="S384">
        <v>3224939000000</v>
      </c>
      <c r="T384">
        <v>3571803000000</v>
      </c>
      <c r="U384">
        <v>4133406000000</v>
      </c>
      <c r="V384">
        <v>4702715000000</v>
      </c>
      <c r="W384">
        <v>5057173000000</v>
      </c>
      <c r="X384">
        <v>5623128000000</v>
      </c>
      <c r="Y384">
        <v>6150928000000</v>
      </c>
      <c r="Z384">
        <v>6845994000000</v>
      </c>
      <c r="AA384">
        <v>7694234000000</v>
      </c>
      <c r="AB384">
        <v>8297715000000</v>
      </c>
      <c r="AC384">
        <v>9304974000000</v>
      </c>
      <c r="AD384">
        <v>9595310000000</v>
      </c>
      <c r="AE384">
        <v>10928770000000</v>
      </c>
      <c r="AF384">
        <v>13714936000000</v>
      </c>
      <c r="AG384">
        <f t="shared" si="18"/>
        <v>4113254714275</v>
      </c>
    </row>
    <row r="385" spans="1:33" x14ac:dyDescent="0.3">
      <c r="A385" t="s">
        <v>505</v>
      </c>
      <c r="B385" s="1" t="s">
        <v>506</v>
      </c>
      <c r="C385" t="s">
        <v>360</v>
      </c>
      <c r="D385" s="1" t="s">
        <v>361</v>
      </c>
      <c r="E385">
        <v>556182900</v>
      </c>
      <c r="F385">
        <v>623472900</v>
      </c>
      <c r="G385">
        <v>701756100</v>
      </c>
      <c r="H385">
        <v>741640100</v>
      </c>
      <c r="I385">
        <v>766383300</v>
      </c>
      <c r="J385">
        <v>822127100</v>
      </c>
      <c r="K385">
        <v>912608700</v>
      </c>
      <c r="L385">
        <v>978472000</v>
      </c>
      <c r="M385">
        <v>1055702000</v>
      </c>
      <c r="N385">
        <v>1165266700</v>
      </c>
      <c r="O385">
        <v>1292275900</v>
      </c>
      <c r="P385">
        <v>1389438100</v>
      </c>
      <c r="Q385">
        <v>1500746900</v>
      </c>
      <c r="R385">
        <v>1695847600</v>
      </c>
      <c r="S385">
        <v>1714959100</v>
      </c>
      <c r="T385">
        <v>1726339600</v>
      </c>
      <c r="U385">
        <v>1776475900</v>
      </c>
      <c r="V385">
        <v>1779035300</v>
      </c>
      <c r="W385">
        <v>1822730200</v>
      </c>
      <c r="X385">
        <v>1850411400</v>
      </c>
      <c r="Y385">
        <v>1997846300</v>
      </c>
      <c r="Z385">
        <v>2205778900</v>
      </c>
      <c r="AA385">
        <v>2243618500</v>
      </c>
      <c r="AB385">
        <v>2254415800</v>
      </c>
      <c r="AC385">
        <v>2390088800</v>
      </c>
      <c r="AD385">
        <v>2344130500</v>
      </c>
      <c r="AE385">
        <v>2169453400</v>
      </c>
      <c r="AF385">
        <v>2170167100</v>
      </c>
      <c r="AG385">
        <f t="shared" si="18"/>
        <v>1523120396.4285715</v>
      </c>
    </row>
    <row r="386" spans="1:33" x14ac:dyDescent="0.3">
      <c r="A386" t="s">
        <v>505</v>
      </c>
      <c r="B386" s="1" t="s">
        <v>506</v>
      </c>
      <c r="C386" t="s">
        <v>362</v>
      </c>
      <c r="D386" s="1" t="s">
        <v>363</v>
      </c>
      <c r="E386" t="s">
        <v>34</v>
      </c>
      <c r="F386" t="s">
        <v>34</v>
      </c>
      <c r="G386">
        <v>859000000</v>
      </c>
      <c r="H386">
        <v>940000000</v>
      </c>
      <c r="I386">
        <v>1041000000</v>
      </c>
      <c r="J386">
        <v>1091000000</v>
      </c>
      <c r="K386">
        <v>1183000000</v>
      </c>
      <c r="L386">
        <v>1215000000</v>
      </c>
      <c r="M386">
        <v>1293000000</v>
      </c>
      <c r="N386">
        <v>1379000000</v>
      </c>
      <c r="O386">
        <v>1436000000</v>
      </c>
      <c r="P386">
        <v>1521000000</v>
      </c>
      <c r="Q386">
        <v>1597000000</v>
      </c>
      <c r="R386">
        <v>1634000000</v>
      </c>
      <c r="S386">
        <v>1480000000</v>
      </c>
      <c r="T386">
        <v>1419000000</v>
      </c>
      <c r="U386">
        <v>1303000000</v>
      </c>
      <c r="V386">
        <v>1249000000</v>
      </c>
      <c r="W386">
        <v>1264000000</v>
      </c>
      <c r="X386">
        <v>1260000000</v>
      </c>
      <c r="Y386">
        <v>1279300507.3</v>
      </c>
      <c r="Z386">
        <v>1326532027.7</v>
      </c>
      <c r="AA386">
        <v>1353143902.3</v>
      </c>
      <c r="AB386">
        <v>1401708778.9000001</v>
      </c>
      <c r="AC386">
        <v>1443741367.8</v>
      </c>
      <c r="AD386">
        <v>1352406806.4000001</v>
      </c>
      <c r="AE386">
        <v>1568726185.4000001</v>
      </c>
      <c r="AF386" t="s">
        <v>34</v>
      </c>
      <c r="AG386">
        <f t="shared" si="18"/>
        <v>1315582383.0320001</v>
      </c>
    </row>
    <row r="387" spans="1:33" x14ac:dyDescent="0.3">
      <c r="A387" t="s">
        <v>505</v>
      </c>
      <c r="B387" s="1" t="s">
        <v>506</v>
      </c>
      <c r="C387" t="s">
        <v>364</v>
      </c>
      <c r="D387" s="1" t="s">
        <v>365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>
        <v>671568200</v>
      </c>
      <c r="L387">
        <v>774062400</v>
      </c>
      <c r="M387">
        <v>954255200</v>
      </c>
      <c r="N387">
        <v>1134630900</v>
      </c>
      <c r="O387">
        <v>1440642000</v>
      </c>
      <c r="P387">
        <v>1777356300</v>
      </c>
      <c r="Q387">
        <v>2018965300</v>
      </c>
      <c r="R387">
        <v>2763009000</v>
      </c>
      <c r="S387">
        <v>3252518700</v>
      </c>
      <c r="T387">
        <v>3529459900</v>
      </c>
      <c r="U387">
        <v>4020537800</v>
      </c>
      <c r="V387">
        <v>4406551600</v>
      </c>
      <c r="W387">
        <v>4965786300</v>
      </c>
      <c r="X387">
        <v>5450233900</v>
      </c>
      <c r="Y387">
        <v>5783392800</v>
      </c>
      <c r="Z387">
        <v>6511836700</v>
      </c>
      <c r="AA387">
        <v>7056330100</v>
      </c>
      <c r="AB387">
        <v>8022222000</v>
      </c>
      <c r="AC387">
        <v>9105669600</v>
      </c>
      <c r="AD387">
        <v>10210772000</v>
      </c>
      <c r="AE387">
        <v>10942038900</v>
      </c>
      <c r="AF387">
        <v>12734294800</v>
      </c>
      <c r="AG387">
        <f t="shared" si="18"/>
        <v>4887551563.636364</v>
      </c>
    </row>
    <row r="388" spans="1:33" x14ac:dyDescent="0.3">
      <c r="A388" t="s">
        <v>505</v>
      </c>
      <c r="B388" s="1" t="s">
        <v>506</v>
      </c>
      <c r="C388" t="s">
        <v>366</v>
      </c>
      <c r="D388" s="1" t="s">
        <v>367</v>
      </c>
      <c r="E388">
        <v>536819631457.33905</v>
      </c>
      <c r="F388">
        <v>594190603321.76404</v>
      </c>
      <c r="G388">
        <v>621533662539.61597</v>
      </c>
      <c r="H388">
        <v>550407857847.29395</v>
      </c>
      <c r="I388">
        <v>606438900000</v>
      </c>
      <c r="J388">
        <v>710680913335</v>
      </c>
      <c r="K388">
        <v>690515691468.23499</v>
      </c>
      <c r="L388">
        <v>711022200901.93396</v>
      </c>
      <c r="M388">
        <v>809278707166.59009</v>
      </c>
      <c r="N388">
        <v>970283486358.77991</v>
      </c>
      <c r="O388">
        <v>1230771342334.8801</v>
      </c>
      <c r="P388">
        <v>1411491008274.1301</v>
      </c>
      <c r="Q388">
        <v>1558827275014.3699</v>
      </c>
      <c r="R388">
        <v>1949237769866.73</v>
      </c>
      <c r="S388">
        <v>1609117122296.3</v>
      </c>
      <c r="T388">
        <v>1980777369487.02</v>
      </c>
      <c r="U388">
        <v>2537379664773.9199</v>
      </c>
      <c r="V388">
        <v>2781937443537.21</v>
      </c>
      <c r="W388">
        <v>2826992037863.4302</v>
      </c>
      <c r="X388">
        <v>2874772300201.6001</v>
      </c>
      <c r="Y388">
        <v>2510566429983.3403</v>
      </c>
      <c r="Z388">
        <v>2497499548853.2197</v>
      </c>
      <c r="AA388">
        <v>2681230106218.6899</v>
      </c>
      <c r="AB388">
        <v>3174689219409.8604</v>
      </c>
      <c r="AC388">
        <v>3144617644856.77</v>
      </c>
      <c r="AD388">
        <v>2753516939793.71</v>
      </c>
      <c r="AE388">
        <v>3278085434625.4902</v>
      </c>
      <c r="AF388">
        <v>4157143189820.1802</v>
      </c>
      <c r="AG388">
        <f t="shared" si="18"/>
        <v>1848565125057.4075</v>
      </c>
    </row>
    <row r="389" spans="1:33" x14ac:dyDescent="0.3">
      <c r="A389" t="s">
        <v>505</v>
      </c>
      <c r="B389" s="1" t="s">
        <v>506</v>
      </c>
      <c r="C389" t="s">
        <v>368</v>
      </c>
      <c r="D389" s="1" t="s">
        <v>369</v>
      </c>
      <c r="E389">
        <v>3157783967800</v>
      </c>
      <c r="F389">
        <v>3355636698600</v>
      </c>
      <c r="G389">
        <v>3526226093900</v>
      </c>
      <c r="H389">
        <v>3837994933400</v>
      </c>
      <c r="I389">
        <v>4057714195500</v>
      </c>
      <c r="J389">
        <v>4270611957000.0005</v>
      </c>
      <c r="K389">
        <v>4766315891400</v>
      </c>
      <c r="L389">
        <v>4860433962900</v>
      </c>
      <c r="M389">
        <v>5084959063800</v>
      </c>
      <c r="N389">
        <v>5313888669800</v>
      </c>
      <c r="O389">
        <v>5804604948700</v>
      </c>
      <c r="P389">
        <v>6111292249300</v>
      </c>
      <c r="Q389">
        <v>6698104789500</v>
      </c>
      <c r="R389">
        <v>7516880064900</v>
      </c>
      <c r="S389">
        <v>7593295291500</v>
      </c>
      <c r="T389">
        <v>7976734607700</v>
      </c>
      <c r="U389">
        <v>8394956688200.001</v>
      </c>
      <c r="V389">
        <v>9016869323200</v>
      </c>
      <c r="W389">
        <v>9343922875900</v>
      </c>
      <c r="X389">
        <v>9775039000000</v>
      </c>
      <c r="Y389">
        <v>10508650000000</v>
      </c>
      <c r="Z389">
        <v>11283396000000</v>
      </c>
      <c r="AA389">
        <v>12191796000000</v>
      </c>
      <c r="AB389">
        <v>12840090000000</v>
      </c>
      <c r="AC389">
        <v>13712659000000</v>
      </c>
      <c r="AD389">
        <v>14119420000000</v>
      </c>
      <c r="AE389">
        <v>15287932000000</v>
      </c>
      <c r="AF389">
        <v>17268328701762.301</v>
      </c>
      <c r="AG389">
        <f t="shared" si="18"/>
        <v>8131269177670.083</v>
      </c>
    </row>
    <row r="390" spans="1:33" x14ac:dyDescent="0.3">
      <c r="A390" t="s">
        <v>505</v>
      </c>
      <c r="B390" s="1" t="s">
        <v>506</v>
      </c>
      <c r="C390" t="s">
        <v>370</v>
      </c>
      <c r="D390" s="1" t="s">
        <v>371</v>
      </c>
      <c r="E390">
        <v>59587400000</v>
      </c>
      <c r="F390">
        <v>117162700000</v>
      </c>
      <c r="G390">
        <v>151807100000</v>
      </c>
      <c r="H390">
        <v>195179100000</v>
      </c>
      <c r="I390">
        <v>226100900000</v>
      </c>
      <c r="J390">
        <v>434319000000</v>
      </c>
      <c r="K390">
        <v>867237600000</v>
      </c>
      <c r="L390">
        <v>1102557300000</v>
      </c>
      <c r="M390">
        <v>1294656000000</v>
      </c>
      <c r="N390">
        <v>1526204700000</v>
      </c>
      <c r="O390">
        <v>1846853200000</v>
      </c>
      <c r="P390">
        <v>2181034600000</v>
      </c>
      <c r="Q390">
        <v>2523495500000</v>
      </c>
      <c r="R390">
        <v>2908444700000</v>
      </c>
      <c r="S390">
        <v>3052135500000</v>
      </c>
      <c r="T390">
        <v>3250581300000</v>
      </c>
      <c r="U390">
        <v>3612266600000</v>
      </c>
      <c r="V390">
        <v>3810057900000</v>
      </c>
      <c r="W390">
        <v>4121200200000</v>
      </c>
      <c r="X390">
        <v>4160548500000</v>
      </c>
      <c r="Y390">
        <v>4315020400000.0005</v>
      </c>
      <c r="Z390">
        <v>4528191900000</v>
      </c>
      <c r="AA390">
        <v>4760686400000</v>
      </c>
      <c r="AB390">
        <v>5072932200000</v>
      </c>
      <c r="AC390">
        <v>5421851300000</v>
      </c>
      <c r="AD390">
        <v>5504430600000</v>
      </c>
      <c r="AE390">
        <v>6271987600000</v>
      </c>
      <c r="AF390">
        <v>7097629200000</v>
      </c>
      <c r="AG390">
        <f t="shared" si="18"/>
        <v>2871934264285.7144</v>
      </c>
    </row>
    <row r="391" spans="1:33" x14ac:dyDescent="0.3">
      <c r="A391" t="s">
        <v>505</v>
      </c>
      <c r="B391" s="1" t="s">
        <v>506</v>
      </c>
      <c r="C391" t="s">
        <v>372</v>
      </c>
      <c r="D391" s="1" t="s">
        <v>373</v>
      </c>
      <c r="E391">
        <v>2574916700</v>
      </c>
      <c r="F391">
        <v>2660140700</v>
      </c>
      <c r="G391">
        <v>3010612900</v>
      </c>
      <c r="H391">
        <v>3406090900</v>
      </c>
      <c r="I391">
        <v>3541215300</v>
      </c>
      <c r="J391">
        <v>3738049900</v>
      </c>
      <c r="K391">
        <v>3878068600</v>
      </c>
      <c r="L391">
        <v>4066923400</v>
      </c>
      <c r="M391">
        <v>4055113400</v>
      </c>
      <c r="N391">
        <v>4911567200</v>
      </c>
      <c r="O391">
        <v>5378446600</v>
      </c>
      <c r="P391">
        <v>5969222800</v>
      </c>
      <c r="Q391">
        <v>7219111000</v>
      </c>
      <c r="R391">
        <v>9264290600</v>
      </c>
      <c r="S391">
        <v>11582934700</v>
      </c>
      <c r="T391">
        <v>11849547500</v>
      </c>
      <c r="U391">
        <v>13114607300</v>
      </c>
      <c r="V391">
        <v>14935758700</v>
      </c>
      <c r="W391">
        <v>15976247300</v>
      </c>
      <c r="X391">
        <v>17687482800</v>
      </c>
      <c r="Y391">
        <v>18525367600</v>
      </c>
      <c r="Z391">
        <v>19431980000</v>
      </c>
      <c r="AA391">
        <v>20878103600</v>
      </c>
      <c r="AB391">
        <v>22088255300</v>
      </c>
      <c r="AC391">
        <v>23085967200</v>
      </c>
      <c r="AD391">
        <v>20849421200</v>
      </c>
      <c r="AE391">
        <v>21771431200</v>
      </c>
      <c r="AF391">
        <v>22670999300</v>
      </c>
      <c r="AG391">
        <f t="shared" si="18"/>
        <v>11361495489.285715</v>
      </c>
    </row>
    <row r="392" spans="1:33" x14ac:dyDescent="0.3">
      <c r="A392" t="s">
        <v>505</v>
      </c>
      <c r="B392" s="1" t="s">
        <v>506</v>
      </c>
      <c r="C392" t="s">
        <v>374</v>
      </c>
      <c r="D392" s="1" t="s">
        <v>375</v>
      </c>
      <c r="E392">
        <v>657597000</v>
      </c>
      <c r="F392">
        <v>867062000</v>
      </c>
      <c r="G392">
        <v>834489000</v>
      </c>
      <c r="H392">
        <v>1051327000</v>
      </c>
      <c r="I392">
        <v>1207704000</v>
      </c>
      <c r="J392">
        <v>1330312000</v>
      </c>
      <c r="K392">
        <v>2134870000</v>
      </c>
      <c r="L392">
        <v>2594859000</v>
      </c>
      <c r="M392">
        <v>3215885000</v>
      </c>
      <c r="N392">
        <v>3863445400</v>
      </c>
      <c r="O392">
        <v>4701528500</v>
      </c>
      <c r="P392">
        <v>5515419000</v>
      </c>
      <c r="Q392">
        <v>6348534000</v>
      </c>
      <c r="R392">
        <v>7310366000</v>
      </c>
      <c r="S392">
        <v>8189938000</v>
      </c>
      <c r="T392">
        <v>10256144000</v>
      </c>
      <c r="U392">
        <v>12752936000</v>
      </c>
      <c r="V392">
        <v>16460652999.999998</v>
      </c>
      <c r="W392">
        <v>21317382500</v>
      </c>
      <c r="X392">
        <v>22689470000</v>
      </c>
      <c r="Y392">
        <v>21583301000</v>
      </c>
      <c r="Z392">
        <v>24296285000</v>
      </c>
      <c r="AA392">
        <v>27465977000</v>
      </c>
      <c r="AB392">
        <v>32401624000</v>
      </c>
      <c r="AC392">
        <v>36730875000</v>
      </c>
      <c r="AD392">
        <v>39938072000</v>
      </c>
      <c r="AE392">
        <v>44359567000</v>
      </c>
      <c r="AF392">
        <v>57519000000</v>
      </c>
      <c r="AG392">
        <f t="shared" si="18"/>
        <v>14914093657.142857</v>
      </c>
    </row>
    <row r="393" spans="1:33" x14ac:dyDescent="0.3">
      <c r="A393" t="s">
        <v>505</v>
      </c>
      <c r="B393" s="1" t="s">
        <v>506</v>
      </c>
      <c r="C393" t="s">
        <v>376</v>
      </c>
      <c r="D393" s="1" t="s">
        <v>377</v>
      </c>
      <c r="E393">
        <v>124463300000</v>
      </c>
      <c r="F393">
        <v>135777200000.00002</v>
      </c>
      <c r="G393">
        <v>148664400000</v>
      </c>
      <c r="H393">
        <v>143474900000</v>
      </c>
      <c r="I393">
        <v>146252500000</v>
      </c>
      <c r="J393">
        <v>165632400000</v>
      </c>
      <c r="K393">
        <v>160885600000</v>
      </c>
      <c r="L393">
        <v>165698100000</v>
      </c>
      <c r="M393">
        <v>170117900000</v>
      </c>
      <c r="N393">
        <v>194433000000</v>
      </c>
      <c r="O393">
        <v>212723000000</v>
      </c>
      <c r="P393">
        <v>236158800000</v>
      </c>
      <c r="Q393">
        <v>272697599999.99997</v>
      </c>
      <c r="R393">
        <v>273941599999.99997</v>
      </c>
      <c r="S393">
        <v>282394500000</v>
      </c>
      <c r="T393">
        <v>326980100000</v>
      </c>
      <c r="U393">
        <v>351367900000</v>
      </c>
      <c r="V393">
        <v>368770500000</v>
      </c>
      <c r="W393">
        <v>384870300000</v>
      </c>
      <c r="X393">
        <v>398947900000</v>
      </c>
      <c r="Y393">
        <v>423444100000</v>
      </c>
      <c r="Z393">
        <v>440754700000</v>
      </c>
      <c r="AA393">
        <v>474034100000</v>
      </c>
      <c r="AB393">
        <v>508337400000</v>
      </c>
      <c r="AC393">
        <v>514066000000</v>
      </c>
      <c r="AD393">
        <v>480691200000</v>
      </c>
      <c r="AE393">
        <v>569364200000</v>
      </c>
      <c r="AF393">
        <v>643545800000</v>
      </c>
      <c r="AG393">
        <f t="shared" si="18"/>
        <v>311374607142.85712</v>
      </c>
    </row>
    <row r="394" spans="1:33" x14ac:dyDescent="0.3">
      <c r="A394" t="s">
        <v>505</v>
      </c>
      <c r="B394" s="1" t="s">
        <v>506</v>
      </c>
      <c r="C394" t="s">
        <v>378</v>
      </c>
      <c r="D394" s="1" t="s">
        <v>379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>
        <v>1530400000</v>
      </c>
      <c r="T394">
        <v>1597200000</v>
      </c>
      <c r="U394">
        <v>1675600000</v>
      </c>
      <c r="V394">
        <v>1764700000</v>
      </c>
      <c r="W394">
        <v>1831000000</v>
      </c>
      <c r="X394">
        <v>2437642622.2395997</v>
      </c>
      <c r="Y394">
        <v>2538020794.8033099</v>
      </c>
      <c r="Z394">
        <v>2554360791.3646803</v>
      </c>
      <c r="AA394">
        <v>2422249733.1785398</v>
      </c>
      <c r="AB394">
        <v>2253968792.4253697</v>
      </c>
      <c r="AC394">
        <v>2520106033.3366399</v>
      </c>
      <c r="AD394">
        <v>2213206255.0038099</v>
      </c>
      <c r="AE394">
        <v>2421997197.8747001</v>
      </c>
      <c r="AF394">
        <v>2751388816.7856598</v>
      </c>
      <c r="AG394">
        <f t="shared" si="18"/>
        <v>2179417216.9294505</v>
      </c>
    </row>
    <row r="395" spans="1:33" x14ac:dyDescent="0.3">
      <c r="A395" t="s">
        <v>505</v>
      </c>
      <c r="B395" s="1" t="s">
        <v>506</v>
      </c>
      <c r="C395" t="s">
        <v>380</v>
      </c>
      <c r="D395" s="1" t="s">
        <v>381</v>
      </c>
      <c r="E395">
        <v>19767712000</v>
      </c>
      <c r="F395">
        <v>22032854000</v>
      </c>
      <c r="G395">
        <v>24456111000</v>
      </c>
      <c r="H395">
        <v>26688279000</v>
      </c>
      <c r="I395">
        <v>28583546000</v>
      </c>
      <c r="J395">
        <v>31661067000</v>
      </c>
      <c r="K395">
        <v>34365528000</v>
      </c>
      <c r="L395">
        <v>37329500000</v>
      </c>
      <c r="M395">
        <v>41479498000</v>
      </c>
      <c r="N395">
        <v>46175205000</v>
      </c>
      <c r="O395">
        <v>50485664000</v>
      </c>
      <c r="P395">
        <v>56361425000</v>
      </c>
      <c r="Q395">
        <v>63163352000</v>
      </c>
      <c r="R395">
        <v>68590534000</v>
      </c>
      <c r="S395">
        <v>64095519000</v>
      </c>
      <c r="T395">
        <v>68764947000</v>
      </c>
      <c r="U395">
        <v>71785846000</v>
      </c>
      <c r="V395">
        <v>73649257000</v>
      </c>
      <c r="W395">
        <v>74492793000</v>
      </c>
      <c r="X395">
        <v>76354524000</v>
      </c>
      <c r="Y395">
        <v>80126048000</v>
      </c>
      <c r="Z395">
        <v>81265197000</v>
      </c>
      <c r="AA395">
        <v>84669877000</v>
      </c>
      <c r="AB395">
        <v>89874693000</v>
      </c>
      <c r="AC395">
        <v>94429734000</v>
      </c>
      <c r="AD395">
        <v>93444096000</v>
      </c>
      <c r="AE395">
        <v>100255721000</v>
      </c>
      <c r="AF395">
        <v>109645184000</v>
      </c>
      <c r="AG395">
        <f t="shared" si="18"/>
        <v>61214061107.14286</v>
      </c>
    </row>
    <row r="396" spans="1:33" x14ac:dyDescent="0.3">
      <c r="A396" t="s">
        <v>505</v>
      </c>
      <c r="B396" s="1" t="s">
        <v>506</v>
      </c>
      <c r="C396" t="s">
        <v>382</v>
      </c>
      <c r="D396" s="1" t="s">
        <v>383</v>
      </c>
      <c r="E396">
        <v>10560810000</v>
      </c>
      <c r="F396">
        <v>12147285000</v>
      </c>
      <c r="G396">
        <v>13836531000</v>
      </c>
      <c r="H396">
        <v>15351768000</v>
      </c>
      <c r="I396">
        <v>17226585000</v>
      </c>
      <c r="J396">
        <v>18853122000</v>
      </c>
      <c r="K396">
        <v>21147702000</v>
      </c>
      <c r="L396">
        <v>23548615000</v>
      </c>
      <c r="M396">
        <v>25613283000</v>
      </c>
      <c r="N396">
        <v>27628189000</v>
      </c>
      <c r="O396">
        <v>29113563000</v>
      </c>
      <c r="P396">
        <v>31470341000</v>
      </c>
      <c r="Q396">
        <v>35073456000</v>
      </c>
      <c r="R396">
        <v>37925698000</v>
      </c>
      <c r="S396">
        <v>36254927000</v>
      </c>
      <c r="T396">
        <v>36363909000</v>
      </c>
      <c r="U396">
        <v>37058569000</v>
      </c>
      <c r="V396">
        <v>36253272000</v>
      </c>
      <c r="W396">
        <v>36454333000</v>
      </c>
      <c r="X396">
        <v>37634292000</v>
      </c>
      <c r="Y396">
        <v>38852641000</v>
      </c>
      <c r="Z396">
        <v>40443217000</v>
      </c>
      <c r="AA396">
        <v>43011339000</v>
      </c>
      <c r="AB396">
        <v>45876350000</v>
      </c>
      <c r="AC396">
        <v>48582307000</v>
      </c>
      <c r="AD396">
        <v>47044922000</v>
      </c>
      <c r="AE396">
        <v>52278764000</v>
      </c>
      <c r="AF396">
        <v>57037703000</v>
      </c>
      <c r="AG396">
        <f t="shared" si="18"/>
        <v>32594410464.285713</v>
      </c>
    </row>
    <row r="397" spans="1:33" x14ac:dyDescent="0.3">
      <c r="A397" t="s">
        <v>505</v>
      </c>
      <c r="B397" s="1" t="s">
        <v>506</v>
      </c>
      <c r="C397" t="s">
        <v>384</v>
      </c>
      <c r="D397" s="1" t="s">
        <v>385</v>
      </c>
      <c r="E397">
        <v>1598876600</v>
      </c>
      <c r="F397">
        <v>1820934000</v>
      </c>
      <c r="G397">
        <v>1957170700</v>
      </c>
      <c r="H397">
        <v>2203543900</v>
      </c>
      <c r="I397">
        <v>2361131900</v>
      </c>
      <c r="J397">
        <v>2136550400</v>
      </c>
      <c r="K397">
        <v>2161380000</v>
      </c>
      <c r="L397">
        <v>2337820100</v>
      </c>
      <c r="M397">
        <v>3135000000</v>
      </c>
      <c r="N397">
        <v>3502900000</v>
      </c>
      <c r="O397">
        <v>4163000000</v>
      </c>
      <c r="P397">
        <v>4697000000</v>
      </c>
      <c r="Q397">
        <v>5320400000</v>
      </c>
      <c r="R397">
        <v>6015000000</v>
      </c>
      <c r="S397">
        <v>6488800000</v>
      </c>
      <c r="T397">
        <v>7243000000</v>
      </c>
      <c r="U397">
        <v>8129500000</v>
      </c>
      <c r="V397">
        <v>8717500000</v>
      </c>
      <c r="W397">
        <v>9389900000</v>
      </c>
      <c r="X397">
        <v>9850300000</v>
      </c>
      <c r="Y397">
        <v>10351700000</v>
      </c>
      <c r="Z397">
        <v>10964400000</v>
      </c>
      <c r="AA397">
        <v>11592800000</v>
      </c>
      <c r="AB397">
        <v>12847100000</v>
      </c>
      <c r="AC397">
        <v>13234000000</v>
      </c>
      <c r="AD397">
        <v>12617000000</v>
      </c>
      <c r="AE397">
        <v>12690000000</v>
      </c>
      <c r="AF397">
        <v>13026000000</v>
      </c>
      <c r="AG397">
        <f t="shared" si="18"/>
        <v>6805453842.8571424</v>
      </c>
    </row>
    <row r="398" spans="1:33" x14ac:dyDescent="0.3">
      <c r="A398" t="s">
        <v>505</v>
      </c>
      <c r="B398" s="1" t="s">
        <v>506</v>
      </c>
      <c r="C398" t="s">
        <v>386</v>
      </c>
      <c r="D398" s="1" t="s">
        <v>387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34</v>
      </c>
      <c r="V398" t="s">
        <v>34</v>
      </c>
      <c r="W398">
        <v>112540665854569</v>
      </c>
      <c r="X398">
        <v>132257041524769</v>
      </c>
      <c r="Y398">
        <v>155444777466069</v>
      </c>
      <c r="Z398">
        <v>170444962549149</v>
      </c>
      <c r="AA398">
        <v>190619251814741</v>
      </c>
      <c r="AB398">
        <v>198297824281630</v>
      </c>
      <c r="AC398">
        <v>236111333948880</v>
      </c>
      <c r="AD398">
        <v>237107860410973</v>
      </c>
      <c r="AE398">
        <v>256190303967204</v>
      </c>
      <c r="AF398">
        <v>279582544474874.97</v>
      </c>
      <c r="AG398">
        <f t="shared" si="18"/>
        <v>196859656629285.91</v>
      </c>
    </row>
    <row r="399" spans="1:33" x14ac:dyDescent="0.3">
      <c r="A399" t="s">
        <v>505</v>
      </c>
      <c r="B399" s="1" t="s">
        <v>506</v>
      </c>
      <c r="C399" t="s">
        <v>388</v>
      </c>
      <c r="D399" s="1" t="s">
        <v>389</v>
      </c>
      <c r="E399">
        <v>622900829800</v>
      </c>
      <c r="F399">
        <v>701803913200</v>
      </c>
      <c r="G399">
        <v>778644467000</v>
      </c>
      <c r="H399">
        <v>845733385800</v>
      </c>
      <c r="I399">
        <v>925690425000</v>
      </c>
      <c r="J399">
        <v>1053138033600</v>
      </c>
      <c r="K399">
        <v>1165940572900</v>
      </c>
      <c r="L399">
        <v>1360679275100</v>
      </c>
      <c r="M399">
        <v>1490399020800</v>
      </c>
      <c r="N399">
        <v>1652434096800</v>
      </c>
      <c r="O399">
        <v>1837001382600</v>
      </c>
      <c r="P399">
        <v>2057593909300</v>
      </c>
      <c r="Q399">
        <v>2346649864200</v>
      </c>
      <c r="R399">
        <v>2611630824700</v>
      </c>
      <c r="S399">
        <v>2794228410100</v>
      </c>
      <c r="T399">
        <v>3055613201500</v>
      </c>
      <c r="U399">
        <v>3327047014300</v>
      </c>
      <c r="V399">
        <v>3566385035100</v>
      </c>
      <c r="W399">
        <v>3868630208400</v>
      </c>
      <c r="X399">
        <v>4133873023400</v>
      </c>
      <c r="Y399">
        <v>4420792525200</v>
      </c>
      <c r="Z399">
        <v>4759554544700</v>
      </c>
      <c r="AA399">
        <v>5078189924615.4902</v>
      </c>
      <c r="AB399">
        <v>5363190430704.6494</v>
      </c>
      <c r="AC399">
        <v>5625206549453.7803</v>
      </c>
      <c r="AD399">
        <v>5567973607787.79</v>
      </c>
      <c r="AE399">
        <v>6208785872467.4902</v>
      </c>
      <c r="AF399">
        <v>6628550449410.6104</v>
      </c>
      <c r="AG399">
        <f t="shared" si="18"/>
        <v>2994580742783.5649</v>
      </c>
    </row>
    <row r="400" spans="1:33" x14ac:dyDescent="0.3">
      <c r="A400" t="s">
        <v>505</v>
      </c>
      <c r="B400" s="1" t="s">
        <v>506</v>
      </c>
      <c r="C400" t="s">
        <v>390</v>
      </c>
      <c r="D400" s="1" t="s">
        <v>391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>
        <v>30504231700</v>
      </c>
      <c r="S400">
        <v>28251774800</v>
      </c>
      <c r="T400">
        <v>33656316700</v>
      </c>
      <c r="U400">
        <v>44557946400</v>
      </c>
      <c r="V400">
        <v>35197842900</v>
      </c>
      <c r="W400">
        <v>54358083600</v>
      </c>
      <c r="X400">
        <v>41188527900</v>
      </c>
      <c r="Y400">
        <v>43242473500</v>
      </c>
      <c r="Z400" t="s">
        <v>34</v>
      </c>
      <c r="AA400" t="s">
        <v>34</v>
      </c>
      <c r="AB400" t="s">
        <v>34</v>
      </c>
      <c r="AC400" t="s">
        <v>34</v>
      </c>
      <c r="AD400" t="s">
        <v>34</v>
      </c>
      <c r="AE400" t="s">
        <v>34</v>
      </c>
      <c r="AF400" t="s">
        <v>34</v>
      </c>
      <c r="AG400">
        <f t="shared" si="18"/>
        <v>38869649687.5</v>
      </c>
    </row>
    <row r="401" spans="1:33" x14ac:dyDescent="0.3">
      <c r="A401" t="s">
        <v>505</v>
      </c>
      <c r="B401" s="1" t="s">
        <v>506</v>
      </c>
      <c r="C401" t="s">
        <v>392</v>
      </c>
      <c r="D401" s="1" t="s">
        <v>393</v>
      </c>
      <c r="E401">
        <v>460588000000</v>
      </c>
      <c r="F401">
        <v>489203000000</v>
      </c>
      <c r="G401">
        <v>519268000000</v>
      </c>
      <c r="H401">
        <v>555993000000</v>
      </c>
      <c r="I401">
        <v>595723000000</v>
      </c>
      <c r="J401">
        <v>647851000000</v>
      </c>
      <c r="K401">
        <v>700993000000</v>
      </c>
      <c r="L401">
        <v>749552000000</v>
      </c>
      <c r="M401">
        <v>802266000000</v>
      </c>
      <c r="N401">
        <v>859437000000</v>
      </c>
      <c r="O401">
        <v>927357000000</v>
      </c>
      <c r="P401">
        <v>1003823000000</v>
      </c>
      <c r="Q401">
        <v>1075539000000</v>
      </c>
      <c r="R401">
        <v>1109541000000</v>
      </c>
      <c r="S401">
        <v>1069323000000</v>
      </c>
      <c r="T401">
        <v>1072709000000</v>
      </c>
      <c r="U401">
        <v>1063763000000</v>
      </c>
      <c r="V401">
        <v>1031104000000</v>
      </c>
      <c r="W401">
        <v>1020677000000</v>
      </c>
      <c r="X401">
        <v>1032608000000</v>
      </c>
      <c r="Y401">
        <v>1078092000000</v>
      </c>
      <c r="Z401">
        <v>1114420000000</v>
      </c>
      <c r="AA401">
        <v>1162492000000</v>
      </c>
      <c r="AB401">
        <v>1203859000000</v>
      </c>
      <c r="AC401">
        <v>1245513000000</v>
      </c>
      <c r="AD401">
        <v>1119010000000</v>
      </c>
      <c r="AE401">
        <v>1222290000000</v>
      </c>
      <c r="AF401">
        <v>1346377000000</v>
      </c>
      <c r="AG401">
        <f t="shared" si="18"/>
        <v>938548964285.71423</v>
      </c>
    </row>
    <row r="402" spans="1:33" x14ac:dyDescent="0.3">
      <c r="A402" t="s">
        <v>505</v>
      </c>
      <c r="B402" s="1" t="s">
        <v>506</v>
      </c>
      <c r="C402" t="s">
        <v>394</v>
      </c>
      <c r="D402" s="1" t="s">
        <v>395</v>
      </c>
      <c r="E402">
        <v>667772000000</v>
      </c>
      <c r="F402">
        <v>768128000000</v>
      </c>
      <c r="G402">
        <v>890272000000</v>
      </c>
      <c r="H402">
        <v>1017986000000</v>
      </c>
      <c r="I402">
        <v>1105963000000</v>
      </c>
      <c r="J402">
        <v>1257636000000</v>
      </c>
      <c r="K402">
        <v>1407398000000</v>
      </c>
      <c r="L402">
        <v>1581885000000</v>
      </c>
      <c r="M402">
        <v>1822468000000</v>
      </c>
      <c r="N402">
        <v>2090841000000</v>
      </c>
      <c r="O402">
        <v>2452782000000</v>
      </c>
      <c r="P402">
        <v>2938680000000</v>
      </c>
      <c r="Q402">
        <v>3578688000000</v>
      </c>
      <c r="R402">
        <v>4410682000000</v>
      </c>
      <c r="S402">
        <v>4835293000000</v>
      </c>
      <c r="T402">
        <v>6629667061900</v>
      </c>
      <c r="U402">
        <v>7491155943000</v>
      </c>
      <c r="V402">
        <v>8989301155300</v>
      </c>
      <c r="W402">
        <v>9938390010500</v>
      </c>
      <c r="X402">
        <v>10775312269000</v>
      </c>
      <c r="Y402">
        <v>11566987369000</v>
      </c>
      <c r="Z402">
        <v>12812974760000</v>
      </c>
      <c r="AA402">
        <v>14387319019000</v>
      </c>
      <c r="AB402">
        <v>15351933461000</v>
      </c>
      <c r="AC402">
        <v>15910975628000</v>
      </c>
      <c r="AD402">
        <v>15671535000000</v>
      </c>
      <c r="AE402">
        <v>17600191000000</v>
      </c>
      <c r="AF402">
        <v>24147726000000</v>
      </c>
      <c r="AG402">
        <f t="shared" si="18"/>
        <v>7217855095596.4287</v>
      </c>
    </row>
    <row r="403" spans="1:33" x14ac:dyDescent="0.3">
      <c r="A403" t="s">
        <v>505</v>
      </c>
      <c r="B403" s="1" t="s">
        <v>506</v>
      </c>
      <c r="C403" t="s">
        <v>396</v>
      </c>
      <c r="D403" s="1" t="s">
        <v>397</v>
      </c>
      <c r="E403">
        <v>846410000</v>
      </c>
      <c r="F403">
        <v>901650000</v>
      </c>
      <c r="G403">
        <v>1010520000</v>
      </c>
      <c r="H403">
        <v>1033760000</v>
      </c>
      <c r="I403">
        <v>1096710000</v>
      </c>
      <c r="J403">
        <v>1137440000</v>
      </c>
      <c r="K403">
        <v>1237100000</v>
      </c>
      <c r="L403">
        <v>1297610000</v>
      </c>
      <c r="M403">
        <v>1267380000</v>
      </c>
      <c r="N403">
        <v>1368630000</v>
      </c>
      <c r="O403">
        <v>1477450000</v>
      </c>
      <c r="P403">
        <v>1739920000</v>
      </c>
      <c r="Q403">
        <v>1861070000</v>
      </c>
      <c r="R403">
        <v>2099766600</v>
      </c>
      <c r="S403">
        <v>2090537400.0000002</v>
      </c>
      <c r="T403">
        <v>2102540000</v>
      </c>
      <c r="U403">
        <v>2257450000</v>
      </c>
      <c r="V403">
        <v>2228530000</v>
      </c>
      <c r="W403">
        <v>2362220000</v>
      </c>
      <c r="X403">
        <v>2573550000</v>
      </c>
      <c r="Y403">
        <v>2583970000</v>
      </c>
      <c r="Z403">
        <v>2719840000</v>
      </c>
      <c r="AA403">
        <v>2857590000</v>
      </c>
      <c r="AB403">
        <v>2905850000</v>
      </c>
      <c r="AC403">
        <v>2989320000</v>
      </c>
      <c r="AD403">
        <v>2386620000</v>
      </c>
      <c r="AE403">
        <v>2318200000</v>
      </c>
      <c r="AF403">
        <v>2607224935.2890401</v>
      </c>
      <c r="AG403">
        <f t="shared" si="18"/>
        <v>1905673533.4031799</v>
      </c>
    </row>
    <row r="404" spans="1:33" x14ac:dyDescent="0.3">
      <c r="A404" t="s">
        <v>505</v>
      </c>
      <c r="B404" s="1" t="s">
        <v>506</v>
      </c>
      <c r="C404" t="s">
        <v>398</v>
      </c>
      <c r="D404" s="1" t="s">
        <v>399</v>
      </c>
      <c r="E404">
        <v>2060000000</v>
      </c>
      <c r="F404">
        <v>2130000000</v>
      </c>
      <c r="G404">
        <v>2176000000</v>
      </c>
      <c r="H404">
        <v>2369000000</v>
      </c>
      <c r="I404">
        <v>2489000000</v>
      </c>
      <c r="J404">
        <v>2518000000</v>
      </c>
      <c r="K404">
        <v>2410000000</v>
      </c>
      <c r="L404">
        <v>2430000000</v>
      </c>
      <c r="M404">
        <v>2666000000</v>
      </c>
      <c r="N404">
        <v>2880000000</v>
      </c>
      <c r="O404">
        <v>3066000000</v>
      </c>
      <c r="P404">
        <v>3424461800</v>
      </c>
      <c r="Q404">
        <v>3607439800</v>
      </c>
      <c r="R404">
        <v>3881874000</v>
      </c>
      <c r="S404">
        <v>3784071300</v>
      </c>
      <c r="T404">
        <v>4002440000</v>
      </c>
      <c r="U404">
        <v>4234600000.0000005</v>
      </c>
      <c r="V404">
        <v>4315160000</v>
      </c>
      <c r="W404">
        <v>4482600000</v>
      </c>
      <c r="X404">
        <v>4723080000</v>
      </c>
      <c r="Y404">
        <v>4879510000</v>
      </c>
      <c r="Z404">
        <v>5036740000</v>
      </c>
      <c r="AA404">
        <v>5391120000</v>
      </c>
      <c r="AB404">
        <v>5554080000</v>
      </c>
      <c r="AC404">
        <v>5676841800</v>
      </c>
      <c r="AD404">
        <v>4332000000</v>
      </c>
      <c r="AE404">
        <v>5295000000</v>
      </c>
      <c r="AF404">
        <v>6328000000</v>
      </c>
      <c r="AG404">
        <f t="shared" si="18"/>
        <v>3790822096.4285712</v>
      </c>
    </row>
    <row r="405" spans="1:33" x14ac:dyDescent="0.3">
      <c r="A405" t="s">
        <v>505</v>
      </c>
      <c r="B405" s="1" t="s">
        <v>506</v>
      </c>
      <c r="C405" t="s">
        <v>400</v>
      </c>
      <c r="D405" s="1" t="s">
        <v>401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>
        <v>557400000</v>
      </c>
      <c r="V405" t="s">
        <v>34</v>
      </c>
      <c r="W405" t="s">
        <v>34</v>
      </c>
      <c r="X405">
        <v>581800000</v>
      </c>
      <c r="Y405" t="s">
        <v>34</v>
      </c>
      <c r="Z405" t="s">
        <v>34</v>
      </c>
      <c r="AA405" t="s">
        <v>34</v>
      </c>
      <c r="AB405" t="s">
        <v>34</v>
      </c>
      <c r="AC405">
        <v>582600000</v>
      </c>
      <c r="AD405" t="s">
        <v>34</v>
      </c>
      <c r="AE405">
        <v>548900000</v>
      </c>
      <c r="AF405" t="s">
        <v>34</v>
      </c>
      <c r="AG405">
        <f t="shared" si="18"/>
        <v>567675000</v>
      </c>
    </row>
    <row r="406" spans="1:33" x14ac:dyDescent="0.3">
      <c r="A406" t="s">
        <v>505</v>
      </c>
      <c r="B406" s="1" t="s">
        <v>506</v>
      </c>
      <c r="C406" t="s">
        <v>402</v>
      </c>
      <c r="D406" s="1" t="s">
        <v>403</v>
      </c>
      <c r="E406">
        <v>853220000</v>
      </c>
      <c r="F406">
        <v>895020000</v>
      </c>
      <c r="G406">
        <v>938980000</v>
      </c>
      <c r="H406">
        <v>1008770000</v>
      </c>
      <c r="I406">
        <v>1054940000</v>
      </c>
      <c r="J406">
        <v>1155454300</v>
      </c>
      <c r="K406">
        <v>1247595300</v>
      </c>
      <c r="L406">
        <v>1316962400</v>
      </c>
      <c r="M406">
        <v>1374545400</v>
      </c>
      <c r="N406">
        <v>1484730500</v>
      </c>
      <c r="O406">
        <v>1565862100</v>
      </c>
      <c r="P406">
        <v>1737453100</v>
      </c>
      <c r="Q406">
        <v>1926711000</v>
      </c>
      <c r="R406">
        <v>1978190800</v>
      </c>
      <c r="S406">
        <v>1928610700</v>
      </c>
      <c r="T406">
        <v>1945209300</v>
      </c>
      <c r="U406">
        <v>1927250200</v>
      </c>
      <c r="V406">
        <v>1971088000</v>
      </c>
      <c r="W406">
        <v>2064909400</v>
      </c>
      <c r="X406">
        <v>2081429999.9999998</v>
      </c>
      <c r="Y406">
        <v>2123699999.9999998</v>
      </c>
      <c r="Z406">
        <v>2198620000</v>
      </c>
      <c r="AA406">
        <v>2278900000</v>
      </c>
      <c r="AB406">
        <v>2387690000</v>
      </c>
      <c r="AC406">
        <v>2459070000</v>
      </c>
      <c r="AD406">
        <v>2346600000</v>
      </c>
      <c r="AE406">
        <v>2355000000</v>
      </c>
      <c r="AF406">
        <v>2561110000</v>
      </c>
      <c r="AG406">
        <f t="shared" si="18"/>
        <v>1755986517.8571429</v>
      </c>
    </row>
    <row r="407" spans="1:33" x14ac:dyDescent="0.3">
      <c r="A407" t="s">
        <v>505</v>
      </c>
      <c r="B407" s="1" t="s">
        <v>506</v>
      </c>
      <c r="C407" t="s">
        <v>404</v>
      </c>
      <c r="D407" s="1" t="s">
        <v>405</v>
      </c>
      <c r="E407">
        <v>8033698800</v>
      </c>
      <c r="F407">
        <v>11280018400</v>
      </c>
      <c r="G407">
        <v>18406531100</v>
      </c>
      <c r="H407">
        <v>22590658600</v>
      </c>
      <c r="I407">
        <v>26977505300</v>
      </c>
      <c r="J407">
        <v>31516274000</v>
      </c>
      <c r="K407">
        <v>40658558000</v>
      </c>
      <c r="L407">
        <v>47756111000</v>
      </c>
      <c r="M407">
        <v>55733784000</v>
      </c>
      <c r="N407">
        <v>68721385000</v>
      </c>
      <c r="O407">
        <v>85707127000</v>
      </c>
      <c r="P407">
        <v>98291904100</v>
      </c>
      <c r="Q407">
        <v>119837265800</v>
      </c>
      <c r="R407">
        <v>135511711799.99998</v>
      </c>
      <c r="S407">
        <v>134214714600</v>
      </c>
      <c r="T407">
        <v>170992636300</v>
      </c>
      <c r="U407">
        <v>209070555400</v>
      </c>
      <c r="V407">
        <v>225797519800</v>
      </c>
      <c r="W407">
        <v>314075332000</v>
      </c>
      <c r="X407">
        <v>440699062700</v>
      </c>
      <c r="Y407">
        <v>512094910900</v>
      </c>
      <c r="Z407">
        <v>639455640000</v>
      </c>
      <c r="AA407">
        <v>866955977500</v>
      </c>
      <c r="AB407">
        <v>1315984861600</v>
      </c>
      <c r="AC407">
        <v>1956453789500</v>
      </c>
      <c r="AD407">
        <v>4066002900000</v>
      </c>
      <c r="AE407">
        <v>13387162837000</v>
      </c>
      <c r="AF407">
        <v>28755203772000</v>
      </c>
      <c r="AG407">
        <f t="shared" si="18"/>
        <v>1920185251507.1428</v>
      </c>
    </row>
    <row r="408" spans="1:33" x14ac:dyDescent="0.3">
      <c r="A408" t="s">
        <v>505</v>
      </c>
      <c r="B408" s="1" t="s">
        <v>506</v>
      </c>
      <c r="C408" t="s">
        <v>406</v>
      </c>
      <c r="D408" s="1" t="s">
        <v>407</v>
      </c>
      <c r="E408">
        <v>305683000</v>
      </c>
      <c r="F408">
        <v>345426000</v>
      </c>
      <c r="G408">
        <v>370569000</v>
      </c>
      <c r="H408">
        <v>444340000</v>
      </c>
      <c r="I408">
        <v>762210000</v>
      </c>
      <c r="J408">
        <v>1250927000</v>
      </c>
      <c r="K408">
        <v>1818729000</v>
      </c>
      <c r="L408">
        <v>2569900000</v>
      </c>
      <c r="M408">
        <v>3314169000</v>
      </c>
      <c r="N408">
        <v>4057509000</v>
      </c>
      <c r="O408">
        <v>4899000000</v>
      </c>
      <c r="P408">
        <v>7206000000</v>
      </c>
      <c r="Q408">
        <v>8061000000</v>
      </c>
      <c r="R408">
        <v>9698000000</v>
      </c>
      <c r="S408">
        <v>10638000000</v>
      </c>
      <c r="T408">
        <v>11993000000</v>
      </c>
      <c r="U408">
        <v>14452000000</v>
      </c>
      <c r="V408">
        <v>16434000000</v>
      </c>
      <c r="W408">
        <v>16981000000</v>
      </c>
      <c r="X408">
        <v>17294000000</v>
      </c>
      <c r="Y408">
        <v>17514647000</v>
      </c>
      <c r="Z408">
        <v>20662992000</v>
      </c>
      <c r="AA408">
        <v>26893278000</v>
      </c>
      <c r="AB408">
        <v>29821678000</v>
      </c>
      <c r="AC408">
        <v>31732343000</v>
      </c>
      <c r="AD408">
        <v>38719469000</v>
      </c>
      <c r="AE408">
        <v>60703614000</v>
      </c>
      <c r="AF408">
        <v>89471626000</v>
      </c>
      <c r="AG408">
        <f t="shared" si="18"/>
        <v>16014825321.428572</v>
      </c>
    </row>
    <row r="409" spans="1:33" x14ac:dyDescent="0.3">
      <c r="A409" t="s">
        <v>505</v>
      </c>
      <c r="B409" s="1" t="s">
        <v>506</v>
      </c>
      <c r="C409" t="s">
        <v>408</v>
      </c>
      <c r="D409" s="1" t="s">
        <v>409</v>
      </c>
      <c r="E409">
        <v>1906773000000</v>
      </c>
      <c r="F409">
        <v>1956434000000</v>
      </c>
      <c r="G409">
        <v>2047269000000</v>
      </c>
      <c r="H409">
        <v>2152905000000</v>
      </c>
      <c r="I409">
        <v>2264494000000</v>
      </c>
      <c r="J409">
        <v>2408151000000</v>
      </c>
      <c r="K409">
        <v>2503731000000</v>
      </c>
      <c r="L409">
        <v>2598336000000</v>
      </c>
      <c r="M409">
        <v>2703551000000</v>
      </c>
      <c r="N409">
        <v>2830194000000</v>
      </c>
      <c r="O409">
        <v>2931085000000</v>
      </c>
      <c r="P409">
        <v>3121668000000</v>
      </c>
      <c r="Q409">
        <v>3320278000000</v>
      </c>
      <c r="R409">
        <v>3412253000000</v>
      </c>
      <c r="S409">
        <v>3341167000000</v>
      </c>
      <c r="T409">
        <v>3573581000000</v>
      </c>
      <c r="U409">
        <v>3727905000000</v>
      </c>
      <c r="V409">
        <v>3743086000000</v>
      </c>
      <c r="W409">
        <v>3822671000000</v>
      </c>
      <c r="X409">
        <v>3992730000000</v>
      </c>
      <c r="Y409">
        <v>4260470000000</v>
      </c>
      <c r="Z409">
        <v>4415031000000</v>
      </c>
      <c r="AA409">
        <v>4625094000000</v>
      </c>
      <c r="AB409">
        <v>4828306000000</v>
      </c>
      <c r="AC409">
        <v>5049619000000</v>
      </c>
      <c r="AD409">
        <v>5038538000000</v>
      </c>
      <c r="AE409">
        <v>5486558000000</v>
      </c>
      <c r="AF409">
        <v>5984786000000</v>
      </c>
      <c r="AG409">
        <f t="shared" si="18"/>
        <v>3501666571428.5713</v>
      </c>
    </row>
    <row r="410" spans="1:33" x14ac:dyDescent="0.3">
      <c r="A410" t="s">
        <v>505</v>
      </c>
      <c r="B410" s="1" t="s">
        <v>506</v>
      </c>
      <c r="C410" t="s">
        <v>410</v>
      </c>
      <c r="D410" s="1" t="s">
        <v>411</v>
      </c>
      <c r="E410">
        <v>417228341000</v>
      </c>
      <c r="F410">
        <v>420368494000</v>
      </c>
      <c r="G410">
        <v>427826113000</v>
      </c>
      <c r="H410">
        <v>439954879000</v>
      </c>
      <c r="I410">
        <v>447465787000</v>
      </c>
      <c r="J410">
        <v>471540038000</v>
      </c>
      <c r="K410">
        <v>483636918000</v>
      </c>
      <c r="L410">
        <v>482077197000</v>
      </c>
      <c r="M410">
        <v>487606519000</v>
      </c>
      <c r="N410">
        <v>502265680000</v>
      </c>
      <c r="O410">
        <v>520848315000</v>
      </c>
      <c r="P410">
        <v>553721552000</v>
      </c>
      <c r="Q410">
        <v>589085155000</v>
      </c>
      <c r="R410">
        <v>614407719000</v>
      </c>
      <c r="S410">
        <v>603039074000</v>
      </c>
      <c r="T410">
        <v>624545119000</v>
      </c>
      <c r="U410">
        <v>635738744000</v>
      </c>
      <c r="V410">
        <v>643645589000</v>
      </c>
      <c r="W410">
        <v>654611669000</v>
      </c>
      <c r="X410">
        <v>665618374000</v>
      </c>
      <c r="Y410">
        <v>668006382000</v>
      </c>
      <c r="Z410">
        <v>677848331000</v>
      </c>
      <c r="AA410">
        <v>684558467000</v>
      </c>
      <c r="AB410">
        <v>709521556000</v>
      </c>
      <c r="AC410">
        <v>716878590000</v>
      </c>
      <c r="AD410">
        <v>696619959000</v>
      </c>
      <c r="AE410">
        <v>743330231000</v>
      </c>
      <c r="AF410">
        <v>781460269000</v>
      </c>
      <c r="AG410">
        <f t="shared" si="18"/>
        <v>584409109321.42859</v>
      </c>
    </row>
    <row r="411" spans="1:33" x14ac:dyDescent="0.3">
      <c r="A411" t="s">
        <v>505</v>
      </c>
      <c r="B411" s="1" t="s">
        <v>506</v>
      </c>
      <c r="C411" t="s">
        <v>412</v>
      </c>
      <c r="D411" s="1" t="s">
        <v>413</v>
      </c>
      <c r="E411">
        <v>570975000000</v>
      </c>
      <c r="F411">
        <v>690857000000</v>
      </c>
      <c r="G411">
        <v>745569000000</v>
      </c>
      <c r="H411">
        <v>790444000000</v>
      </c>
      <c r="I411">
        <v>819092000000</v>
      </c>
      <c r="J411">
        <v>904623000000</v>
      </c>
      <c r="K411">
        <v>974008000000</v>
      </c>
      <c r="L411">
        <v>1016519000000</v>
      </c>
      <c r="M411">
        <v>1074163000000</v>
      </c>
      <c r="N411">
        <v>1266891000000</v>
      </c>
      <c r="O411">
        <v>1506438000000</v>
      </c>
      <c r="P411">
        <v>1726404000000</v>
      </c>
      <c r="Q411">
        <v>2020838000000</v>
      </c>
      <c r="R411">
        <v>2448060000000</v>
      </c>
      <c r="S411">
        <v>2520705000000</v>
      </c>
      <c r="T411">
        <v>2834517000000</v>
      </c>
      <c r="U411">
        <v>3252720000000</v>
      </c>
      <c r="V411">
        <v>3024842000000</v>
      </c>
      <c r="W411">
        <v>2937560710383.8501</v>
      </c>
      <c r="X411">
        <v>3612014850519.7002</v>
      </c>
      <c r="Y411">
        <v>4783661000000</v>
      </c>
      <c r="Z411">
        <v>6128044000000</v>
      </c>
      <c r="AA411">
        <v>8348139000000</v>
      </c>
      <c r="AB411">
        <v>9580729000000</v>
      </c>
      <c r="AC411">
        <v>11620863000000</v>
      </c>
      <c r="AD411">
        <v>17266450000000</v>
      </c>
      <c r="AE411">
        <v>25936805000000</v>
      </c>
      <c r="AF411" t="s">
        <v>34</v>
      </c>
      <c r="AG411">
        <f t="shared" si="18"/>
        <v>4385256724477.9092</v>
      </c>
    </row>
    <row r="412" spans="1:33" x14ac:dyDescent="0.3">
      <c r="A412" t="s">
        <v>505</v>
      </c>
      <c r="B412" s="1" t="s">
        <v>506</v>
      </c>
      <c r="C412" t="s">
        <v>414</v>
      </c>
      <c r="D412" s="1" t="s">
        <v>415</v>
      </c>
      <c r="E412">
        <v>69800000</v>
      </c>
      <c r="F412">
        <v>308400000</v>
      </c>
      <c r="G412">
        <v>518200000</v>
      </c>
      <c r="H412">
        <v>1025300000</v>
      </c>
      <c r="I412">
        <v>1345000000</v>
      </c>
      <c r="J412">
        <v>1786700000</v>
      </c>
      <c r="K412">
        <v>2563800000</v>
      </c>
      <c r="L412">
        <v>3375300000</v>
      </c>
      <c r="M412">
        <v>4761400000</v>
      </c>
      <c r="N412">
        <v>6167300000</v>
      </c>
      <c r="O412">
        <v>7206600000</v>
      </c>
      <c r="P412">
        <v>9335200000</v>
      </c>
      <c r="Q412">
        <v>12804400000</v>
      </c>
      <c r="R412">
        <v>17707000000</v>
      </c>
      <c r="S412">
        <v>20628500000</v>
      </c>
      <c r="T412">
        <v>24707100000</v>
      </c>
      <c r="U412">
        <v>30071100000</v>
      </c>
      <c r="V412">
        <v>36163100000</v>
      </c>
      <c r="W412">
        <v>40250200000</v>
      </c>
      <c r="X412">
        <v>44994100000</v>
      </c>
      <c r="Y412">
        <v>50977800000</v>
      </c>
      <c r="Z412">
        <v>54790300000</v>
      </c>
      <c r="AA412">
        <v>64434300000</v>
      </c>
      <c r="AB412">
        <v>71059200000</v>
      </c>
      <c r="AC412">
        <v>79109800000</v>
      </c>
      <c r="AD412">
        <v>83958300000</v>
      </c>
      <c r="AE412">
        <v>101076300000</v>
      </c>
      <c r="AF412">
        <v>115739400000</v>
      </c>
      <c r="AG412">
        <f t="shared" si="18"/>
        <v>31676210714.285713</v>
      </c>
    </row>
    <row r="413" spans="1:33" x14ac:dyDescent="0.3">
      <c r="A413" t="s">
        <v>505</v>
      </c>
      <c r="B413" s="1" t="s">
        <v>506</v>
      </c>
      <c r="C413" t="s">
        <v>416</v>
      </c>
      <c r="D413" s="1" t="s">
        <v>417</v>
      </c>
      <c r="E413">
        <v>3020500000000</v>
      </c>
      <c r="F413">
        <v>3767642000000</v>
      </c>
      <c r="G413">
        <v>4703459000000</v>
      </c>
      <c r="H413">
        <v>8155813862100</v>
      </c>
      <c r="I413">
        <v>9466791889700</v>
      </c>
      <c r="J413">
        <v>10706245169000</v>
      </c>
      <c r="K413">
        <v>11903111922000</v>
      </c>
      <c r="L413">
        <v>13669447866000</v>
      </c>
      <c r="M413">
        <v>15809158455000</v>
      </c>
      <c r="N413">
        <v>18165690931000</v>
      </c>
      <c r="O413">
        <v>20771312305000</v>
      </c>
      <c r="P413">
        <v>23347422032000</v>
      </c>
      <c r="Q413">
        <v>27195969081000</v>
      </c>
      <c r="R413">
        <v>33450674683000</v>
      </c>
      <c r="S413">
        <v>38397086967000</v>
      </c>
      <c r="T413">
        <v>44679884234000</v>
      </c>
      <c r="U413">
        <v>53976186599000</v>
      </c>
      <c r="V413">
        <v>62318659036800</v>
      </c>
      <c r="W413">
        <v>72977199824200</v>
      </c>
      <c r="X413">
        <v>82603387740700</v>
      </c>
      <c r="Y413">
        <v>94349315691600</v>
      </c>
      <c r="Z413">
        <v>108362324289500</v>
      </c>
      <c r="AA413">
        <v>118742132825000</v>
      </c>
      <c r="AB413">
        <v>129043901311200</v>
      </c>
      <c r="AC413">
        <v>139641854498000</v>
      </c>
      <c r="AD413">
        <v>151571350271500</v>
      </c>
      <c r="AE413">
        <v>162349974723800</v>
      </c>
      <c r="AF413">
        <v>174366063625900</v>
      </c>
      <c r="AG413">
        <f t="shared" si="18"/>
        <v>58482591458357.141</v>
      </c>
    </row>
    <row r="414" spans="1:33" x14ac:dyDescent="0.3">
      <c r="A414" t="s">
        <v>505</v>
      </c>
      <c r="B414" s="1" t="s">
        <v>506</v>
      </c>
      <c r="C414" t="s">
        <v>418</v>
      </c>
      <c r="D414" s="1" t="s">
        <v>419</v>
      </c>
      <c r="E414">
        <v>4217614000000</v>
      </c>
      <c r="F414">
        <v>4638604000000</v>
      </c>
      <c r="G414">
        <v>4710310000000</v>
      </c>
      <c r="H414">
        <v>4701553000000</v>
      </c>
      <c r="I414">
        <v>4789826000000</v>
      </c>
      <c r="J414">
        <v>5069820000000</v>
      </c>
      <c r="K414">
        <v>5345001000000</v>
      </c>
      <c r="L414">
        <v>5769578000000</v>
      </c>
      <c r="M414">
        <v>6317303000000</v>
      </c>
      <c r="N414">
        <v>6954282000000</v>
      </c>
      <c r="O414">
        <v>7614411000000</v>
      </c>
      <c r="P414">
        <v>8400644000000</v>
      </c>
      <c r="Q414">
        <v>9076301000000</v>
      </c>
      <c r="R414">
        <v>9706929000000</v>
      </c>
      <c r="S414">
        <v>9658667000000</v>
      </c>
      <c r="T414">
        <v>10808145000000</v>
      </c>
      <c r="U414">
        <v>11306906000000</v>
      </c>
      <c r="V414">
        <v>12357342000000</v>
      </c>
      <c r="W414">
        <v>12915158000000</v>
      </c>
      <c r="X414">
        <v>13230304000000</v>
      </c>
      <c r="Y414">
        <v>13743480000000</v>
      </c>
      <c r="Z414">
        <v>14590337000000</v>
      </c>
      <c r="AA414">
        <v>15488664000000</v>
      </c>
      <c r="AB414">
        <v>16373343000000</v>
      </c>
      <c r="AC414">
        <v>16889174000000</v>
      </c>
      <c r="AD414">
        <v>15661146000000</v>
      </c>
      <c r="AE414">
        <v>16166597000000</v>
      </c>
      <c r="AF414">
        <v>17370236000000</v>
      </c>
      <c r="AG414">
        <f t="shared" si="18"/>
        <v>10138274107142.857</v>
      </c>
    </row>
    <row r="415" spans="1:33" x14ac:dyDescent="0.3">
      <c r="A415" t="s">
        <v>505</v>
      </c>
      <c r="B415" s="1" t="s">
        <v>506</v>
      </c>
      <c r="C415" t="s">
        <v>420</v>
      </c>
      <c r="D415" s="1" t="s">
        <v>421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>
        <v>366924300</v>
      </c>
      <c r="K415">
        <v>477443500</v>
      </c>
      <c r="L415">
        <v>469455500</v>
      </c>
      <c r="M415">
        <v>490439100</v>
      </c>
      <c r="N415">
        <v>440772000</v>
      </c>
      <c r="O415">
        <v>462268000</v>
      </c>
      <c r="P415">
        <v>453792400</v>
      </c>
      <c r="Q415">
        <v>542795400</v>
      </c>
      <c r="R415">
        <v>648523600</v>
      </c>
      <c r="S415">
        <v>726937800</v>
      </c>
      <c r="T415">
        <v>881909300</v>
      </c>
      <c r="U415">
        <v>1042534600</v>
      </c>
      <c r="V415">
        <v>1160555000</v>
      </c>
      <c r="W415">
        <v>1395727400</v>
      </c>
      <c r="X415">
        <v>1447535200</v>
      </c>
      <c r="Y415">
        <v>1595205100</v>
      </c>
      <c r="Z415">
        <v>1652603700</v>
      </c>
      <c r="AA415">
        <v>1598208400</v>
      </c>
      <c r="AB415">
        <v>1566157200</v>
      </c>
      <c r="AC415">
        <v>2027034000</v>
      </c>
      <c r="AD415">
        <v>2162619200</v>
      </c>
      <c r="AE415">
        <v>3621958000</v>
      </c>
      <c r="AF415">
        <v>3204753000</v>
      </c>
      <c r="AG415">
        <f t="shared" ref="AG415:AG438" si="19">IFERROR(AVERAGE(E415:AF415),"NA")</f>
        <v>1236354421.7391305</v>
      </c>
    </row>
    <row r="416" spans="1:33" x14ac:dyDescent="0.3">
      <c r="A416" t="s">
        <v>505</v>
      </c>
      <c r="B416" s="1" t="s">
        <v>506</v>
      </c>
      <c r="C416" t="s">
        <v>422</v>
      </c>
      <c r="D416" s="1" t="s">
        <v>423</v>
      </c>
      <c r="E416">
        <v>653576372200</v>
      </c>
      <c r="F416">
        <v>749653590000</v>
      </c>
      <c r="G416">
        <v>874891771900</v>
      </c>
      <c r="H416">
        <v>936457601000</v>
      </c>
      <c r="I416">
        <v>970400006100</v>
      </c>
      <c r="J416">
        <v>1059553000000</v>
      </c>
      <c r="K416">
        <v>1085734000000</v>
      </c>
      <c r="L416">
        <v>1183959000000</v>
      </c>
      <c r="M416">
        <v>1226968000000</v>
      </c>
      <c r="N416">
        <v>1191780000000</v>
      </c>
      <c r="O416">
        <v>1202931000000</v>
      </c>
      <c r="P416">
        <v>1228528000000</v>
      </c>
      <c r="Q416">
        <v>1799645000000</v>
      </c>
      <c r="R416">
        <v>2042166000000</v>
      </c>
      <c r="S416">
        <v>2220673000000</v>
      </c>
      <c r="T416">
        <v>2348485000000</v>
      </c>
      <c r="U416">
        <v>2555317000000</v>
      </c>
      <c r="V416">
        <v>2763918000000</v>
      </c>
      <c r="W416">
        <v>2974130000000</v>
      </c>
      <c r="X416">
        <v>3156746000000</v>
      </c>
      <c r="Y416">
        <v>3402694000000</v>
      </c>
      <c r="Z416">
        <v>3597808000000</v>
      </c>
      <c r="AA416">
        <v>3708901000000</v>
      </c>
      <c r="AB416">
        <v>3904353000000</v>
      </c>
      <c r="AC416">
        <v>4097073000000</v>
      </c>
      <c r="AD416">
        <v>4308855000000</v>
      </c>
      <c r="AE416">
        <v>4681964675890.71</v>
      </c>
      <c r="AF416">
        <v>5202920162584.8301</v>
      </c>
      <c r="AG416">
        <f t="shared" si="19"/>
        <v>2326074327845.5552</v>
      </c>
    </row>
    <row r="417" spans="1:33" x14ac:dyDescent="0.3">
      <c r="A417" t="s">
        <v>505</v>
      </c>
      <c r="B417" s="1" t="s">
        <v>506</v>
      </c>
      <c r="C417" t="s">
        <v>424</v>
      </c>
      <c r="D417" s="1" t="s">
        <v>425</v>
      </c>
      <c r="E417">
        <v>265454999.99999997</v>
      </c>
      <c r="F417">
        <v>273605700</v>
      </c>
      <c r="G417">
        <v>271641700</v>
      </c>
      <c r="H417">
        <v>285725300</v>
      </c>
      <c r="I417">
        <v>315297000</v>
      </c>
      <c r="J417">
        <v>335769000</v>
      </c>
      <c r="K417">
        <v>354482100</v>
      </c>
      <c r="L417">
        <v>398388300</v>
      </c>
      <c r="M417">
        <v>444033200</v>
      </c>
      <c r="N417">
        <v>471857000</v>
      </c>
      <c r="O417">
        <v>507442300</v>
      </c>
      <c r="P417">
        <v>587065100</v>
      </c>
      <c r="Q417">
        <v>597833900</v>
      </c>
      <c r="R417">
        <v>654689900</v>
      </c>
      <c r="S417">
        <v>651525500</v>
      </c>
      <c r="T417">
        <v>707597700</v>
      </c>
      <c r="U417">
        <v>759448300</v>
      </c>
      <c r="V417">
        <v>797813300</v>
      </c>
      <c r="W417">
        <v>781325900</v>
      </c>
      <c r="X417">
        <v>797192400</v>
      </c>
      <c r="Y417">
        <v>849146800</v>
      </c>
      <c r="Z417">
        <v>932589900</v>
      </c>
      <c r="AA417">
        <v>1017668100</v>
      </c>
      <c r="AB417">
        <v>1072556000</v>
      </c>
      <c r="AC417">
        <v>1163344000</v>
      </c>
      <c r="AD417">
        <v>1119952000</v>
      </c>
      <c r="AE417">
        <v>1068862000.0000001</v>
      </c>
      <c r="AF417" t="s">
        <v>34</v>
      </c>
      <c r="AG417">
        <f t="shared" si="19"/>
        <v>647492866.66666663</v>
      </c>
    </row>
    <row r="418" spans="1:33" x14ac:dyDescent="0.3">
      <c r="A418" t="s">
        <v>505</v>
      </c>
      <c r="B418" s="1" t="s">
        <v>506</v>
      </c>
      <c r="C418" t="s">
        <v>426</v>
      </c>
      <c r="D418" s="1" t="s">
        <v>427</v>
      </c>
      <c r="E418">
        <v>31697100000</v>
      </c>
      <c r="F418">
        <v>34586600000</v>
      </c>
      <c r="G418">
        <v>35870700000</v>
      </c>
      <c r="H418">
        <v>38065000000</v>
      </c>
      <c r="I418">
        <v>42889100000</v>
      </c>
      <c r="J418">
        <v>51370700000</v>
      </c>
      <c r="K418">
        <v>55007200000</v>
      </c>
      <c r="L418">
        <v>56290000000</v>
      </c>
      <c r="M418">
        <v>71169000000</v>
      </c>
      <c r="N418">
        <v>83652453000</v>
      </c>
      <c r="O418">
        <v>100681986600</v>
      </c>
      <c r="P418">
        <v>115951081100</v>
      </c>
      <c r="Q418">
        <v>136952500000</v>
      </c>
      <c r="R418">
        <v>175287200000</v>
      </c>
      <c r="S418">
        <v>121281200000</v>
      </c>
      <c r="T418">
        <v>141268000000</v>
      </c>
      <c r="U418">
        <v>163007800000</v>
      </c>
      <c r="V418">
        <v>175750425600</v>
      </c>
      <c r="W418">
        <v>184966973200</v>
      </c>
      <c r="X418">
        <v>190335219800</v>
      </c>
      <c r="Y418">
        <v>172361534100</v>
      </c>
      <c r="Z418">
        <v>158205759600</v>
      </c>
      <c r="AA418">
        <v>162981213700</v>
      </c>
      <c r="AB418">
        <v>166352323400</v>
      </c>
      <c r="AC418">
        <v>160588577300</v>
      </c>
      <c r="AD418">
        <v>140473994700</v>
      </c>
      <c r="AE418">
        <v>165559635400</v>
      </c>
      <c r="AF418">
        <v>202984851800</v>
      </c>
      <c r="AG418">
        <f t="shared" si="19"/>
        <v>119128147475</v>
      </c>
    </row>
    <row r="419" spans="1:33" x14ac:dyDescent="0.3">
      <c r="A419" t="s">
        <v>505</v>
      </c>
      <c r="B419" s="1" t="s">
        <v>506</v>
      </c>
      <c r="C419" t="s">
        <v>428</v>
      </c>
      <c r="D419" s="1" t="s">
        <v>429</v>
      </c>
      <c r="E419">
        <v>17051800000</v>
      </c>
      <c r="F419">
        <v>19066300000</v>
      </c>
      <c r="G419">
        <v>22943400000</v>
      </c>
      <c r="H419">
        <v>24827500000</v>
      </c>
      <c r="I419">
        <v>27215800000</v>
      </c>
      <c r="J419">
        <v>29433400000</v>
      </c>
      <c r="K419">
        <v>31746400000</v>
      </c>
      <c r="L419">
        <v>32901199999.999996</v>
      </c>
      <c r="M419">
        <v>35373200000</v>
      </c>
      <c r="N419">
        <v>38838500000</v>
      </c>
      <c r="O419">
        <v>41871000000</v>
      </c>
      <c r="P419">
        <v>45756200000</v>
      </c>
      <c r="Q419">
        <v>49864500000</v>
      </c>
      <c r="R419">
        <v>55273200000</v>
      </c>
      <c r="S419">
        <v>58677200000</v>
      </c>
      <c r="T419">
        <v>66139399999.999992</v>
      </c>
      <c r="U419">
        <v>67747200000</v>
      </c>
      <c r="V419">
        <v>73895300000</v>
      </c>
      <c r="W419">
        <v>79097200000</v>
      </c>
      <c r="X419">
        <v>85345200000</v>
      </c>
      <c r="Y419">
        <v>89802200000</v>
      </c>
      <c r="Z419">
        <v>95286900000</v>
      </c>
      <c r="AA419">
        <v>102011500000</v>
      </c>
      <c r="AB419">
        <v>112985700000</v>
      </c>
      <c r="AC419">
        <v>122969000000</v>
      </c>
      <c r="AD419">
        <v>119632900000</v>
      </c>
      <c r="AE419">
        <v>130466100000</v>
      </c>
      <c r="AF419">
        <v>143767900000</v>
      </c>
      <c r="AG419">
        <f t="shared" si="19"/>
        <v>64999503571.428574</v>
      </c>
    </row>
    <row r="420" spans="1:33" x14ac:dyDescent="0.3">
      <c r="A420" t="s">
        <v>505</v>
      </c>
      <c r="B420" s="1" t="s">
        <v>506</v>
      </c>
      <c r="C420" t="s">
        <v>430</v>
      </c>
      <c r="D420" s="1" t="s">
        <v>431</v>
      </c>
      <c r="E420">
        <v>7762456100</v>
      </c>
      <c r="F420">
        <v>14772110200</v>
      </c>
      <c r="G420">
        <v>28835883200</v>
      </c>
      <c r="H420">
        <v>71944699600</v>
      </c>
      <c r="I420">
        <v>107374257900</v>
      </c>
      <c r="J420">
        <v>171494210000</v>
      </c>
      <c r="K420">
        <v>247266207500</v>
      </c>
      <c r="L420">
        <v>362109647600</v>
      </c>
      <c r="M420">
        <v>472171775300</v>
      </c>
      <c r="N420">
        <v>582852798800</v>
      </c>
      <c r="O420">
        <v>680275847300</v>
      </c>
      <c r="P420">
        <v>795757108800</v>
      </c>
      <c r="Q420">
        <v>887714413800</v>
      </c>
      <c r="R420">
        <v>1002756496300</v>
      </c>
      <c r="S420">
        <v>1006372481600</v>
      </c>
      <c r="T420">
        <v>1167664479200</v>
      </c>
      <c r="U420">
        <v>1404927614900</v>
      </c>
      <c r="V420">
        <v>1581479250900</v>
      </c>
      <c r="W420">
        <v>1823427315100</v>
      </c>
      <c r="X420">
        <v>2054897827700</v>
      </c>
      <c r="Y420">
        <v>2350941343300</v>
      </c>
      <c r="Z420">
        <v>2626559709600</v>
      </c>
      <c r="AA420">
        <v>3133704267400</v>
      </c>
      <c r="AB420">
        <v>3761166000000</v>
      </c>
      <c r="AC420">
        <v>4317810000000</v>
      </c>
      <c r="AD420">
        <v>5048568000000</v>
      </c>
      <c r="AE420">
        <v>7256142000000</v>
      </c>
      <c r="AF420">
        <v>15011776000000</v>
      </c>
      <c r="AG420">
        <f t="shared" si="19"/>
        <v>2070661578646.4285</v>
      </c>
    </row>
    <row r="421" spans="1:33" x14ac:dyDescent="0.3">
      <c r="A421" t="s">
        <v>505</v>
      </c>
      <c r="B421" s="1" t="s">
        <v>506</v>
      </c>
      <c r="C421" t="s">
        <v>432</v>
      </c>
      <c r="D421" s="1" t="s">
        <v>433</v>
      </c>
      <c r="E421">
        <v>130400000</v>
      </c>
      <c r="F421">
        <v>1550000000</v>
      </c>
      <c r="G421">
        <v>2222000000</v>
      </c>
      <c r="H421">
        <v>2799000000</v>
      </c>
      <c r="I421">
        <v>4011000000</v>
      </c>
      <c r="J421">
        <v>5223000000</v>
      </c>
      <c r="K421">
        <v>7211000000</v>
      </c>
      <c r="L421">
        <v>9048000000</v>
      </c>
      <c r="M421">
        <v>11881000000</v>
      </c>
      <c r="N421">
        <v>14764000000</v>
      </c>
      <c r="O421">
        <v>17861000000</v>
      </c>
      <c r="P421">
        <v>22249000000</v>
      </c>
      <c r="Q421">
        <v>27000000000</v>
      </c>
      <c r="R421">
        <v>49470000000</v>
      </c>
      <c r="S421">
        <v>57611000000</v>
      </c>
      <c r="T421">
        <v>64362000000</v>
      </c>
      <c r="U421">
        <v>83315000000</v>
      </c>
      <c r="V421">
        <v>100218000000</v>
      </c>
      <c r="W421">
        <v>111713000000</v>
      </c>
      <c r="X421">
        <v>124044000000</v>
      </c>
      <c r="Y421">
        <v>125299000000</v>
      </c>
      <c r="Z421">
        <v>126593000000</v>
      </c>
      <c r="AA421">
        <v>132742000000</v>
      </c>
      <c r="AB421">
        <v>142679000000</v>
      </c>
      <c r="AC421">
        <v>158315000000</v>
      </c>
      <c r="AD421">
        <v>160363000000</v>
      </c>
      <c r="AE421">
        <v>175026000000</v>
      </c>
      <c r="AF421">
        <v>197900000000</v>
      </c>
      <c r="AG421">
        <f t="shared" si="19"/>
        <v>69128550000</v>
      </c>
    </row>
    <row r="422" spans="1:33" x14ac:dyDescent="0.3">
      <c r="A422" t="s">
        <v>505</v>
      </c>
      <c r="B422" s="1" t="s">
        <v>506</v>
      </c>
      <c r="C422" t="s">
        <v>434</v>
      </c>
      <c r="D422" s="1" t="s">
        <v>435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>
        <v>319443300</v>
      </c>
      <c r="K422">
        <v>358744800</v>
      </c>
      <c r="L422">
        <v>366707900</v>
      </c>
      <c r="M422">
        <v>409753600</v>
      </c>
      <c r="N422">
        <v>485598800</v>
      </c>
      <c r="O422">
        <v>578645800</v>
      </c>
      <c r="P422">
        <v>721891500</v>
      </c>
      <c r="Q422">
        <v>773489700</v>
      </c>
      <c r="R422">
        <v>862683600</v>
      </c>
      <c r="S422">
        <v>703175800</v>
      </c>
      <c r="T422">
        <v>686787800</v>
      </c>
      <c r="U422">
        <v>728789600</v>
      </c>
      <c r="V422">
        <v>727161000</v>
      </c>
      <c r="W422">
        <v>754238000</v>
      </c>
      <c r="X422">
        <v>841070000</v>
      </c>
      <c r="Y422">
        <v>942070000</v>
      </c>
      <c r="Z422">
        <v>1032452000</v>
      </c>
      <c r="AA422">
        <v>1022365000</v>
      </c>
      <c r="AB422">
        <v>1113178000</v>
      </c>
      <c r="AC422">
        <v>1197415000</v>
      </c>
      <c r="AD422">
        <v>924583000</v>
      </c>
      <c r="AE422">
        <v>1044778790.0000001</v>
      </c>
      <c r="AF422">
        <v>1138808881.0999999</v>
      </c>
      <c r="AG422">
        <f t="shared" si="19"/>
        <v>771036168.30869555</v>
      </c>
    </row>
    <row r="423" spans="1:33" x14ac:dyDescent="0.3">
      <c r="A423" t="s">
        <v>505</v>
      </c>
      <c r="B423" s="1" t="s">
        <v>506</v>
      </c>
      <c r="C423" t="s">
        <v>436</v>
      </c>
      <c r="D423" s="1" t="s">
        <v>437</v>
      </c>
      <c r="E423">
        <v>14874000</v>
      </c>
      <c r="F423">
        <v>15762700</v>
      </c>
      <c r="G423">
        <v>17113200</v>
      </c>
      <c r="H423">
        <v>20307600</v>
      </c>
      <c r="I423">
        <v>21213700</v>
      </c>
      <c r="J423">
        <v>26000000</v>
      </c>
      <c r="K423">
        <v>27000000</v>
      </c>
      <c r="L423">
        <v>31000000</v>
      </c>
      <c r="M423">
        <v>30000000</v>
      </c>
      <c r="N423">
        <v>31000000</v>
      </c>
      <c r="O423">
        <v>30000000</v>
      </c>
      <c r="P423">
        <v>32000000</v>
      </c>
      <c r="Q423">
        <v>34000000</v>
      </c>
      <c r="R423">
        <v>38000000</v>
      </c>
      <c r="S423">
        <v>36000000</v>
      </c>
      <c r="T423">
        <v>35000000</v>
      </c>
      <c r="U423">
        <v>38000000</v>
      </c>
      <c r="V423">
        <v>38000000</v>
      </c>
      <c r="W423">
        <v>40000000</v>
      </c>
      <c r="X423">
        <v>43000000</v>
      </c>
      <c r="Y423">
        <v>49000000</v>
      </c>
      <c r="Z423">
        <v>56000000</v>
      </c>
      <c r="AA423">
        <v>59075000</v>
      </c>
      <c r="AB423">
        <v>64264200</v>
      </c>
      <c r="AC423">
        <v>77856600</v>
      </c>
      <c r="AD423">
        <v>75192200</v>
      </c>
      <c r="AE423">
        <v>80134900</v>
      </c>
      <c r="AF423">
        <v>85153295.581879705</v>
      </c>
      <c r="AG423">
        <f t="shared" si="19"/>
        <v>40890978.413638555</v>
      </c>
    </row>
    <row r="424" spans="1:33" x14ac:dyDescent="0.3">
      <c r="A424" t="s">
        <v>505</v>
      </c>
      <c r="B424" s="1" t="s">
        <v>506</v>
      </c>
      <c r="C424" t="s">
        <v>438</v>
      </c>
      <c r="D424" s="1" t="s">
        <v>439</v>
      </c>
      <c r="E424">
        <v>5367456000000</v>
      </c>
      <c r="F424">
        <v>6122089000000</v>
      </c>
      <c r="G424">
        <v>6633475000000</v>
      </c>
      <c r="H424">
        <v>7570250000000</v>
      </c>
      <c r="I424">
        <v>8170700000000</v>
      </c>
      <c r="J424">
        <v>9364317417900</v>
      </c>
      <c r="K424">
        <v>10296365610000</v>
      </c>
      <c r="L424">
        <v>10840666713000</v>
      </c>
      <c r="M424">
        <v>12443497237000</v>
      </c>
      <c r="N424">
        <v>15362227054000</v>
      </c>
      <c r="O424">
        <v>16050626596000</v>
      </c>
      <c r="P424">
        <v>18209404509000</v>
      </c>
      <c r="Q424">
        <v>21186563444000</v>
      </c>
      <c r="R424">
        <v>24497446507000</v>
      </c>
      <c r="S424">
        <v>48495172152000</v>
      </c>
      <c r="T424">
        <v>54117241671000</v>
      </c>
      <c r="U424">
        <v>64759582821000</v>
      </c>
      <c r="V424">
        <v>69825188690000</v>
      </c>
      <c r="W424">
        <v>74924152556000</v>
      </c>
      <c r="X424">
        <v>82771227577000</v>
      </c>
      <c r="Y424">
        <v>91582107734000</v>
      </c>
      <c r="Z424">
        <v>100548527460000</v>
      </c>
      <c r="AA424">
        <v>108518040920000</v>
      </c>
      <c r="AB424">
        <v>120484777460000</v>
      </c>
      <c r="AC424">
        <v>132089774790000</v>
      </c>
      <c r="AD424">
        <v>139689045108218.02</v>
      </c>
      <c r="AE424">
        <v>148310247630358</v>
      </c>
      <c r="AF424">
        <v>162749947272871</v>
      </c>
      <c r="AG424">
        <f t="shared" si="19"/>
        <v>56106432818940.961</v>
      </c>
    </row>
    <row r="425" spans="1:33" x14ac:dyDescent="0.3">
      <c r="A425" t="s">
        <v>505</v>
      </c>
      <c r="B425" s="1" t="s">
        <v>506</v>
      </c>
      <c r="C425" t="s">
        <v>440</v>
      </c>
      <c r="D425" s="1" t="s">
        <v>441</v>
      </c>
      <c r="E425">
        <v>54516420000</v>
      </c>
      <c r="F425">
        <v>81519000000</v>
      </c>
      <c r="G425">
        <v>93365000000</v>
      </c>
      <c r="H425">
        <v>102593000000</v>
      </c>
      <c r="I425">
        <v>130442000000</v>
      </c>
      <c r="J425">
        <v>176128000000</v>
      </c>
      <c r="K425">
        <v>211175000000</v>
      </c>
      <c r="L425">
        <v>234138000000</v>
      </c>
      <c r="M425">
        <v>277355000000</v>
      </c>
      <c r="N425">
        <v>357544000000</v>
      </c>
      <c r="O425">
        <v>457325000000</v>
      </c>
      <c r="P425">
        <v>565018000000</v>
      </c>
      <c r="Q425">
        <v>751106000000</v>
      </c>
      <c r="R425">
        <v>990819000000</v>
      </c>
      <c r="S425">
        <v>947042000000</v>
      </c>
      <c r="T425">
        <v>1120585000000</v>
      </c>
      <c r="U425">
        <v>1349178000000</v>
      </c>
      <c r="V425">
        <v>1459096000000</v>
      </c>
      <c r="W425">
        <v>1522657000000</v>
      </c>
      <c r="X425">
        <v>1586915000000</v>
      </c>
      <c r="Y425">
        <v>1988544000000</v>
      </c>
      <c r="Z425">
        <v>2385367000000</v>
      </c>
      <c r="AA425">
        <v>2981227000000</v>
      </c>
      <c r="AB425">
        <v>3560302000000</v>
      </c>
      <c r="AC425">
        <v>3977198000000</v>
      </c>
      <c r="AD425">
        <v>4222026000000</v>
      </c>
      <c r="AE425">
        <v>5450849000000</v>
      </c>
      <c r="AF425">
        <v>5191028000000</v>
      </c>
      <c r="AG425">
        <f t="shared" si="19"/>
        <v>1508037765000</v>
      </c>
    </row>
    <row r="426" spans="1:33" x14ac:dyDescent="0.3">
      <c r="A426" t="s">
        <v>505</v>
      </c>
      <c r="B426" s="1" t="s">
        <v>506</v>
      </c>
      <c r="C426" t="s">
        <v>442</v>
      </c>
      <c r="D426" s="1" t="s">
        <v>443</v>
      </c>
      <c r="E426">
        <v>241345000000</v>
      </c>
      <c r="F426">
        <v>270080000000</v>
      </c>
      <c r="G426">
        <v>289418000000</v>
      </c>
      <c r="H426">
        <v>277914000000</v>
      </c>
      <c r="I426">
        <v>310126000000</v>
      </c>
      <c r="J426">
        <v>383179000000</v>
      </c>
      <c r="K426">
        <v>379412000000</v>
      </c>
      <c r="L426">
        <v>403300000000</v>
      </c>
      <c r="M426">
        <v>456662000000</v>
      </c>
      <c r="N426">
        <v>542885000000</v>
      </c>
      <c r="O426">
        <v>663317651100</v>
      </c>
      <c r="P426">
        <v>815723000000</v>
      </c>
      <c r="Q426">
        <v>947197000000</v>
      </c>
      <c r="R426">
        <v>1158580526300</v>
      </c>
      <c r="S426">
        <v>931152675000</v>
      </c>
      <c r="T426">
        <v>1102444296018.8201</v>
      </c>
      <c r="U426">
        <v>1325158236028.1699</v>
      </c>
      <c r="V426">
        <v>1412480685472.8601</v>
      </c>
      <c r="W426">
        <v>1469802550498.05</v>
      </c>
      <c r="X426">
        <v>1520801959422.1001</v>
      </c>
      <c r="Y426">
        <v>1359836661959.71</v>
      </c>
      <c r="Z426">
        <v>1356090185600.8701</v>
      </c>
      <c r="AA426">
        <v>1434172962750.5999</v>
      </c>
      <c r="AB426">
        <v>1568339039568.47</v>
      </c>
      <c r="AC426">
        <v>1535067253069.9299</v>
      </c>
      <c r="AD426">
        <v>1283439648824.9099</v>
      </c>
      <c r="AE426">
        <v>1524744116447.4001</v>
      </c>
      <c r="AF426">
        <v>1862192423483.74</v>
      </c>
      <c r="AG426">
        <f t="shared" si="19"/>
        <v>958030781126.62964</v>
      </c>
    </row>
    <row r="427" spans="1:33" x14ac:dyDescent="0.3">
      <c r="A427" t="s">
        <v>505</v>
      </c>
      <c r="B427" s="1" t="s">
        <v>506</v>
      </c>
      <c r="C427" t="s">
        <v>444</v>
      </c>
      <c r="D427" s="1" t="s">
        <v>445</v>
      </c>
      <c r="E427">
        <v>851845000000</v>
      </c>
      <c r="F427">
        <v>909993000000</v>
      </c>
      <c r="G427">
        <v>953405000000</v>
      </c>
      <c r="H427">
        <v>998501000000</v>
      </c>
      <c r="I427">
        <v>1043248000000</v>
      </c>
      <c r="J427">
        <v>1100752000000</v>
      </c>
      <c r="K427">
        <v>1146135000000</v>
      </c>
      <c r="L427">
        <v>1191439000000</v>
      </c>
      <c r="M427">
        <v>1258334000000</v>
      </c>
      <c r="N427">
        <v>1322637000000</v>
      </c>
      <c r="O427">
        <v>1398749000000</v>
      </c>
      <c r="P427">
        <v>1472038000000</v>
      </c>
      <c r="Q427">
        <v>1544637000000</v>
      </c>
      <c r="R427">
        <v>1593600000000</v>
      </c>
      <c r="S427">
        <v>1548802000000</v>
      </c>
      <c r="T427">
        <v>1608553000000</v>
      </c>
      <c r="U427">
        <v>1662590000000</v>
      </c>
      <c r="V427">
        <v>1713715000000</v>
      </c>
      <c r="W427">
        <v>1781361000000</v>
      </c>
      <c r="X427">
        <v>1862514000000</v>
      </c>
      <c r="Y427">
        <v>1916451000000</v>
      </c>
      <c r="Z427">
        <v>1991645000000</v>
      </c>
      <c r="AA427">
        <v>2082482000000</v>
      </c>
      <c r="AB427">
        <v>2152304000000</v>
      </c>
      <c r="AC427">
        <v>2233921000000</v>
      </c>
      <c r="AD427">
        <v>2104288000000</v>
      </c>
      <c r="AE427">
        <v>2284079000000</v>
      </c>
      <c r="AF427">
        <v>2506170000000</v>
      </c>
      <c r="AG427">
        <f t="shared" si="19"/>
        <v>1579792428571.4285</v>
      </c>
    </row>
    <row r="428" spans="1:33" x14ac:dyDescent="0.3">
      <c r="A428" t="s">
        <v>505</v>
      </c>
      <c r="B428" s="1" t="s">
        <v>506</v>
      </c>
      <c r="C428" t="s">
        <v>446</v>
      </c>
      <c r="D428" s="1" t="s">
        <v>447</v>
      </c>
      <c r="E428">
        <v>7639749000000</v>
      </c>
      <c r="F428">
        <v>8073122000000</v>
      </c>
      <c r="G428">
        <v>8577554457000</v>
      </c>
      <c r="H428">
        <v>9062818202000</v>
      </c>
      <c r="I428">
        <v>9631174489000</v>
      </c>
      <c r="J428">
        <v>10250947997000</v>
      </c>
      <c r="K428">
        <v>10581929774000</v>
      </c>
      <c r="L428">
        <v>10929112955000</v>
      </c>
      <c r="M428">
        <v>11456442041000</v>
      </c>
      <c r="N428">
        <v>12217193198000</v>
      </c>
      <c r="O428">
        <v>13039199193000</v>
      </c>
      <c r="P428">
        <v>13815586948000</v>
      </c>
      <c r="Q428">
        <v>14474226905000</v>
      </c>
      <c r="R428">
        <v>14769857911000</v>
      </c>
      <c r="S428">
        <v>14478064934000</v>
      </c>
      <c r="T428">
        <v>15048964444000</v>
      </c>
      <c r="U428">
        <v>15599728123000</v>
      </c>
      <c r="V428">
        <v>16253972230000</v>
      </c>
      <c r="W428">
        <v>16843190993000</v>
      </c>
      <c r="X428">
        <v>17550680173999.998</v>
      </c>
      <c r="Y428">
        <v>18206020741000</v>
      </c>
      <c r="Z428">
        <v>18695110842000</v>
      </c>
      <c r="AA428">
        <v>19477336549000</v>
      </c>
      <c r="AB428">
        <v>20533057312000</v>
      </c>
      <c r="AC428">
        <v>21380976119000</v>
      </c>
      <c r="AD428">
        <v>21060473613000</v>
      </c>
      <c r="AE428">
        <v>23315080560000</v>
      </c>
      <c r="AF428">
        <v>25439700000000</v>
      </c>
      <c r="AG428">
        <f t="shared" si="19"/>
        <v>14942902560857.143</v>
      </c>
    </row>
    <row r="429" spans="1:33" x14ac:dyDescent="0.3">
      <c r="A429" t="s">
        <v>505</v>
      </c>
      <c r="B429" s="1" t="s">
        <v>506</v>
      </c>
      <c r="C429" t="s">
        <v>448</v>
      </c>
      <c r="D429" s="1" t="s">
        <v>449</v>
      </c>
      <c r="E429">
        <v>122520863000</v>
      </c>
      <c r="F429">
        <v>163545806000</v>
      </c>
      <c r="G429">
        <v>226318274900</v>
      </c>
      <c r="H429">
        <v>265838901399.99997</v>
      </c>
      <c r="I429">
        <v>271961149700</v>
      </c>
      <c r="J429">
        <v>276152265900</v>
      </c>
      <c r="K429">
        <v>278353052800</v>
      </c>
      <c r="L429">
        <v>289233255700</v>
      </c>
      <c r="M429">
        <v>339791593800</v>
      </c>
      <c r="N429">
        <v>392849675900</v>
      </c>
      <c r="O429">
        <v>425018448100</v>
      </c>
      <c r="P429">
        <v>475242288900</v>
      </c>
      <c r="Q429">
        <v>558558125600</v>
      </c>
      <c r="R429">
        <v>651934418500</v>
      </c>
      <c r="S429">
        <v>738160788900</v>
      </c>
      <c r="T429">
        <v>841493831900</v>
      </c>
      <c r="U429">
        <v>972323702000</v>
      </c>
      <c r="V429">
        <v>1101488513300</v>
      </c>
      <c r="W429">
        <v>1256293128100</v>
      </c>
      <c r="X429">
        <v>1429541899800</v>
      </c>
      <c r="Y429">
        <v>1576251491900</v>
      </c>
      <c r="Z429">
        <v>1733770027600</v>
      </c>
      <c r="AA429">
        <v>1864139425700</v>
      </c>
      <c r="AB429">
        <v>2003381204000</v>
      </c>
      <c r="AC429">
        <v>2187546154200.0002</v>
      </c>
      <c r="AD429">
        <v>2254723478800</v>
      </c>
      <c r="AE429">
        <v>2674700801500</v>
      </c>
      <c r="AF429">
        <v>2930192283800</v>
      </c>
      <c r="AG429">
        <f t="shared" si="19"/>
        <v>1010761601846.4286</v>
      </c>
    </row>
    <row r="430" spans="1:33" x14ac:dyDescent="0.3">
      <c r="A430" t="s">
        <v>505</v>
      </c>
      <c r="B430" s="1" t="s">
        <v>506</v>
      </c>
      <c r="C430" t="s">
        <v>450</v>
      </c>
      <c r="D430" s="1" t="s">
        <v>451</v>
      </c>
      <c r="E430">
        <v>302787300000</v>
      </c>
      <c r="F430">
        <v>559071600000</v>
      </c>
      <c r="G430">
        <v>976830000000</v>
      </c>
      <c r="H430">
        <v>1416158000000</v>
      </c>
      <c r="I430">
        <v>2128660000000</v>
      </c>
      <c r="J430">
        <v>3255600000000</v>
      </c>
      <c r="K430">
        <v>4925300000000</v>
      </c>
      <c r="L430">
        <v>7450200000000</v>
      </c>
      <c r="M430">
        <v>9844000000000</v>
      </c>
      <c r="N430">
        <v>12261000000000</v>
      </c>
      <c r="O430">
        <v>15923400000000</v>
      </c>
      <c r="P430">
        <v>21124900000000</v>
      </c>
      <c r="Q430">
        <v>28190000000000</v>
      </c>
      <c r="R430">
        <v>38969800000000</v>
      </c>
      <c r="S430">
        <v>49375600000000</v>
      </c>
      <c r="T430">
        <v>78936618900000</v>
      </c>
      <c r="U430">
        <v>103232580000000</v>
      </c>
      <c r="V430">
        <v>127590235500000</v>
      </c>
      <c r="W430">
        <v>153311335300000</v>
      </c>
      <c r="X430">
        <v>186829495500000</v>
      </c>
      <c r="Y430">
        <v>221350905700000</v>
      </c>
      <c r="Z430">
        <v>255421861800000</v>
      </c>
      <c r="AA430">
        <v>317476369300000</v>
      </c>
      <c r="AB430">
        <v>426640955000000</v>
      </c>
      <c r="AC430">
        <v>532712512000000</v>
      </c>
      <c r="AD430">
        <v>605514885600000</v>
      </c>
      <c r="AE430">
        <v>738425246300000</v>
      </c>
      <c r="AF430">
        <v>888341676200000</v>
      </c>
      <c r="AG430">
        <f t="shared" si="19"/>
        <v>172588856571428.56</v>
      </c>
    </row>
    <row r="431" spans="1:33" x14ac:dyDescent="0.3">
      <c r="A431" t="s">
        <v>505</v>
      </c>
      <c r="B431" s="1" t="s">
        <v>506</v>
      </c>
      <c r="C431" t="s">
        <v>452</v>
      </c>
      <c r="D431" s="1" t="s">
        <v>453</v>
      </c>
      <c r="E431">
        <v>27953000000</v>
      </c>
      <c r="F431">
        <v>29200000000</v>
      </c>
      <c r="G431">
        <v>31606000000</v>
      </c>
      <c r="H431">
        <v>33447000000</v>
      </c>
      <c r="I431">
        <v>34593000000</v>
      </c>
      <c r="J431">
        <v>37441000000</v>
      </c>
      <c r="K431">
        <v>37480000000</v>
      </c>
      <c r="L431">
        <v>36553000000</v>
      </c>
      <c r="M431">
        <v>38425000000</v>
      </c>
      <c r="N431">
        <v>40803000000</v>
      </c>
      <c r="O431">
        <v>43148000000</v>
      </c>
      <c r="P431">
        <v>48611000000</v>
      </c>
      <c r="Q431">
        <v>52898000000</v>
      </c>
      <c r="R431">
        <v>59863000000</v>
      </c>
      <c r="S431">
        <v>63257000000</v>
      </c>
      <c r="T431">
        <v>64996000000</v>
      </c>
      <c r="U431">
        <v>68905000000</v>
      </c>
      <c r="V431">
        <v>69278000000</v>
      </c>
      <c r="W431">
        <v>71692000000</v>
      </c>
      <c r="X431">
        <v>74970000000</v>
      </c>
      <c r="Y431">
        <v>79657000000</v>
      </c>
      <c r="Z431">
        <v>84707000000</v>
      </c>
      <c r="AA431">
        <v>94889000000</v>
      </c>
      <c r="AB431">
        <v>100772000000</v>
      </c>
      <c r="AC431">
        <v>107450000000</v>
      </c>
      <c r="AD431">
        <v>104929000000</v>
      </c>
      <c r="AE431">
        <v>106348000000</v>
      </c>
      <c r="AF431">
        <v>121792000000</v>
      </c>
      <c r="AG431">
        <f t="shared" si="19"/>
        <v>63059392857.14286</v>
      </c>
    </row>
    <row r="432" spans="1:33" x14ac:dyDescent="0.3">
      <c r="A432" t="s">
        <v>505</v>
      </c>
      <c r="B432" s="1" t="s">
        <v>506</v>
      </c>
      <c r="C432" t="s">
        <v>454</v>
      </c>
      <c r="D432" s="1" t="s">
        <v>455</v>
      </c>
      <c r="E432">
        <v>13685686000</v>
      </c>
      <c r="F432">
        <v>29437682000</v>
      </c>
      <c r="G432">
        <v>41943151000</v>
      </c>
      <c r="H432">
        <v>50012967000</v>
      </c>
      <c r="I432">
        <v>59344600000</v>
      </c>
      <c r="J432">
        <v>79655692000</v>
      </c>
      <c r="K432">
        <v>88945596000</v>
      </c>
      <c r="L432">
        <v>107840166000</v>
      </c>
      <c r="M432">
        <v>134227833000</v>
      </c>
      <c r="N432">
        <v>212683082000</v>
      </c>
      <c r="O432">
        <v>304086815000</v>
      </c>
      <c r="P432">
        <v>393926240000</v>
      </c>
      <c r="Q432">
        <v>494591535000</v>
      </c>
      <c r="R432">
        <v>677593637000</v>
      </c>
      <c r="S432">
        <v>707262549000</v>
      </c>
      <c r="T432">
        <v>1016834748000</v>
      </c>
      <c r="U432">
        <v>1357487061000</v>
      </c>
      <c r="V432">
        <v>1635451060000</v>
      </c>
      <c r="W432">
        <v>2245843966000</v>
      </c>
      <c r="X432">
        <v>3031242431000</v>
      </c>
      <c r="Y432" t="s">
        <v>34</v>
      </c>
      <c r="Z432" t="s">
        <v>34</v>
      </c>
      <c r="AA432" t="s">
        <v>34</v>
      </c>
      <c r="AB432" t="s">
        <v>34</v>
      </c>
      <c r="AC432" t="s">
        <v>34</v>
      </c>
      <c r="AD432" t="s">
        <v>34</v>
      </c>
      <c r="AE432" t="s">
        <v>34</v>
      </c>
      <c r="AF432" t="s">
        <v>34</v>
      </c>
      <c r="AG432">
        <f t="shared" si="19"/>
        <v>634104824850</v>
      </c>
    </row>
    <row r="433" spans="1:33" x14ac:dyDescent="0.3">
      <c r="A433" t="s">
        <v>505</v>
      </c>
      <c r="B433" s="1" t="s">
        <v>506</v>
      </c>
      <c r="C433" t="s">
        <v>456</v>
      </c>
      <c r="D433" s="1" t="s">
        <v>457</v>
      </c>
      <c r="E433">
        <v>228892000000000</v>
      </c>
      <c r="F433">
        <v>272036000000000</v>
      </c>
      <c r="G433">
        <v>313623000000000</v>
      </c>
      <c r="H433">
        <v>361017000000000</v>
      </c>
      <c r="I433">
        <v>399942000000000</v>
      </c>
      <c r="J433">
        <v>441646000000000</v>
      </c>
      <c r="K433">
        <v>481295000000000</v>
      </c>
      <c r="L433">
        <v>535762000000000</v>
      </c>
      <c r="M433">
        <v>613443000000000</v>
      </c>
      <c r="N433">
        <v>715307000000000</v>
      </c>
      <c r="O433">
        <v>914001000000000</v>
      </c>
      <c r="P433">
        <v>1061565000000000</v>
      </c>
      <c r="Q433">
        <v>1246769000000000</v>
      </c>
      <c r="R433">
        <v>1616047000000000</v>
      </c>
      <c r="S433">
        <v>1809149000000000</v>
      </c>
      <c r="T433">
        <v>2739843170000000</v>
      </c>
      <c r="U433">
        <v>3539881310000000</v>
      </c>
      <c r="V433">
        <v>4073762290000000</v>
      </c>
      <c r="W433">
        <v>4473655600000000</v>
      </c>
      <c r="X433">
        <v>4937031680000000</v>
      </c>
      <c r="Y433">
        <v>5191323730000000</v>
      </c>
      <c r="Z433">
        <v>5639401000000000</v>
      </c>
      <c r="AA433">
        <v>6293904550000000</v>
      </c>
      <c r="AB433">
        <v>7009042130000000</v>
      </c>
      <c r="AC433">
        <v>7707200290000000</v>
      </c>
      <c r="AD433">
        <v>8044385730000000</v>
      </c>
      <c r="AE433">
        <v>8479666500000000</v>
      </c>
      <c r="AF433">
        <v>9513327030000000</v>
      </c>
      <c r="AG433">
        <f t="shared" si="19"/>
        <v>3166175678928571.5</v>
      </c>
    </row>
    <row r="434" spans="1:33" x14ac:dyDescent="0.3">
      <c r="A434" t="s">
        <v>505</v>
      </c>
      <c r="B434" s="1" t="s">
        <v>506</v>
      </c>
      <c r="C434" t="s">
        <v>458</v>
      </c>
      <c r="D434" s="1" t="s">
        <v>459</v>
      </c>
      <c r="E434" t="s">
        <v>34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>
        <v>3262000000</v>
      </c>
      <c r="M434">
        <v>3443000000</v>
      </c>
      <c r="N434">
        <v>3797000000</v>
      </c>
      <c r="O434">
        <v>4428000000</v>
      </c>
      <c r="P434">
        <v>4484000000</v>
      </c>
      <c r="Q434">
        <v>4784000000</v>
      </c>
      <c r="R434">
        <v>4244000000</v>
      </c>
      <c r="S434">
        <v>4201000000</v>
      </c>
      <c r="T434">
        <v>4324000000</v>
      </c>
      <c r="U434">
        <v>4223000000</v>
      </c>
      <c r="V434">
        <v>4089000000</v>
      </c>
      <c r="W434">
        <v>3738000000</v>
      </c>
      <c r="X434">
        <v>3565000000</v>
      </c>
      <c r="Y434">
        <v>3663000000</v>
      </c>
      <c r="Z434">
        <v>3798000000</v>
      </c>
      <c r="AA434">
        <v>3794000000</v>
      </c>
      <c r="AB434">
        <v>3923000000</v>
      </c>
      <c r="AC434">
        <v>4121000000</v>
      </c>
      <c r="AD434">
        <v>4189000000</v>
      </c>
      <c r="AE434">
        <v>4444000000</v>
      </c>
      <c r="AF434" t="s">
        <v>34</v>
      </c>
      <c r="AG434">
        <f t="shared" si="19"/>
        <v>4025700000</v>
      </c>
    </row>
    <row r="435" spans="1:33" x14ac:dyDescent="0.3">
      <c r="A435" t="s">
        <v>505</v>
      </c>
      <c r="B435" s="1" t="s">
        <v>506</v>
      </c>
      <c r="C435" t="s">
        <v>460</v>
      </c>
      <c r="D435" s="1" t="s">
        <v>461</v>
      </c>
      <c r="E435">
        <v>3282800000</v>
      </c>
      <c r="F435">
        <v>3409600000</v>
      </c>
      <c r="G435">
        <v>3759800000</v>
      </c>
      <c r="H435">
        <v>4067800000</v>
      </c>
      <c r="I435">
        <v>4271200000</v>
      </c>
      <c r="J435">
        <v>4313600000</v>
      </c>
      <c r="K435">
        <v>4003700000</v>
      </c>
      <c r="L435">
        <v>3555800000</v>
      </c>
      <c r="M435">
        <v>3968000000</v>
      </c>
      <c r="N435">
        <v>4603100000</v>
      </c>
      <c r="O435">
        <v>5125700000</v>
      </c>
      <c r="P435">
        <v>5348300000</v>
      </c>
      <c r="Q435">
        <v>5815700000</v>
      </c>
      <c r="R435">
        <v>7310400000</v>
      </c>
      <c r="S435">
        <v>8085700000</v>
      </c>
      <c r="T435">
        <v>9681500000</v>
      </c>
      <c r="U435">
        <v>11186100000</v>
      </c>
      <c r="V435">
        <v>12208400000</v>
      </c>
      <c r="W435">
        <v>13515500000</v>
      </c>
      <c r="X435">
        <v>13989700000</v>
      </c>
      <c r="Y435">
        <v>13972400000</v>
      </c>
      <c r="Z435">
        <v>15405400000</v>
      </c>
      <c r="AA435">
        <v>16128000000</v>
      </c>
      <c r="AB435">
        <v>16276600000</v>
      </c>
      <c r="AC435">
        <v>17133500000</v>
      </c>
      <c r="AD435">
        <v>15531700000</v>
      </c>
      <c r="AE435">
        <v>18109000000</v>
      </c>
      <c r="AF435">
        <v>19111900000</v>
      </c>
      <c r="AG435">
        <f t="shared" si="19"/>
        <v>9398960714.2857151</v>
      </c>
    </row>
    <row r="436" spans="1:33" x14ac:dyDescent="0.3">
      <c r="A436" t="s">
        <v>505</v>
      </c>
      <c r="B436" s="1" t="s">
        <v>506</v>
      </c>
      <c r="C436" t="s">
        <v>462</v>
      </c>
      <c r="D436" s="1" t="s">
        <v>463</v>
      </c>
      <c r="E436">
        <v>518252000000</v>
      </c>
      <c r="F436">
        <v>741667000000</v>
      </c>
      <c r="G436">
        <v>884192000000</v>
      </c>
      <c r="H436">
        <v>859104000000</v>
      </c>
      <c r="I436">
        <v>1189857000000</v>
      </c>
      <c r="J436">
        <v>1558370000000</v>
      </c>
      <c r="K436">
        <v>1662101000000</v>
      </c>
      <c r="L436">
        <v>1878007000000</v>
      </c>
      <c r="M436">
        <v>2160608000000</v>
      </c>
      <c r="N436">
        <v>2563490000000</v>
      </c>
      <c r="O436">
        <v>3208501000000</v>
      </c>
      <c r="P436">
        <v>3760038227200</v>
      </c>
      <c r="Q436">
        <v>4308635620035.1899</v>
      </c>
      <c r="R436">
        <v>5375824693564.1895</v>
      </c>
      <c r="S436">
        <v>5097593176225.4395</v>
      </c>
      <c r="T436">
        <v>6786813130000</v>
      </c>
      <c r="U436">
        <v>6996908142379.3291</v>
      </c>
      <c r="V436">
        <v>7586549615569.4795</v>
      </c>
      <c r="W436">
        <v>8684829513079.5703</v>
      </c>
      <c r="X436">
        <v>9289390699712.9512</v>
      </c>
      <c r="Y436">
        <v>9797602983866.959</v>
      </c>
      <c r="Z436">
        <v>8891000000000</v>
      </c>
      <c r="AA436">
        <v>10006000000000</v>
      </c>
      <c r="AB436">
        <v>11578730912289.801</v>
      </c>
      <c r="AC436" t="s">
        <v>34</v>
      </c>
      <c r="AD436" t="s">
        <v>34</v>
      </c>
      <c r="AE436" t="s">
        <v>34</v>
      </c>
      <c r="AF436" t="s">
        <v>34</v>
      </c>
      <c r="AG436">
        <f t="shared" si="19"/>
        <v>4807669404746.7871</v>
      </c>
    </row>
    <row r="437" spans="1:33" x14ac:dyDescent="0.3">
      <c r="A437" t="s">
        <v>505</v>
      </c>
      <c r="B437" s="1" t="s">
        <v>506</v>
      </c>
      <c r="C437" t="s">
        <v>464</v>
      </c>
      <c r="D437" s="1" t="s">
        <v>465</v>
      </c>
      <c r="E437">
        <v>3289686700</v>
      </c>
      <c r="F437">
        <v>4345083200</v>
      </c>
      <c r="G437">
        <v>5656664100</v>
      </c>
      <c r="H437">
        <v>6587519600</v>
      </c>
      <c r="I437">
        <v>8129497000</v>
      </c>
      <c r="J437">
        <v>11201004800</v>
      </c>
      <c r="K437">
        <v>14784761400</v>
      </c>
      <c r="L437">
        <v>18447049600</v>
      </c>
      <c r="M437">
        <v>23201878000</v>
      </c>
      <c r="N437">
        <v>29729908100</v>
      </c>
      <c r="O437">
        <v>37189302500</v>
      </c>
      <c r="P437">
        <v>45964238300</v>
      </c>
      <c r="Q437">
        <v>56262974300</v>
      </c>
      <c r="R437">
        <v>67088703200</v>
      </c>
      <c r="S437">
        <v>77348348100</v>
      </c>
      <c r="T437">
        <v>97215915400</v>
      </c>
      <c r="U437">
        <v>114029665900</v>
      </c>
      <c r="V437">
        <v>131271902899.99998</v>
      </c>
      <c r="W437">
        <v>151331000000</v>
      </c>
      <c r="X437">
        <v>167053000000</v>
      </c>
      <c r="Y437">
        <v>183381000000</v>
      </c>
      <c r="Z437">
        <v>216098000000</v>
      </c>
      <c r="AA437">
        <v>246252000000</v>
      </c>
      <c r="AB437">
        <v>275174504800</v>
      </c>
      <c r="AC437">
        <v>300448727700</v>
      </c>
      <c r="AD437">
        <v>332223232700</v>
      </c>
      <c r="AE437">
        <v>442336835135.65906</v>
      </c>
      <c r="AF437">
        <v>493964301363.67999</v>
      </c>
      <c r="AG437">
        <f t="shared" si="19"/>
        <v>127143096599.97641</v>
      </c>
    </row>
    <row r="438" spans="1:33" x14ac:dyDescent="0.3">
      <c r="A438" t="s">
        <v>505</v>
      </c>
      <c r="B438" s="1" t="s">
        <v>506</v>
      </c>
      <c r="C438" t="s">
        <v>466</v>
      </c>
      <c r="D438" s="1" t="s">
        <v>467</v>
      </c>
      <c r="E438">
        <v>7111270700</v>
      </c>
      <c r="F438">
        <v>8553146600</v>
      </c>
      <c r="G438">
        <v>8529571599.999999</v>
      </c>
      <c r="H438">
        <v>6401968200</v>
      </c>
      <c r="I438">
        <v>6858013100</v>
      </c>
      <c r="J438">
        <v>6689957600</v>
      </c>
      <c r="K438">
        <v>6777384700</v>
      </c>
      <c r="L438">
        <v>6342116400</v>
      </c>
      <c r="M438">
        <v>5727591800</v>
      </c>
      <c r="N438">
        <v>5805598400</v>
      </c>
      <c r="O438">
        <v>5755215200</v>
      </c>
      <c r="P438">
        <v>5443896500</v>
      </c>
      <c r="Q438">
        <v>5291950100</v>
      </c>
      <c r="R438">
        <v>4415702800</v>
      </c>
      <c r="S438">
        <v>9665793300</v>
      </c>
      <c r="T438">
        <v>12041655200</v>
      </c>
      <c r="U438">
        <v>14101920300</v>
      </c>
      <c r="V438">
        <v>17114849900.000002</v>
      </c>
      <c r="W438">
        <v>19091020000</v>
      </c>
      <c r="X438">
        <v>19495519600</v>
      </c>
      <c r="Y438">
        <v>19963120600</v>
      </c>
      <c r="Z438">
        <v>20548678100</v>
      </c>
      <c r="AA438">
        <v>22040902300</v>
      </c>
      <c r="AB438">
        <v>69613486100</v>
      </c>
      <c r="AC438">
        <v>212174391857.95901</v>
      </c>
      <c r="AD438">
        <v>1378795328535.27</v>
      </c>
      <c r="AE438">
        <v>3189937242139.6899</v>
      </c>
      <c r="AF438">
        <v>12388437831195.398</v>
      </c>
      <c r="AG438">
        <f t="shared" si="19"/>
        <v>624383040101.01135</v>
      </c>
    </row>
    <row r="442" spans="1:33" x14ac:dyDescent="0.3">
      <c r="A442" t="s">
        <v>2</v>
      </c>
      <c r="B442" s="1" t="s">
        <v>495</v>
      </c>
      <c r="C442" t="s">
        <v>0</v>
      </c>
      <c r="D442" s="1" t="s">
        <v>1</v>
      </c>
      <c r="E442" t="s">
        <v>3</v>
      </c>
      <c r="F442" t="s">
        <v>4</v>
      </c>
      <c r="G442" t="s">
        <v>5</v>
      </c>
      <c r="H442" t="s">
        <v>6</v>
      </c>
      <c r="I442" t="s">
        <v>7</v>
      </c>
      <c r="J442" t="s">
        <v>8</v>
      </c>
      <c r="K442" t="s">
        <v>9</v>
      </c>
      <c r="L442" t="s">
        <v>10</v>
      </c>
      <c r="M442" t="s">
        <v>11</v>
      </c>
      <c r="N442" t="s">
        <v>12</v>
      </c>
      <c r="O442" t="s">
        <v>13</v>
      </c>
      <c r="P442" t="s">
        <v>14</v>
      </c>
      <c r="Q442" t="s">
        <v>15</v>
      </c>
      <c r="R442" t="s">
        <v>16</v>
      </c>
      <c r="S442" t="s">
        <v>17</v>
      </c>
      <c r="T442" t="s">
        <v>18</v>
      </c>
      <c r="U442" t="s">
        <v>19</v>
      </c>
      <c r="V442" t="s">
        <v>20</v>
      </c>
      <c r="W442" t="s">
        <v>21</v>
      </c>
      <c r="X442" t="s">
        <v>22</v>
      </c>
      <c r="Y442" t="s">
        <v>23</v>
      </c>
      <c r="Z442" t="s">
        <v>24</v>
      </c>
      <c r="AA442" t="s">
        <v>25</v>
      </c>
      <c r="AB442" t="s">
        <v>26</v>
      </c>
      <c r="AC442" t="s">
        <v>27</v>
      </c>
      <c r="AD442" t="s">
        <v>28</v>
      </c>
      <c r="AE442" t="s">
        <v>29</v>
      </c>
      <c r="AF442" t="s">
        <v>30</v>
      </c>
    </row>
    <row r="443" spans="1:33" x14ac:dyDescent="0.3">
      <c r="A443" t="s">
        <v>509</v>
      </c>
      <c r="B443" s="1" t="s">
        <v>510</v>
      </c>
      <c r="C443" t="s">
        <v>31</v>
      </c>
      <c r="D443" s="1" t="s">
        <v>32</v>
      </c>
      <c r="E443" t="s">
        <v>34</v>
      </c>
      <c r="F443" t="s">
        <v>34</v>
      </c>
      <c r="G443" t="s">
        <v>34</v>
      </c>
      <c r="H443" t="s">
        <v>34</v>
      </c>
      <c r="I443" t="s">
        <v>34</v>
      </c>
      <c r="J443" t="s">
        <v>34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>
        <v>11562980032</v>
      </c>
      <c r="Q443">
        <v>13152484202</v>
      </c>
      <c r="R443">
        <v>14329746472</v>
      </c>
      <c r="S443">
        <v>21796927401</v>
      </c>
      <c r="T443">
        <v>27711173240</v>
      </c>
      <c r="U443">
        <v>30556856029</v>
      </c>
      <c r="V443">
        <v>29054793905.25</v>
      </c>
      <c r="W443">
        <v>28315648421</v>
      </c>
      <c r="X443">
        <v>25839338801</v>
      </c>
      <c r="Y443">
        <v>30323445014</v>
      </c>
      <c r="Z443">
        <v>40463039645</v>
      </c>
      <c r="AA443">
        <v>45916137933</v>
      </c>
      <c r="AB443" t="s">
        <v>34</v>
      </c>
      <c r="AC443" t="s">
        <v>34</v>
      </c>
      <c r="AD443" t="s">
        <v>34</v>
      </c>
      <c r="AE443" t="s">
        <v>34</v>
      </c>
      <c r="AF443" t="s">
        <v>34</v>
      </c>
      <c r="AG443">
        <f>IFERROR(AVERAGE(E443:AF443),"NA")</f>
        <v>26585214257.9375</v>
      </c>
    </row>
    <row r="444" spans="1:33" x14ac:dyDescent="0.3">
      <c r="A444" t="s">
        <v>509</v>
      </c>
      <c r="B444" s="1" t="s">
        <v>510</v>
      </c>
      <c r="C444" t="s">
        <v>35</v>
      </c>
      <c r="D444" s="1" t="s">
        <v>36</v>
      </c>
      <c r="E444">
        <v>6650000000</v>
      </c>
      <c r="F444">
        <v>8313665000</v>
      </c>
      <c r="G444">
        <v>9880622000</v>
      </c>
      <c r="H444">
        <v>13807128000</v>
      </c>
      <c r="I444" t="s">
        <v>34</v>
      </c>
      <c r="J444" t="s">
        <v>34</v>
      </c>
      <c r="K444" t="s">
        <v>34</v>
      </c>
      <c r="L444">
        <v>13401310000</v>
      </c>
      <c r="M444">
        <v>13865400000</v>
      </c>
      <c r="N444">
        <v>13880020000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>
        <v>10864450000</v>
      </c>
      <c r="V444">
        <v>12184430000</v>
      </c>
      <c r="W444">
        <v>10948090000</v>
      </c>
      <c r="X444">
        <v>10233650000</v>
      </c>
      <c r="Y444">
        <v>10655730000</v>
      </c>
      <c r="Z444">
        <v>6177630000</v>
      </c>
      <c r="AA444">
        <v>6513780000</v>
      </c>
      <c r="AB444">
        <v>6251710000</v>
      </c>
      <c r="AC444">
        <v>6521360000</v>
      </c>
      <c r="AD444">
        <v>6286030000</v>
      </c>
      <c r="AE444">
        <v>7494730000</v>
      </c>
      <c r="AF444" t="s">
        <v>34</v>
      </c>
      <c r="AG444">
        <f t="shared" ref="AG444:AG507" si="20">IFERROR(AVERAGE(E444:AF444),"NA")</f>
        <v>9662763055.5555553</v>
      </c>
    </row>
    <row r="445" spans="1:33" x14ac:dyDescent="0.3">
      <c r="A445" t="s">
        <v>509</v>
      </c>
      <c r="B445" s="1" t="s">
        <v>510</v>
      </c>
      <c r="C445" t="s">
        <v>38</v>
      </c>
      <c r="D445" s="1" t="s">
        <v>39</v>
      </c>
      <c r="E445" t="s">
        <v>34</v>
      </c>
      <c r="F445" t="s">
        <v>34</v>
      </c>
      <c r="G445" t="s">
        <v>34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34</v>
      </c>
      <c r="V445" t="s">
        <v>34</v>
      </c>
      <c r="W445" t="s">
        <v>34</v>
      </c>
      <c r="X445" t="s">
        <v>34</v>
      </c>
      <c r="Y445" t="s">
        <v>34</v>
      </c>
      <c r="Z445" t="s">
        <v>34</v>
      </c>
      <c r="AA445" t="s">
        <v>34</v>
      </c>
      <c r="AB445" t="s">
        <v>34</v>
      </c>
      <c r="AC445" t="s">
        <v>34</v>
      </c>
      <c r="AD445" t="s">
        <v>34</v>
      </c>
      <c r="AE445" t="s">
        <v>34</v>
      </c>
      <c r="AF445" t="s">
        <v>34</v>
      </c>
      <c r="AG445" t="str">
        <f t="shared" si="20"/>
        <v>NA</v>
      </c>
    </row>
    <row r="446" spans="1:33" x14ac:dyDescent="0.3">
      <c r="A446" t="s">
        <v>509</v>
      </c>
      <c r="B446" s="1" t="s">
        <v>510</v>
      </c>
      <c r="C446" t="s">
        <v>40</v>
      </c>
      <c r="D446" s="1" t="s">
        <v>41</v>
      </c>
      <c r="E446" t="s">
        <v>34</v>
      </c>
      <c r="F446" t="s">
        <v>34</v>
      </c>
      <c r="G446" t="s">
        <v>34</v>
      </c>
      <c r="H446" t="s">
        <v>34</v>
      </c>
      <c r="I446" t="s">
        <v>34</v>
      </c>
      <c r="J446" t="s">
        <v>34</v>
      </c>
      <c r="K446" t="s">
        <v>34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34</v>
      </c>
      <c r="U446" t="s">
        <v>34</v>
      </c>
      <c r="V446" t="s">
        <v>34</v>
      </c>
      <c r="W446" t="s">
        <v>34</v>
      </c>
      <c r="X446" t="s">
        <v>34</v>
      </c>
      <c r="Y446" t="s">
        <v>34</v>
      </c>
      <c r="Z446" t="s">
        <v>34</v>
      </c>
      <c r="AA446" t="s">
        <v>34</v>
      </c>
      <c r="AB446" t="s">
        <v>34</v>
      </c>
      <c r="AC446" t="s">
        <v>34</v>
      </c>
      <c r="AD446" t="s">
        <v>34</v>
      </c>
      <c r="AE446" t="s">
        <v>34</v>
      </c>
      <c r="AF446" t="s">
        <v>34</v>
      </c>
      <c r="AG446" t="str">
        <f t="shared" si="20"/>
        <v>NA</v>
      </c>
    </row>
    <row r="447" spans="1:33" x14ac:dyDescent="0.3">
      <c r="A447" t="s">
        <v>509</v>
      </c>
      <c r="B447" s="1" t="s">
        <v>510</v>
      </c>
      <c r="C447" t="s">
        <v>42</v>
      </c>
      <c r="D447" s="1" t="s">
        <v>43</v>
      </c>
      <c r="E447" t="s">
        <v>34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34</v>
      </c>
      <c r="Z447" t="s">
        <v>34</v>
      </c>
      <c r="AA447" t="s">
        <v>34</v>
      </c>
      <c r="AB447" t="s">
        <v>34</v>
      </c>
      <c r="AC447" t="s">
        <v>34</v>
      </c>
      <c r="AD447" t="s">
        <v>34</v>
      </c>
      <c r="AE447" t="s">
        <v>34</v>
      </c>
      <c r="AF447" t="s">
        <v>34</v>
      </c>
      <c r="AG447" t="str">
        <f t="shared" si="20"/>
        <v>NA</v>
      </c>
    </row>
    <row r="448" spans="1:33" x14ac:dyDescent="0.3">
      <c r="A448" t="s">
        <v>509</v>
      </c>
      <c r="B448" s="1" t="s">
        <v>510</v>
      </c>
      <c r="C448" t="s">
        <v>44</v>
      </c>
      <c r="D448" s="1" t="s">
        <v>45</v>
      </c>
      <c r="E448" t="s">
        <v>34</v>
      </c>
      <c r="F448" t="s">
        <v>34</v>
      </c>
      <c r="G448" t="s">
        <v>34</v>
      </c>
      <c r="H448" t="s">
        <v>34</v>
      </c>
      <c r="I448">
        <v>143859498.40000001</v>
      </c>
      <c r="J448">
        <v>756139815</v>
      </c>
      <c r="K448">
        <v>2657536912</v>
      </c>
      <c r="L448">
        <v>7990988132</v>
      </c>
      <c r="M448">
        <v>17553611833</v>
      </c>
      <c r="N448">
        <v>25280870997</v>
      </c>
      <c r="O448">
        <v>33301946110</v>
      </c>
      <c r="P448">
        <v>43745351079</v>
      </c>
      <c r="Q448">
        <v>59304713944</v>
      </c>
      <c r="R448">
        <v>107473000000</v>
      </c>
      <c r="S448">
        <v>106311000000</v>
      </c>
      <c r="T448">
        <v>101941000000</v>
      </c>
      <c r="U448">
        <v>112287000000</v>
      </c>
      <c r="V448">
        <v>111325000000</v>
      </c>
      <c r="W448">
        <v>124414000000</v>
      </c>
      <c r="X448">
        <v>182041910440</v>
      </c>
      <c r="Y448">
        <v>130459449470</v>
      </c>
      <c r="Z448">
        <v>89402731425</v>
      </c>
      <c r="AA448">
        <v>120285546426</v>
      </c>
      <c r="AB448">
        <v>152523429528</v>
      </c>
      <c r="AC448">
        <v>189855174812</v>
      </c>
      <c r="AD448" t="s">
        <v>34</v>
      </c>
      <c r="AE448" t="s">
        <v>34</v>
      </c>
      <c r="AF448" t="s">
        <v>34</v>
      </c>
      <c r="AG448">
        <f t="shared" si="20"/>
        <v>81859726686.733322</v>
      </c>
    </row>
    <row r="449" spans="1:33" x14ac:dyDescent="0.3">
      <c r="A449" t="s">
        <v>509</v>
      </c>
      <c r="B449" s="1" t="s">
        <v>510</v>
      </c>
      <c r="C449" t="s">
        <v>46</v>
      </c>
      <c r="D449" s="1" t="s">
        <v>47</v>
      </c>
      <c r="E449" t="s">
        <v>34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34</v>
      </c>
      <c r="V449" t="s">
        <v>34</v>
      </c>
      <c r="W449" t="s">
        <v>34</v>
      </c>
      <c r="X449" t="s">
        <v>34</v>
      </c>
      <c r="Y449" t="s">
        <v>34</v>
      </c>
      <c r="Z449" t="s">
        <v>34</v>
      </c>
      <c r="AA449" t="s">
        <v>34</v>
      </c>
      <c r="AB449" t="s">
        <v>34</v>
      </c>
      <c r="AC449" t="s">
        <v>34</v>
      </c>
      <c r="AD449" t="s">
        <v>34</v>
      </c>
      <c r="AE449" t="s">
        <v>34</v>
      </c>
      <c r="AF449" t="s">
        <v>34</v>
      </c>
      <c r="AG449" t="str">
        <f t="shared" si="20"/>
        <v>NA</v>
      </c>
    </row>
    <row r="450" spans="1:33" x14ac:dyDescent="0.3">
      <c r="A450" t="s">
        <v>509</v>
      </c>
      <c r="B450" s="1" t="s">
        <v>510</v>
      </c>
      <c r="C450" t="s">
        <v>48</v>
      </c>
      <c r="D450" s="1" t="s">
        <v>49</v>
      </c>
      <c r="E450">
        <v>1890700000</v>
      </c>
      <c r="F450">
        <v>2326200000</v>
      </c>
      <c r="G450">
        <v>3014700000</v>
      </c>
      <c r="H450">
        <v>2707100000</v>
      </c>
      <c r="I450">
        <v>2210600000</v>
      </c>
      <c r="J450">
        <v>1971700000</v>
      </c>
      <c r="K450">
        <v>1586100000</v>
      </c>
      <c r="L450">
        <v>6003000000</v>
      </c>
      <c r="M450">
        <v>10658540033.93</v>
      </c>
      <c r="N450">
        <v>12865224569.549999</v>
      </c>
      <c r="O450">
        <v>15377800000</v>
      </c>
      <c r="P450">
        <v>18109300000</v>
      </c>
      <c r="Q450">
        <v>25368300000</v>
      </c>
      <c r="R450">
        <v>43968900000</v>
      </c>
      <c r="S450">
        <v>35754800000</v>
      </c>
      <c r="T450">
        <v>55478300000</v>
      </c>
      <c r="U450">
        <v>67486800000</v>
      </c>
      <c r="V450">
        <v>77582600000</v>
      </c>
      <c r="W450">
        <v>77423800000</v>
      </c>
      <c r="X450">
        <v>110038800000</v>
      </c>
      <c r="Y450">
        <v>106145800000</v>
      </c>
      <c r="Z450">
        <v>125038900000</v>
      </c>
      <c r="AA450">
        <v>132378200000</v>
      </c>
      <c r="AB450">
        <v>194639400000</v>
      </c>
      <c r="AC450">
        <v>532417533376.83002</v>
      </c>
      <c r="AD450">
        <v>636939673726.05005</v>
      </c>
      <c r="AE450">
        <v>1325172862536.3899</v>
      </c>
      <c r="AF450" t="s">
        <v>34</v>
      </c>
      <c r="AG450">
        <f t="shared" si="20"/>
        <v>134242801268.25</v>
      </c>
    </row>
    <row r="451" spans="1:33" x14ac:dyDescent="0.3">
      <c r="A451" t="s">
        <v>509</v>
      </c>
      <c r="B451" s="1" t="s">
        <v>510</v>
      </c>
      <c r="C451" t="s">
        <v>50</v>
      </c>
      <c r="D451" s="1" t="s">
        <v>51</v>
      </c>
      <c r="E451" t="s">
        <v>34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>
        <v>11389887600</v>
      </c>
      <c r="O451">
        <v>15410353546.9</v>
      </c>
      <c r="P451">
        <v>17100300000</v>
      </c>
      <c r="Q451">
        <v>24010067538.724998</v>
      </c>
      <c r="R451">
        <v>37289946834</v>
      </c>
      <c r="S451">
        <v>25111297375.799999</v>
      </c>
      <c r="T451">
        <v>29366720800</v>
      </c>
      <c r="U451">
        <v>36289379703</v>
      </c>
      <c r="V451">
        <v>43040111166</v>
      </c>
      <c r="W451">
        <v>46320222896</v>
      </c>
      <c r="X451">
        <v>48397064060</v>
      </c>
      <c r="Y451">
        <v>61487459028</v>
      </c>
      <c r="Z451">
        <v>55430686272</v>
      </c>
      <c r="AA451">
        <v>72564779815</v>
      </c>
      <c r="AB451">
        <v>80235872610</v>
      </c>
      <c r="AC451">
        <v>95146709030</v>
      </c>
      <c r="AD451">
        <v>68267302590</v>
      </c>
      <c r="AE451">
        <v>84839939026</v>
      </c>
      <c r="AF451" t="s">
        <v>34</v>
      </c>
      <c r="AG451">
        <f t="shared" si="20"/>
        <v>47316561105.07917</v>
      </c>
    </row>
    <row r="452" spans="1:33" x14ac:dyDescent="0.3">
      <c r="A452" t="s">
        <v>509</v>
      </c>
      <c r="B452" s="1" t="s">
        <v>510</v>
      </c>
      <c r="C452" t="s">
        <v>52</v>
      </c>
      <c r="D452" s="1" t="s">
        <v>53</v>
      </c>
      <c r="E452" t="s">
        <v>34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  <c r="Z452" t="s">
        <v>34</v>
      </c>
      <c r="AA452" t="s">
        <v>34</v>
      </c>
      <c r="AB452" t="s">
        <v>34</v>
      </c>
      <c r="AC452" t="s">
        <v>34</v>
      </c>
      <c r="AD452" t="s">
        <v>34</v>
      </c>
      <c r="AE452" t="s">
        <v>34</v>
      </c>
      <c r="AF452" t="s">
        <v>34</v>
      </c>
      <c r="AG452" t="str">
        <f t="shared" si="20"/>
        <v>NA</v>
      </c>
    </row>
    <row r="453" spans="1:33" x14ac:dyDescent="0.3">
      <c r="A453" t="s">
        <v>509</v>
      </c>
      <c r="B453" s="1" t="s">
        <v>510</v>
      </c>
      <c r="C453" t="s">
        <v>54</v>
      </c>
      <c r="D453" s="1" t="s">
        <v>55</v>
      </c>
      <c r="E453">
        <v>3557000000</v>
      </c>
      <c r="F453">
        <v>3129000000</v>
      </c>
      <c r="G453">
        <v>3295000000</v>
      </c>
      <c r="H453">
        <v>3643000000</v>
      </c>
      <c r="I453">
        <v>3615000000</v>
      </c>
      <c r="J453">
        <v>3799000000</v>
      </c>
      <c r="K453">
        <v>4606000000</v>
      </c>
      <c r="L453">
        <v>5214000000</v>
      </c>
      <c r="M453">
        <v>5580000000</v>
      </c>
      <c r="N453">
        <v>5631000000</v>
      </c>
      <c r="O453">
        <v>5560000000</v>
      </c>
      <c r="P453">
        <v>5001000000</v>
      </c>
      <c r="Q453">
        <v>5659000000</v>
      </c>
      <c r="R453">
        <v>6081000000</v>
      </c>
      <c r="S453">
        <v>6289000000</v>
      </c>
      <c r="T453">
        <v>5762000000</v>
      </c>
      <c r="U453">
        <v>5839000000</v>
      </c>
      <c r="V453">
        <v>7117000000</v>
      </c>
      <c r="W453">
        <v>8181000000</v>
      </c>
      <c r="X453">
        <v>9290000000</v>
      </c>
      <c r="Y453">
        <v>10896000000</v>
      </c>
      <c r="Z453">
        <v>14057000000</v>
      </c>
      <c r="AA453">
        <v>14208000000</v>
      </c>
      <c r="AB453">
        <v>15690000000</v>
      </c>
      <c r="AC453">
        <v>15944000000</v>
      </c>
      <c r="AD453">
        <v>19507000000</v>
      </c>
      <c r="AE453">
        <v>18123000000</v>
      </c>
      <c r="AF453">
        <v>16945000000</v>
      </c>
      <c r="AG453">
        <f t="shared" si="20"/>
        <v>8293500000</v>
      </c>
    </row>
    <row r="454" spans="1:33" x14ac:dyDescent="0.3">
      <c r="A454" t="s">
        <v>509</v>
      </c>
      <c r="B454" s="1" t="s">
        <v>510</v>
      </c>
      <c r="C454" t="s">
        <v>56</v>
      </c>
      <c r="D454" s="1" t="s">
        <v>57</v>
      </c>
      <c r="E454">
        <v>10660000</v>
      </c>
      <c r="F454">
        <v>-105460000</v>
      </c>
      <c r="G454">
        <v>-19790000</v>
      </c>
      <c r="H454">
        <v>230000</v>
      </c>
      <c r="I454">
        <v>6840000</v>
      </c>
      <c r="J454">
        <v>-5030000</v>
      </c>
      <c r="K454">
        <v>-5840000</v>
      </c>
      <c r="L454">
        <v>-1520000</v>
      </c>
      <c r="M454">
        <v>-1300000</v>
      </c>
      <c r="N454">
        <v>3950000</v>
      </c>
      <c r="O454">
        <v>1440000</v>
      </c>
      <c r="P454">
        <v>80000</v>
      </c>
      <c r="Q454">
        <v>-7660000</v>
      </c>
      <c r="R454">
        <v>-20640000</v>
      </c>
      <c r="S454">
        <v>80000</v>
      </c>
      <c r="T454">
        <v>100000</v>
      </c>
      <c r="U454">
        <v>80000</v>
      </c>
      <c r="V454">
        <v>70000</v>
      </c>
      <c r="W454" t="s">
        <v>34</v>
      </c>
      <c r="X454" t="s">
        <v>34</v>
      </c>
      <c r="Y454" t="s">
        <v>34</v>
      </c>
      <c r="Z454" t="s">
        <v>34</v>
      </c>
      <c r="AA454" t="s">
        <v>34</v>
      </c>
      <c r="AB454" t="s">
        <v>34</v>
      </c>
      <c r="AC454" t="s">
        <v>34</v>
      </c>
      <c r="AD454" t="s">
        <v>34</v>
      </c>
      <c r="AE454" t="s">
        <v>34</v>
      </c>
      <c r="AF454" t="s">
        <v>34</v>
      </c>
      <c r="AG454">
        <f t="shared" si="20"/>
        <v>-7983888.888888889</v>
      </c>
    </row>
    <row r="455" spans="1:33" x14ac:dyDescent="0.3">
      <c r="A455" t="s">
        <v>509</v>
      </c>
      <c r="B455" s="1" t="s">
        <v>510</v>
      </c>
      <c r="C455" t="s">
        <v>58</v>
      </c>
      <c r="D455" s="1" t="s">
        <v>59</v>
      </c>
      <c r="E455">
        <v>128452800</v>
      </c>
      <c r="F455">
        <v>82480000</v>
      </c>
      <c r="G455">
        <v>39333600</v>
      </c>
      <c r="H455">
        <v>56000000</v>
      </c>
      <c r="I455">
        <v>56600000</v>
      </c>
      <c r="J455" t="s">
        <v>34</v>
      </c>
      <c r="K455" t="s">
        <v>34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>
        <v>437600000</v>
      </c>
      <c r="S455">
        <v>407000000</v>
      </c>
      <c r="T455">
        <v>289800000</v>
      </c>
      <c r="U455">
        <v>429200000</v>
      </c>
      <c r="V455">
        <v>581100000</v>
      </c>
      <c r="W455">
        <v>668800000</v>
      </c>
      <c r="X455">
        <v>679200000</v>
      </c>
      <c r="Y455">
        <v>571100000</v>
      </c>
      <c r="Z455">
        <v>714300000</v>
      </c>
      <c r="AA455">
        <v>895900000</v>
      </c>
      <c r="AB455">
        <v>1060620000</v>
      </c>
      <c r="AC455">
        <v>1343000000</v>
      </c>
      <c r="AD455">
        <v>1160500000</v>
      </c>
      <c r="AE455">
        <v>1360000000</v>
      </c>
      <c r="AF455" t="s">
        <v>34</v>
      </c>
      <c r="AG455">
        <f t="shared" si="20"/>
        <v>576894021.05263162</v>
      </c>
    </row>
    <row r="456" spans="1:33" x14ac:dyDescent="0.3">
      <c r="A456" t="s">
        <v>509</v>
      </c>
      <c r="B456" s="1" t="s">
        <v>510</v>
      </c>
      <c r="C456" t="s">
        <v>60</v>
      </c>
      <c r="D456" s="1" t="s">
        <v>61</v>
      </c>
      <c r="E456">
        <v>375800000</v>
      </c>
      <c r="F456">
        <v>393600000</v>
      </c>
      <c r="G456">
        <v>426562000</v>
      </c>
      <c r="H456">
        <v>435318000</v>
      </c>
      <c r="I456">
        <v>492568000</v>
      </c>
      <c r="J456">
        <v>525800000</v>
      </c>
      <c r="K456">
        <v>528300000</v>
      </c>
      <c r="L456">
        <v>506700000</v>
      </c>
      <c r="M456">
        <v>529000000</v>
      </c>
      <c r="N456">
        <v>483636000</v>
      </c>
      <c r="O456">
        <v>607153000</v>
      </c>
      <c r="P456">
        <v>750067000</v>
      </c>
      <c r="Q456">
        <v>598200000</v>
      </c>
      <c r="R456">
        <v>618800000</v>
      </c>
      <c r="S456">
        <v>664826000</v>
      </c>
      <c r="T456">
        <v>476921155.93000001</v>
      </c>
      <c r="U456">
        <v>530660166.87</v>
      </c>
      <c r="V456">
        <v>528577096.75</v>
      </c>
      <c r="W456">
        <v>552597193.80999994</v>
      </c>
      <c r="X456">
        <v>518068149.25</v>
      </c>
      <c r="Y456">
        <v>489441210.70999998</v>
      </c>
      <c r="Z456">
        <v>411597195.56</v>
      </c>
      <c r="AA456">
        <v>431217177.85000002</v>
      </c>
      <c r="AB456">
        <v>432027000</v>
      </c>
      <c r="AC456">
        <v>444916000</v>
      </c>
      <c r="AD456">
        <v>405671070</v>
      </c>
      <c r="AE456">
        <v>299079833</v>
      </c>
      <c r="AF456">
        <v>511667812</v>
      </c>
      <c r="AG456">
        <f t="shared" si="20"/>
        <v>498884680.77607143</v>
      </c>
    </row>
    <row r="457" spans="1:33" x14ac:dyDescent="0.3">
      <c r="A457" t="s">
        <v>509</v>
      </c>
      <c r="B457" s="1" t="s">
        <v>510</v>
      </c>
      <c r="C457" t="s">
        <v>62</v>
      </c>
      <c r="D457" s="1" t="s">
        <v>63</v>
      </c>
      <c r="E457">
        <v>47600000</v>
      </c>
      <c r="F457">
        <v>47500000</v>
      </c>
      <c r="G457">
        <v>55500000</v>
      </c>
      <c r="H457">
        <v>63400000</v>
      </c>
      <c r="I457">
        <v>58900000</v>
      </c>
      <c r="J457">
        <v>55700000</v>
      </c>
      <c r="K457">
        <v>57300000</v>
      </c>
      <c r="L457">
        <v>47000000</v>
      </c>
      <c r="M457">
        <v>49800000</v>
      </c>
      <c r="N457">
        <v>57100000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34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  <c r="Z457" t="s">
        <v>34</v>
      </c>
      <c r="AA457" t="s">
        <v>34</v>
      </c>
      <c r="AB457" t="s">
        <v>34</v>
      </c>
      <c r="AC457" t="s">
        <v>34</v>
      </c>
      <c r="AD457" t="s">
        <v>34</v>
      </c>
      <c r="AE457" t="s">
        <v>34</v>
      </c>
      <c r="AF457" t="s">
        <v>34</v>
      </c>
      <c r="AG457">
        <f t="shared" si="20"/>
        <v>53980000</v>
      </c>
    </row>
    <row r="458" spans="1:33" x14ac:dyDescent="0.3">
      <c r="A458" t="s">
        <v>509</v>
      </c>
      <c r="B458" s="1" t="s">
        <v>510</v>
      </c>
      <c r="C458" t="s">
        <v>64</v>
      </c>
      <c r="D458" s="1" t="s">
        <v>65</v>
      </c>
      <c r="E458" t="s">
        <v>34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>
        <v>83278880000</v>
      </c>
      <c r="L458">
        <v>89394550000</v>
      </c>
      <c r="M458">
        <v>84609840000</v>
      </c>
      <c r="N458">
        <v>113076310000</v>
      </c>
      <c r="O458">
        <v>129552432000</v>
      </c>
      <c r="P458">
        <v>135650236000</v>
      </c>
      <c r="Q458">
        <v>135517415000</v>
      </c>
      <c r="R458">
        <v>165260914000</v>
      </c>
      <c r="S458">
        <v>169788337000</v>
      </c>
      <c r="T458">
        <v>196640607000</v>
      </c>
      <c r="U458">
        <v>241310200000</v>
      </c>
      <c r="V458">
        <v>283887400000</v>
      </c>
      <c r="W458">
        <v>289324100000</v>
      </c>
      <c r="X458">
        <v>310561000000</v>
      </c>
      <c r="Y458">
        <v>359773000000</v>
      </c>
      <c r="Z458">
        <v>439600000000</v>
      </c>
      <c r="AA458">
        <v>191197700000</v>
      </c>
      <c r="AB458">
        <v>230597300000</v>
      </c>
      <c r="AC458">
        <v>243967261000</v>
      </c>
      <c r="AD458">
        <v>237983200000</v>
      </c>
      <c r="AE458">
        <v>315922990448.70001</v>
      </c>
      <c r="AF458" t="s">
        <v>34</v>
      </c>
      <c r="AG458">
        <f t="shared" si="20"/>
        <v>211756841545.17621</v>
      </c>
    </row>
    <row r="459" spans="1:33" x14ac:dyDescent="0.3">
      <c r="A459" t="s">
        <v>509</v>
      </c>
      <c r="B459" s="1" t="s">
        <v>510</v>
      </c>
      <c r="C459" t="s">
        <v>66</v>
      </c>
      <c r="D459" s="1" t="s">
        <v>67</v>
      </c>
      <c r="E459" t="s">
        <v>34</v>
      </c>
      <c r="F459" t="s">
        <v>34</v>
      </c>
      <c r="G459" t="s">
        <v>34</v>
      </c>
      <c r="H459" t="s">
        <v>34</v>
      </c>
      <c r="I459" t="s">
        <v>34</v>
      </c>
      <c r="J459" t="s">
        <v>34</v>
      </c>
      <c r="K459" t="s">
        <v>34</v>
      </c>
      <c r="L459" t="s">
        <v>34</v>
      </c>
      <c r="M459">
        <v>166624000</v>
      </c>
      <c r="N459">
        <v>196300000</v>
      </c>
      <c r="O459">
        <v>202427000</v>
      </c>
      <c r="P459">
        <v>180774029.22999999</v>
      </c>
      <c r="Q459">
        <v>217104110</v>
      </c>
      <c r="R459">
        <v>219993947</v>
      </c>
      <c r="S459">
        <v>185523499</v>
      </c>
      <c r="T459">
        <v>202300265</v>
      </c>
      <c r="U459">
        <v>201038974</v>
      </c>
      <c r="V459">
        <v>202975092</v>
      </c>
      <c r="W459">
        <v>195013979</v>
      </c>
      <c r="X459">
        <v>225369600</v>
      </c>
      <c r="Y459">
        <v>232164707</v>
      </c>
      <c r="Z459">
        <v>246233741</v>
      </c>
      <c r="AA459" t="s">
        <v>34</v>
      </c>
      <c r="AB459" t="s">
        <v>34</v>
      </c>
      <c r="AC459" t="s">
        <v>34</v>
      </c>
      <c r="AD459" t="s">
        <v>34</v>
      </c>
      <c r="AE459" t="s">
        <v>34</v>
      </c>
      <c r="AF459" t="s">
        <v>34</v>
      </c>
      <c r="AG459">
        <f t="shared" si="20"/>
        <v>205274495.94499999</v>
      </c>
    </row>
    <row r="460" spans="1:33" x14ac:dyDescent="0.3">
      <c r="A460" t="s">
        <v>509</v>
      </c>
      <c r="B460" s="1" t="s">
        <v>510</v>
      </c>
      <c r="C460" t="s">
        <v>68</v>
      </c>
      <c r="D460" s="1" t="s">
        <v>69</v>
      </c>
      <c r="E460">
        <v>214280</v>
      </c>
      <c r="F460">
        <v>316950</v>
      </c>
      <c r="G460">
        <v>896370</v>
      </c>
      <c r="H460">
        <v>1520360</v>
      </c>
      <c r="I460">
        <v>5801120</v>
      </c>
      <c r="J460">
        <v>14180000</v>
      </c>
      <c r="K460">
        <v>30000000</v>
      </c>
      <c r="L460">
        <v>52359000</v>
      </c>
      <c r="M460">
        <v>95716000</v>
      </c>
      <c r="N460">
        <v>109478100</v>
      </c>
      <c r="O460">
        <v>168226700</v>
      </c>
      <c r="P460">
        <v>206873700</v>
      </c>
      <c r="Q460">
        <v>628133000</v>
      </c>
      <c r="R460">
        <v>1061255110</v>
      </c>
      <c r="S460">
        <v>796951700</v>
      </c>
      <c r="T460">
        <v>577621506.25</v>
      </c>
      <c r="U460">
        <v>1514690000</v>
      </c>
      <c r="V460">
        <v>2547500000</v>
      </c>
      <c r="W460">
        <v>2332750000</v>
      </c>
      <c r="X460">
        <v>1941145160</v>
      </c>
      <c r="Y460">
        <v>3958608300.1599998</v>
      </c>
      <c r="Z460">
        <v>3431760464.3000002</v>
      </c>
      <c r="AA460">
        <v>3546645851</v>
      </c>
      <c r="AB460">
        <v>5501526199.3999996</v>
      </c>
      <c r="AC460">
        <v>4747134704.5</v>
      </c>
      <c r="AD460">
        <v>4123203802</v>
      </c>
      <c r="AE460">
        <v>5132307595.79</v>
      </c>
      <c r="AF460" t="s">
        <v>34</v>
      </c>
      <c r="AG460">
        <f t="shared" si="20"/>
        <v>1575067258.2740741</v>
      </c>
    </row>
    <row r="461" spans="1:33" x14ac:dyDescent="0.3">
      <c r="A461" t="s">
        <v>509</v>
      </c>
      <c r="B461" s="1" t="s">
        <v>510</v>
      </c>
      <c r="C461" t="s">
        <v>70</v>
      </c>
      <c r="D461" s="1" t="s">
        <v>71</v>
      </c>
      <c r="E461" t="s">
        <v>34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  <c r="Z461" t="s">
        <v>34</v>
      </c>
      <c r="AA461" t="s">
        <v>34</v>
      </c>
      <c r="AB461" t="s">
        <v>34</v>
      </c>
      <c r="AC461" t="s">
        <v>34</v>
      </c>
      <c r="AD461" t="s">
        <v>34</v>
      </c>
      <c r="AE461" t="s">
        <v>34</v>
      </c>
      <c r="AF461" t="s">
        <v>34</v>
      </c>
      <c r="AG461" t="str">
        <f t="shared" si="20"/>
        <v>NA</v>
      </c>
    </row>
    <row r="462" spans="1:33" x14ac:dyDescent="0.3">
      <c r="A462" t="s">
        <v>509</v>
      </c>
      <c r="B462" s="1" t="s">
        <v>510</v>
      </c>
      <c r="C462" t="s">
        <v>72</v>
      </c>
      <c r="D462" s="1" t="s">
        <v>73</v>
      </c>
      <c r="E462">
        <v>137281000</v>
      </c>
      <c r="F462">
        <v>84517000</v>
      </c>
      <c r="G462">
        <v>94939000</v>
      </c>
      <c r="H462">
        <v>98829000</v>
      </c>
      <c r="I462">
        <v>106359000</v>
      </c>
      <c r="J462">
        <v>116341000</v>
      </c>
      <c r="K462">
        <v>138413000</v>
      </c>
      <c r="L462">
        <v>164957000</v>
      </c>
      <c r="M462">
        <v>164507000</v>
      </c>
      <c r="N462">
        <v>170674000</v>
      </c>
      <c r="O462">
        <v>157935000</v>
      </c>
      <c r="P462">
        <v>170902000</v>
      </c>
      <c r="Q462">
        <v>169076000</v>
      </c>
      <c r="R462">
        <v>154259000</v>
      </c>
      <c r="S462">
        <v>165411000</v>
      </c>
      <c r="T462">
        <v>161544000</v>
      </c>
      <c r="U462">
        <v>195980000</v>
      </c>
      <c r="V462">
        <v>188768120.94</v>
      </c>
      <c r="W462">
        <v>194041621.09</v>
      </c>
      <c r="X462">
        <v>224484875.34999999</v>
      </c>
      <c r="Y462">
        <v>248826967.03</v>
      </c>
      <c r="Z462">
        <v>166819764.06999999</v>
      </c>
      <c r="AA462">
        <v>157807938.37</v>
      </c>
      <c r="AB462" t="s">
        <v>34</v>
      </c>
      <c r="AC462" t="s">
        <v>34</v>
      </c>
      <c r="AD462" t="s">
        <v>34</v>
      </c>
      <c r="AE462" t="s">
        <v>34</v>
      </c>
      <c r="AF462" t="s">
        <v>34</v>
      </c>
      <c r="AG462">
        <f t="shared" si="20"/>
        <v>157942316.81956524</v>
      </c>
    </row>
    <row r="463" spans="1:33" x14ac:dyDescent="0.3">
      <c r="A463" t="s">
        <v>509</v>
      </c>
      <c r="B463" s="1" t="s">
        <v>510</v>
      </c>
      <c r="C463" t="s">
        <v>74</v>
      </c>
      <c r="D463" s="1" t="s">
        <v>75</v>
      </c>
      <c r="E463" t="s">
        <v>34</v>
      </c>
      <c r="F463" t="s">
        <v>34</v>
      </c>
      <c r="G463" t="s">
        <v>34</v>
      </c>
      <c r="H463" t="s">
        <v>34</v>
      </c>
      <c r="I463" t="s">
        <v>34</v>
      </c>
      <c r="J463" t="s">
        <v>34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  <c r="Z463" t="s">
        <v>34</v>
      </c>
      <c r="AA463" t="s">
        <v>34</v>
      </c>
      <c r="AB463" t="s">
        <v>34</v>
      </c>
      <c r="AC463" t="s">
        <v>34</v>
      </c>
      <c r="AD463" t="s">
        <v>34</v>
      </c>
      <c r="AE463" t="s">
        <v>34</v>
      </c>
      <c r="AF463" t="s">
        <v>34</v>
      </c>
      <c r="AG463" t="str">
        <f t="shared" si="20"/>
        <v>NA</v>
      </c>
    </row>
    <row r="464" spans="1:33" x14ac:dyDescent="0.3">
      <c r="A464" t="s">
        <v>509</v>
      </c>
      <c r="B464" s="1" t="s">
        <v>510</v>
      </c>
      <c r="C464" t="s">
        <v>76</v>
      </c>
      <c r="D464" s="1" t="s">
        <v>77</v>
      </c>
      <c r="E464" t="s">
        <v>34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34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  <c r="Z464" t="s">
        <v>34</v>
      </c>
      <c r="AA464" t="s">
        <v>34</v>
      </c>
      <c r="AB464" t="s">
        <v>34</v>
      </c>
      <c r="AC464" t="s">
        <v>34</v>
      </c>
      <c r="AD464" t="s">
        <v>34</v>
      </c>
      <c r="AE464" t="s">
        <v>34</v>
      </c>
      <c r="AF464" t="s">
        <v>34</v>
      </c>
      <c r="AG464" t="str">
        <f t="shared" si="20"/>
        <v>NA</v>
      </c>
    </row>
    <row r="465" spans="1:33" x14ac:dyDescent="0.3">
      <c r="A465" t="s">
        <v>509</v>
      </c>
      <c r="B465" s="1" t="s">
        <v>510</v>
      </c>
      <c r="C465" t="s">
        <v>78</v>
      </c>
      <c r="D465" s="1" t="s">
        <v>79</v>
      </c>
      <c r="E465">
        <v>41300000</v>
      </c>
      <c r="F465">
        <v>30500000</v>
      </c>
      <c r="G465">
        <v>48200000</v>
      </c>
      <c r="H465">
        <v>51984000</v>
      </c>
      <c r="I465">
        <v>67400000</v>
      </c>
      <c r="J465">
        <v>70500000</v>
      </c>
      <c r="K465">
        <v>94600000</v>
      </c>
      <c r="L465">
        <v>106814000</v>
      </c>
      <c r="M465">
        <v>115922000</v>
      </c>
      <c r="N465">
        <v>153811000</v>
      </c>
      <c r="O465">
        <v>241250000</v>
      </c>
      <c r="P465">
        <v>173371000</v>
      </c>
      <c r="Q465">
        <v>163932000</v>
      </c>
      <c r="R465">
        <v>152139000</v>
      </c>
      <c r="S465">
        <v>203864000</v>
      </c>
      <c r="T465">
        <v>179754228</v>
      </c>
      <c r="U465">
        <v>283394406</v>
      </c>
      <c r="V465">
        <v>382386533.30000001</v>
      </c>
      <c r="W465">
        <v>286730139.69999999</v>
      </c>
      <c r="X465">
        <v>1356444000</v>
      </c>
      <c r="Y465">
        <v>1762433376.3</v>
      </c>
      <c r="Z465">
        <v>1752286060.5899999</v>
      </c>
      <c r="AA465">
        <v>1934828000</v>
      </c>
      <c r="AB465">
        <v>2170502931.0100002</v>
      </c>
      <c r="AC465">
        <v>2550299000</v>
      </c>
      <c r="AD465">
        <v>1576210000</v>
      </c>
      <c r="AE465" t="s">
        <v>34</v>
      </c>
      <c r="AF465" t="s">
        <v>34</v>
      </c>
      <c r="AG465">
        <f t="shared" si="20"/>
        <v>613494449.0346154</v>
      </c>
    </row>
    <row r="466" spans="1:33" x14ac:dyDescent="0.3">
      <c r="A466" t="s">
        <v>509</v>
      </c>
      <c r="B466" s="1" t="s">
        <v>510</v>
      </c>
      <c r="C466" t="s">
        <v>80</v>
      </c>
      <c r="D466" s="1" t="s">
        <v>81</v>
      </c>
      <c r="E466">
        <v>349800000</v>
      </c>
      <c r="F466">
        <v>377900000</v>
      </c>
      <c r="G466">
        <v>472000000</v>
      </c>
      <c r="H466">
        <v>556700000</v>
      </c>
      <c r="I466">
        <v>480700000</v>
      </c>
      <c r="J466">
        <v>519700000</v>
      </c>
      <c r="K466">
        <v>465080000</v>
      </c>
      <c r="L466">
        <v>488221117.05000001</v>
      </c>
      <c r="M466">
        <v>455178732.08999997</v>
      </c>
      <c r="N466">
        <v>528300000</v>
      </c>
      <c r="O466">
        <v>648448131.20000005</v>
      </c>
      <c r="P466">
        <v>750304081.90900004</v>
      </c>
      <c r="Q466">
        <v>895627523.22500002</v>
      </c>
      <c r="R466" t="s">
        <v>34</v>
      </c>
      <c r="S466" t="s">
        <v>34</v>
      </c>
      <c r="T466" t="s">
        <v>34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 t="s">
        <v>34</v>
      </c>
      <c r="AA466" t="s">
        <v>34</v>
      </c>
      <c r="AB466" t="s">
        <v>34</v>
      </c>
      <c r="AC466" t="s">
        <v>34</v>
      </c>
      <c r="AD466" t="s">
        <v>34</v>
      </c>
      <c r="AE466" t="s">
        <v>34</v>
      </c>
      <c r="AF466" t="s">
        <v>34</v>
      </c>
      <c r="AG466">
        <f t="shared" si="20"/>
        <v>537535352.7287693</v>
      </c>
    </row>
    <row r="467" spans="1:33" x14ac:dyDescent="0.3">
      <c r="A467" t="s">
        <v>509</v>
      </c>
      <c r="B467" s="1" t="s">
        <v>510</v>
      </c>
      <c r="C467" t="s">
        <v>82</v>
      </c>
      <c r="D467" s="1" t="s">
        <v>83</v>
      </c>
      <c r="E467" t="s">
        <v>34</v>
      </c>
      <c r="F467" t="s">
        <v>34</v>
      </c>
      <c r="G467" t="s">
        <v>34</v>
      </c>
      <c r="H467" t="s">
        <v>34</v>
      </c>
      <c r="I467" t="s">
        <v>34</v>
      </c>
      <c r="J467" t="s">
        <v>34</v>
      </c>
      <c r="K467" t="s">
        <v>34</v>
      </c>
      <c r="L467" t="s">
        <v>34</v>
      </c>
      <c r="M467" t="s">
        <v>34</v>
      </c>
      <c r="N467" t="s">
        <v>34</v>
      </c>
      <c r="O467">
        <v>1668619891.6099999</v>
      </c>
      <c r="P467">
        <v>2002262.64</v>
      </c>
      <c r="Q467">
        <v>5154289.8899999997</v>
      </c>
      <c r="R467">
        <v>3234359.77</v>
      </c>
      <c r="S467">
        <v>726658.7</v>
      </c>
      <c r="T467">
        <v>66719.009999999995</v>
      </c>
      <c r="U467" t="s">
        <v>34</v>
      </c>
      <c r="V467" t="s">
        <v>34</v>
      </c>
      <c r="W467" t="s">
        <v>34</v>
      </c>
      <c r="X467" t="s">
        <v>34</v>
      </c>
      <c r="Y467">
        <v>12444.57</v>
      </c>
      <c r="Z467">
        <v>3945689.44</v>
      </c>
      <c r="AA467">
        <v>9875.6200000000008</v>
      </c>
      <c r="AB467">
        <v>5286521.5599999996</v>
      </c>
      <c r="AC467">
        <v>6137395.7300000004</v>
      </c>
      <c r="AD467">
        <v>5725551.3099999996</v>
      </c>
      <c r="AE467">
        <v>17566.97</v>
      </c>
      <c r="AF467">
        <v>6386.88</v>
      </c>
      <c r="AG467">
        <f t="shared" si="20"/>
        <v>121496115.26428571</v>
      </c>
    </row>
    <row r="468" spans="1:33" x14ac:dyDescent="0.3">
      <c r="A468" t="s">
        <v>509</v>
      </c>
      <c r="B468" s="1" t="s">
        <v>510</v>
      </c>
      <c r="C468" t="s">
        <v>84</v>
      </c>
      <c r="D468" s="1" t="s">
        <v>85</v>
      </c>
      <c r="E468">
        <v>829900000</v>
      </c>
      <c r="F468">
        <v>896500000</v>
      </c>
      <c r="G468" t="s">
        <v>34</v>
      </c>
      <c r="H468" t="s">
        <v>34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>
        <v>6610840000</v>
      </c>
      <c r="Q468">
        <v>7835250000</v>
      </c>
      <c r="R468">
        <v>7751780000</v>
      </c>
      <c r="S468">
        <v>7931730000</v>
      </c>
      <c r="T468">
        <v>6208300000</v>
      </c>
      <c r="U468">
        <v>8425640000</v>
      </c>
      <c r="V468">
        <v>14218360000</v>
      </c>
      <c r="W468">
        <v>13171790000</v>
      </c>
      <c r="X468">
        <v>15692493473.52</v>
      </c>
      <c r="Y468">
        <v>15819320000</v>
      </c>
      <c r="Z468">
        <v>11776660000</v>
      </c>
      <c r="AA468">
        <v>17866555000</v>
      </c>
      <c r="AB468">
        <v>14790160000</v>
      </c>
      <c r="AC468">
        <v>13978300000</v>
      </c>
      <c r="AD468">
        <v>16459930000</v>
      </c>
      <c r="AE468">
        <v>14149010000</v>
      </c>
      <c r="AF468" t="s">
        <v>34</v>
      </c>
      <c r="AG468">
        <f t="shared" si="20"/>
        <v>10800695470.751112</v>
      </c>
    </row>
    <row r="469" spans="1:33" x14ac:dyDescent="0.3">
      <c r="A469" t="s">
        <v>509</v>
      </c>
      <c r="B469" s="1" t="s">
        <v>510</v>
      </c>
      <c r="C469" t="s">
        <v>86</v>
      </c>
      <c r="D469" s="1" t="s">
        <v>87</v>
      </c>
      <c r="E469" t="s">
        <v>34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>
        <v>21082992104.880001</v>
      </c>
      <c r="U469">
        <v>26653026353.740002</v>
      </c>
      <c r="V469">
        <v>31128936152.75</v>
      </c>
      <c r="W469">
        <v>36978393835.470001</v>
      </c>
      <c r="X469">
        <v>36773041650.120003</v>
      </c>
      <c r="Y469">
        <v>38969359133.269997</v>
      </c>
      <c r="Z469">
        <v>31447614282.119999</v>
      </c>
      <c r="AA469">
        <v>32350158855.549999</v>
      </c>
      <c r="AB469">
        <v>40704096041.889999</v>
      </c>
      <c r="AC469">
        <v>42932793020.129997</v>
      </c>
      <c r="AD469">
        <v>45721898153.309998</v>
      </c>
      <c r="AE469">
        <v>62036126001.379997</v>
      </c>
      <c r="AF469">
        <v>59034275401.480003</v>
      </c>
      <c r="AG469">
        <f t="shared" si="20"/>
        <v>38908670075.853073</v>
      </c>
    </row>
    <row r="470" spans="1:33" x14ac:dyDescent="0.3">
      <c r="A470" t="s">
        <v>509</v>
      </c>
      <c r="B470" s="1" t="s">
        <v>510</v>
      </c>
      <c r="C470" t="s">
        <v>88</v>
      </c>
      <c r="D470" s="1" t="s">
        <v>89</v>
      </c>
      <c r="E470" t="s">
        <v>34</v>
      </c>
      <c r="F470" t="s">
        <v>34</v>
      </c>
      <c r="G470" t="s">
        <v>34</v>
      </c>
      <c r="H470" t="s">
        <v>34</v>
      </c>
      <c r="I470" t="s">
        <v>34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  <c r="Z470" t="s">
        <v>34</v>
      </c>
      <c r="AA470" t="s">
        <v>34</v>
      </c>
      <c r="AB470" t="s">
        <v>34</v>
      </c>
      <c r="AC470" t="s">
        <v>34</v>
      </c>
      <c r="AD470" t="s">
        <v>34</v>
      </c>
      <c r="AE470" t="s">
        <v>34</v>
      </c>
      <c r="AF470" t="s">
        <v>34</v>
      </c>
      <c r="AG470" t="str">
        <f t="shared" si="20"/>
        <v>NA</v>
      </c>
    </row>
    <row r="471" spans="1:33" x14ac:dyDescent="0.3">
      <c r="A471" t="s">
        <v>509</v>
      </c>
      <c r="B471" s="1" t="s">
        <v>510</v>
      </c>
      <c r="C471" t="s">
        <v>90</v>
      </c>
      <c r="D471" s="1" t="s">
        <v>91</v>
      </c>
      <c r="E471" t="s">
        <v>34</v>
      </c>
      <c r="F471" t="s">
        <v>34</v>
      </c>
      <c r="G471" t="s">
        <v>34</v>
      </c>
      <c r="H471" t="s">
        <v>34</v>
      </c>
      <c r="I471" t="s">
        <v>34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  <c r="Z471" t="s">
        <v>34</v>
      </c>
      <c r="AA471" t="s">
        <v>34</v>
      </c>
      <c r="AB471" t="s">
        <v>34</v>
      </c>
      <c r="AC471" t="s">
        <v>34</v>
      </c>
      <c r="AD471" t="s">
        <v>34</v>
      </c>
      <c r="AE471" t="s">
        <v>34</v>
      </c>
      <c r="AF471" t="s">
        <v>34</v>
      </c>
      <c r="AG471" t="str">
        <f t="shared" si="20"/>
        <v>NA</v>
      </c>
    </row>
    <row r="472" spans="1:33" x14ac:dyDescent="0.3">
      <c r="A472" t="s">
        <v>509</v>
      </c>
      <c r="B472" s="1" t="s">
        <v>510</v>
      </c>
      <c r="C472" t="s">
        <v>92</v>
      </c>
      <c r="D472" s="1" t="s">
        <v>93</v>
      </c>
      <c r="E472">
        <v>21426000</v>
      </c>
      <c r="F472">
        <v>38155000</v>
      </c>
      <c r="G472">
        <v>363578000</v>
      </c>
      <c r="H472">
        <v>442985000</v>
      </c>
      <c r="I472">
        <v>265371000</v>
      </c>
      <c r="J472">
        <v>228868000</v>
      </c>
      <c r="K472">
        <v>203126000</v>
      </c>
      <c r="L472">
        <v>198401000</v>
      </c>
      <c r="M472">
        <v>241394000</v>
      </c>
      <c r="N472">
        <v>304442000</v>
      </c>
      <c r="O472">
        <v>385197000</v>
      </c>
      <c r="P472">
        <v>468019000</v>
      </c>
      <c r="Q472">
        <v>2498000</v>
      </c>
      <c r="R472">
        <v>2523000</v>
      </c>
      <c r="S472">
        <v>2697000</v>
      </c>
      <c r="T472">
        <v>3221000</v>
      </c>
      <c r="U472">
        <v>2805000</v>
      </c>
      <c r="V472">
        <v>16424000</v>
      </c>
      <c r="W472">
        <v>11288000</v>
      </c>
      <c r="X472">
        <v>15005000</v>
      </c>
      <c r="Y472">
        <v>15280000</v>
      </c>
      <c r="Z472">
        <v>13733000</v>
      </c>
      <c r="AA472">
        <v>13975000</v>
      </c>
      <c r="AB472">
        <v>15761000</v>
      </c>
      <c r="AC472">
        <v>13308000</v>
      </c>
      <c r="AD472">
        <v>10704000</v>
      </c>
      <c r="AE472">
        <v>19114000</v>
      </c>
      <c r="AF472" t="s">
        <v>34</v>
      </c>
      <c r="AG472">
        <f t="shared" si="20"/>
        <v>122936962.96296297</v>
      </c>
    </row>
    <row r="473" spans="1:33" x14ac:dyDescent="0.3">
      <c r="A473" t="s">
        <v>509</v>
      </c>
      <c r="B473" s="1" t="s">
        <v>510</v>
      </c>
      <c r="C473" t="s">
        <v>94</v>
      </c>
      <c r="D473" s="1" t="s">
        <v>95</v>
      </c>
      <c r="E473" t="s">
        <v>34</v>
      </c>
      <c r="F473" t="s">
        <v>34</v>
      </c>
      <c r="G473" t="s">
        <v>34</v>
      </c>
      <c r="H473" t="s">
        <v>34</v>
      </c>
      <c r="I473" t="s">
        <v>34</v>
      </c>
      <c r="J473" t="s">
        <v>34</v>
      </c>
      <c r="K473" t="s">
        <v>34</v>
      </c>
      <c r="L473">
        <v>44292853884</v>
      </c>
      <c r="M473">
        <v>44832116862</v>
      </c>
      <c r="N473">
        <v>63395622185</v>
      </c>
      <c r="O473">
        <v>62639537332</v>
      </c>
      <c r="P473">
        <v>77640563162</v>
      </c>
      <c r="Q473">
        <v>84572635548</v>
      </c>
      <c r="R473">
        <v>81820979913</v>
      </c>
      <c r="S473">
        <v>89729070288</v>
      </c>
      <c r="T473">
        <v>96759726263</v>
      </c>
      <c r="U473">
        <v>111977000000</v>
      </c>
      <c r="V473">
        <v>148609000000</v>
      </c>
      <c r="W473">
        <v>168626000000</v>
      </c>
      <c r="X473">
        <v>143737936619</v>
      </c>
      <c r="Y473">
        <v>142898409976</v>
      </c>
      <c r="Z473">
        <v>159100000000</v>
      </c>
      <c r="AA473">
        <v>196259315849</v>
      </c>
      <c r="AB473">
        <v>196983463264</v>
      </c>
      <c r="AC473">
        <v>192311519535</v>
      </c>
      <c r="AD473">
        <v>181940644079</v>
      </c>
      <c r="AE473">
        <v>237343196707</v>
      </c>
      <c r="AF473" t="s">
        <v>34</v>
      </c>
      <c r="AG473">
        <f t="shared" si="20"/>
        <v>126273479573.3</v>
      </c>
    </row>
    <row r="474" spans="1:33" x14ac:dyDescent="0.3">
      <c r="A474" t="s">
        <v>509</v>
      </c>
      <c r="B474" s="1" t="s">
        <v>510</v>
      </c>
      <c r="C474" t="s">
        <v>96</v>
      </c>
      <c r="D474" s="1" t="s">
        <v>97</v>
      </c>
      <c r="E474">
        <v>12647000000</v>
      </c>
      <c r="F474">
        <v>7988000000</v>
      </c>
      <c r="G474">
        <v>7229000000</v>
      </c>
      <c r="H474">
        <v>18829290000</v>
      </c>
      <c r="I474">
        <v>14508100000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34</v>
      </c>
      <c r="V474" t="s">
        <v>34</v>
      </c>
      <c r="W474" t="s">
        <v>34</v>
      </c>
      <c r="X474" t="s">
        <v>34</v>
      </c>
      <c r="Y474" t="s">
        <v>34</v>
      </c>
      <c r="Z474" t="s">
        <v>34</v>
      </c>
      <c r="AA474" t="s">
        <v>34</v>
      </c>
      <c r="AB474" t="s">
        <v>34</v>
      </c>
      <c r="AC474" t="s">
        <v>34</v>
      </c>
      <c r="AD474" t="s">
        <v>34</v>
      </c>
      <c r="AE474" t="s">
        <v>34</v>
      </c>
      <c r="AF474" t="s">
        <v>34</v>
      </c>
      <c r="AG474">
        <f t="shared" si="20"/>
        <v>12240278000</v>
      </c>
    </row>
    <row r="475" spans="1:33" x14ac:dyDescent="0.3">
      <c r="A475" t="s">
        <v>509</v>
      </c>
      <c r="B475" s="1" t="s">
        <v>510</v>
      </c>
      <c r="C475" t="s">
        <v>98</v>
      </c>
      <c r="D475" s="1" t="s">
        <v>99</v>
      </c>
      <c r="E475" t="s">
        <v>34</v>
      </c>
      <c r="F475" t="s">
        <v>34</v>
      </c>
      <c r="G475" t="s">
        <v>34</v>
      </c>
      <c r="H475" t="s">
        <v>34</v>
      </c>
      <c r="I475" t="s">
        <v>34</v>
      </c>
      <c r="J475" t="s">
        <v>34</v>
      </c>
      <c r="K475" t="s">
        <v>34</v>
      </c>
      <c r="L475" t="s">
        <v>34</v>
      </c>
      <c r="M475" t="s">
        <v>34</v>
      </c>
      <c r="N475" t="s">
        <v>34</v>
      </c>
      <c r="O475">
        <v>28886098</v>
      </c>
      <c r="P475">
        <v>4888708953</v>
      </c>
      <c r="Q475">
        <v>5376341261</v>
      </c>
      <c r="R475">
        <v>5888183012</v>
      </c>
      <c r="S475">
        <v>5219071334</v>
      </c>
      <c r="T475">
        <v>5388477478</v>
      </c>
      <c r="U475">
        <v>6227687430</v>
      </c>
      <c r="V475">
        <v>5777735520</v>
      </c>
      <c r="W475">
        <v>5699746294</v>
      </c>
      <c r="X475">
        <v>5754437762</v>
      </c>
      <c r="Y475">
        <v>6081559354</v>
      </c>
      <c r="Z475">
        <v>6812687853</v>
      </c>
      <c r="AA475">
        <v>7223627709</v>
      </c>
      <c r="AB475" t="s">
        <v>34</v>
      </c>
      <c r="AC475" t="s">
        <v>34</v>
      </c>
      <c r="AD475" t="s">
        <v>34</v>
      </c>
      <c r="AE475" t="s">
        <v>34</v>
      </c>
      <c r="AF475" t="s">
        <v>34</v>
      </c>
      <c r="AG475">
        <f t="shared" si="20"/>
        <v>5412857696.7692308</v>
      </c>
    </row>
    <row r="476" spans="1:33" x14ac:dyDescent="0.3">
      <c r="A476" t="s">
        <v>509</v>
      </c>
      <c r="B476" s="1" t="s">
        <v>510</v>
      </c>
      <c r="C476" t="s">
        <v>100</v>
      </c>
      <c r="D476" s="1" t="s">
        <v>101</v>
      </c>
      <c r="E476" t="s">
        <v>34</v>
      </c>
      <c r="F476" t="s">
        <v>34</v>
      </c>
      <c r="G476" t="s">
        <v>34</v>
      </c>
      <c r="H476" t="s">
        <v>34</v>
      </c>
      <c r="I476" t="s">
        <v>34</v>
      </c>
      <c r="J476" t="s">
        <v>34</v>
      </c>
      <c r="K476" t="s">
        <v>34</v>
      </c>
      <c r="L476">
        <v>529886050000</v>
      </c>
      <c r="M476">
        <v>540983559551</v>
      </c>
      <c r="N476">
        <v>636744976801</v>
      </c>
      <c r="O476">
        <v>647971047156</v>
      </c>
      <c r="P476">
        <v>732862367732</v>
      </c>
      <c r="Q476">
        <v>1021173000000</v>
      </c>
      <c r="R476">
        <v>1180037103835</v>
      </c>
      <c r="S476">
        <v>1090629154374</v>
      </c>
      <c r="T476">
        <v>1160181508000</v>
      </c>
      <c r="U476">
        <v>1230774027472</v>
      </c>
      <c r="V476">
        <v>1331707600000</v>
      </c>
      <c r="W476">
        <v>1666899400000</v>
      </c>
      <c r="X476">
        <v>2466073080738</v>
      </c>
      <c r="Y476">
        <v>1989077168955</v>
      </c>
      <c r="Z476">
        <v>1988484014833</v>
      </c>
      <c r="AA476">
        <v>1966188070751</v>
      </c>
      <c r="AB476">
        <v>2354608300000</v>
      </c>
      <c r="AC476">
        <v>2897047545255</v>
      </c>
      <c r="AD476">
        <v>2197940297265</v>
      </c>
      <c r="AE476">
        <v>2130729556211</v>
      </c>
      <c r="AF476" t="s">
        <v>34</v>
      </c>
      <c r="AG476">
        <f t="shared" si="20"/>
        <v>1487999891446.45</v>
      </c>
    </row>
    <row r="477" spans="1:33" x14ac:dyDescent="0.3">
      <c r="A477" t="s">
        <v>509</v>
      </c>
      <c r="B477" s="1" t="s">
        <v>510</v>
      </c>
      <c r="C477" t="s">
        <v>102</v>
      </c>
      <c r="D477" s="1" t="s">
        <v>103</v>
      </c>
      <c r="E477">
        <v>147960000000</v>
      </c>
      <c r="F477" t="s">
        <v>34</v>
      </c>
      <c r="G477" t="s">
        <v>34</v>
      </c>
      <c r="H477">
        <v>260020000000</v>
      </c>
      <c r="I477">
        <v>245120000000</v>
      </c>
      <c r="J477" t="s">
        <v>34</v>
      </c>
      <c r="K477" t="s">
        <v>34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34</v>
      </c>
      <c r="V477">
        <v>294105800000</v>
      </c>
      <c r="W477">
        <v>289709000000</v>
      </c>
      <c r="X477">
        <v>356600000000</v>
      </c>
      <c r="Y477">
        <v>338100000000</v>
      </c>
      <c r="Z477">
        <v>348400000000</v>
      </c>
      <c r="AA477">
        <v>398900000000</v>
      </c>
      <c r="AB477">
        <v>405946935951</v>
      </c>
      <c r="AC477">
        <v>393224779451</v>
      </c>
      <c r="AD477">
        <v>349454786832</v>
      </c>
      <c r="AE477">
        <v>398084134634</v>
      </c>
      <c r="AF477" t="s">
        <v>34</v>
      </c>
      <c r="AG477">
        <f t="shared" si="20"/>
        <v>325048110528.30768</v>
      </c>
    </row>
    <row r="478" spans="1:33" x14ac:dyDescent="0.3">
      <c r="A478" t="s">
        <v>509</v>
      </c>
      <c r="B478" s="1" t="s">
        <v>510</v>
      </c>
      <c r="C478" t="s">
        <v>104</v>
      </c>
      <c r="D478" s="1" t="s">
        <v>105</v>
      </c>
      <c r="E478">
        <v>3037000000</v>
      </c>
      <c r="F478">
        <v>2649000000</v>
      </c>
      <c r="G478">
        <v>2715000000</v>
      </c>
      <c r="H478">
        <v>2681000000</v>
      </c>
      <c r="I478">
        <v>2289000000</v>
      </c>
      <c r="J478">
        <v>2441000000</v>
      </c>
      <c r="K478">
        <v>2971000000</v>
      </c>
      <c r="L478">
        <v>3181000000</v>
      </c>
      <c r="M478">
        <v>2981000000</v>
      </c>
      <c r="N478">
        <v>2922000000</v>
      </c>
      <c r="O478">
        <v>3314000000</v>
      </c>
      <c r="P478">
        <v>3517000000</v>
      </c>
      <c r="Q478">
        <v>3794000000</v>
      </c>
      <c r="R478">
        <v>3966000000</v>
      </c>
      <c r="S478">
        <v>3681000000</v>
      </c>
      <c r="T478">
        <v>3436000000</v>
      </c>
      <c r="U478">
        <v>3839000000</v>
      </c>
      <c r="V478">
        <v>4002000000</v>
      </c>
      <c r="W478">
        <v>4181000000</v>
      </c>
      <c r="X478">
        <v>4512000000</v>
      </c>
      <c r="Y478">
        <v>5169000000</v>
      </c>
      <c r="Z478">
        <v>5449000000</v>
      </c>
      <c r="AA478">
        <v>5583000000</v>
      </c>
      <c r="AB478">
        <v>6629000000</v>
      </c>
      <c r="AC478">
        <v>5481000000</v>
      </c>
      <c r="AD478">
        <v>4013000000</v>
      </c>
      <c r="AE478">
        <v>5374000000</v>
      </c>
      <c r="AF478">
        <v>6472000000</v>
      </c>
      <c r="AG478">
        <f t="shared" si="20"/>
        <v>3938535714.2857141</v>
      </c>
    </row>
    <row r="479" spans="1:33" x14ac:dyDescent="0.3">
      <c r="A479" t="s">
        <v>509</v>
      </c>
      <c r="B479" s="1" t="s">
        <v>510</v>
      </c>
      <c r="C479" t="s">
        <v>106</v>
      </c>
      <c r="D479" s="1" t="s">
        <v>107</v>
      </c>
      <c r="E479" t="s">
        <v>34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34</v>
      </c>
      <c r="T479" t="s">
        <v>34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  <c r="Z479" t="s">
        <v>34</v>
      </c>
      <c r="AA479" t="s">
        <v>34</v>
      </c>
      <c r="AB479" t="s">
        <v>34</v>
      </c>
      <c r="AC479" t="s">
        <v>34</v>
      </c>
      <c r="AD479" t="s">
        <v>34</v>
      </c>
      <c r="AE479" t="s">
        <v>34</v>
      </c>
      <c r="AF479" t="s">
        <v>34</v>
      </c>
      <c r="AG479" t="str">
        <f t="shared" si="20"/>
        <v>NA</v>
      </c>
    </row>
    <row r="480" spans="1:33" x14ac:dyDescent="0.3">
      <c r="A480" t="s">
        <v>509</v>
      </c>
      <c r="B480" s="1" t="s">
        <v>510</v>
      </c>
      <c r="C480" t="s">
        <v>108</v>
      </c>
      <c r="D480" s="1" t="s">
        <v>109</v>
      </c>
      <c r="E480" t="s">
        <v>34</v>
      </c>
      <c r="F480" t="s">
        <v>34</v>
      </c>
      <c r="G480" t="s">
        <v>34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>
        <v>13527665590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 t="s">
        <v>34</v>
      </c>
      <c r="W480" t="s">
        <v>34</v>
      </c>
      <c r="X480" t="s">
        <v>34</v>
      </c>
      <c r="Y480" t="s">
        <v>34</v>
      </c>
      <c r="Z480" t="s">
        <v>34</v>
      </c>
      <c r="AA480" t="s">
        <v>34</v>
      </c>
      <c r="AB480" t="s">
        <v>34</v>
      </c>
      <c r="AC480">
        <v>27577564197</v>
      </c>
      <c r="AD480">
        <v>28428318223.5</v>
      </c>
      <c r="AE480">
        <v>31708961037</v>
      </c>
      <c r="AF480" t="s">
        <v>34</v>
      </c>
      <c r="AG480">
        <f t="shared" si="20"/>
        <v>25310627261.875</v>
      </c>
    </row>
    <row r="481" spans="1:33" x14ac:dyDescent="0.3">
      <c r="A481" t="s">
        <v>509</v>
      </c>
      <c r="B481" s="1" t="s">
        <v>510</v>
      </c>
      <c r="C481" t="s">
        <v>110</v>
      </c>
      <c r="D481" s="1" t="s">
        <v>111</v>
      </c>
      <c r="E481" t="s">
        <v>34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 t="s">
        <v>34</v>
      </c>
      <c r="AA481" t="s">
        <v>34</v>
      </c>
      <c r="AB481" t="s">
        <v>34</v>
      </c>
      <c r="AC481" t="s">
        <v>34</v>
      </c>
      <c r="AD481" t="s">
        <v>34</v>
      </c>
      <c r="AE481" t="s">
        <v>34</v>
      </c>
      <c r="AF481" t="s">
        <v>34</v>
      </c>
      <c r="AG481" t="str">
        <f t="shared" si="20"/>
        <v>NA</v>
      </c>
    </row>
    <row r="482" spans="1:33" x14ac:dyDescent="0.3">
      <c r="A482" t="s">
        <v>509</v>
      </c>
      <c r="B482" s="1" t="s">
        <v>510</v>
      </c>
      <c r="C482" t="s">
        <v>112</v>
      </c>
      <c r="D482" s="1" t="s">
        <v>113</v>
      </c>
      <c r="E482" t="s">
        <v>34</v>
      </c>
      <c r="F482" t="s">
        <v>34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  <c r="Z482" t="s">
        <v>34</v>
      </c>
      <c r="AA482" t="s">
        <v>34</v>
      </c>
      <c r="AB482" t="s">
        <v>34</v>
      </c>
      <c r="AC482" t="s">
        <v>34</v>
      </c>
      <c r="AD482" t="s">
        <v>34</v>
      </c>
      <c r="AE482" t="s">
        <v>34</v>
      </c>
      <c r="AF482" t="s">
        <v>34</v>
      </c>
      <c r="AG482" t="str">
        <f t="shared" si="20"/>
        <v>NA</v>
      </c>
    </row>
    <row r="483" spans="1:33" x14ac:dyDescent="0.3">
      <c r="A483" t="s">
        <v>509</v>
      </c>
      <c r="B483" s="1" t="s">
        <v>510</v>
      </c>
      <c r="C483" t="s">
        <v>114</v>
      </c>
      <c r="D483" s="1" t="s">
        <v>115</v>
      </c>
      <c r="E483">
        <v>535550000000</v>
      </c>
      <c r="F483">
        <v>616670000000</v>
      </c>
      <c r="G483">
        <v>615720000000</v>
      </c>
      <c r="H483">
        <v>612820000000</v>
      </c>
      <c r="I483">
        <v>535490000000</v>
      </c>
      <c r="J483">
        <v>548570000000</v>
      </c>
      <c r="K483">
        <v>510240000000</v>
      </c>
      <c r="L483">
        <v>436600000000</v>
      </c>
      <c r="M483">
        <v>317390000000</v>
      </c>
      <c r="N483">
        <v>259950000000</v>
      </c>
      <c r="O483">
        <v>286000000000</v>
      </c>
      <c r="P483">
        <v>314000000000</v>
      </c>
      <c r="Q483">
        <v>300420000000</v>
      </c>
      <c r="R483">
        <v>311517000000</v>
      </c>
      <c r="S483">
        <v>162987000000</v>
      </c>
      <c r="T483">
        <v>269086855000</v>
      </c>
      <c r="U483">
        <v>292935809000</v>
      </c>
      <c r="V483">
        <v>313032000000</v>
      </c>
      <c r="W483">
        <v>302780000000</v>
      </c>
      <c r="X483">
        <v>337138300000</v>
      </c>
      <c r="Y483">
        <v>323485149000</v>
      </c>
      <c r="Z483">
        <v>308052493000</v>
      </c>
      <c r="AA483">
        <v>308006000000</v>
      </c>
      <c r="AB483">
        <v>346014808557.36798</v>
      </c>
      <c r="AC483">
        <v>303265604390</v>
      </c>
      <c r="AD483">
        <v>268175056450</v>
      </c>
      <c r="AE483">
        <v>486577471480</v>
      </c>
      <c r="AF483" t="s">
        <v>34</v>
      </c>
      <c r="AG483">
        <f t="shared" si="20"/>
        <v>378610131365.82843</v>
      </c>
    </row>
    <row r="484" spans="1:33" x14ac:dyDescent="0.3">
      <c r="A484" t="s">
        <v>509</v>
      </c>
      <c r="B484" s="1" t="s">
        <v>510</v>
      </c>
      <c r="C484" t="s">
        <v>116</v>
      </c>
      <c r="D484" s="1" t="s">
        <v>117</v>
      </c>
      <c r="E484" t="s">
        <v>34</v>
      </c>
      <c r="F484" t="s">
        <v>34</v>
      </c>
      <c r="G484" t="s">
        <v>34</v>
      </c>
      <c r="H484" t="s">
        <v>34</v>
      </c>
      <c r="I484" t="s">
        <v>34</v>
      </c>
      <c r="J484" t="s">
        <v>34</v>
      </c>
      <c r="K484" t="s">
        <v>34</v>
      </c>
      <c r="L484" t="s">
        <v>34</v>
      </c>
      <c r="M484" t="s">
        <v>34</v>
      </c>
      <c r="N484" t="s">
        <v>34</v>
      </c>
      <c r="O484">
        <v>-296896790000</v>
      </c>
      <c r="P484">
        <v>115750000000</v>
      </c>
      <c r="Q484">
        <v>145076890000</v>
      </c>
      <c r="R484">
        <v>179010000000</v>
      </c>
      <c r="S484">
        <v>150759765600</v>
      </c>
      <c r="T484">
        <v>205446000000</v>
      </c>
      <c r="U484">
        <v>258888000000</v>
      </c>
      <c r="V484">
        <v>282491000000</v>
      </c>
      <c r="W484">
        <v>267415890000</v>
      </c>
      <c r="X484">
        <v>288863910000</v>
      </c>
      <c r="Y484">
        <v>260781080000</v>
      </c>
      <c r="Z484">
        <v>265177350000</v>
      </c>
      <c r="AA484">
        <v>304824768400</v>
      </c>
      <c r="AB484">
        <v>289756341800</v>
      </c>
      <c r="AC484">
        <v>293939020000</v>
      </c>
      <c r="AD484">
        <v>261797220000</v>
      </c>
      <c r="AE484">
        <v>286186390000</v>
      </c>
      <c r="AF484" t="s">
        <v>34</v>
      </c>
      <c r="AG484">
        <f t="shared" si="20"/>
        <v>209368637400</v>
      </c>
    </row>
    <row r="485" spans="1:33" x14ac:dyDescent="0.3">
      <c r="A485" t="s">
        <v>509</v>
      </c>
      <c r="B485" s="1" t="s">
        <v>510</v>
      </c>
      <c r="C485" t="s">
        <v>118</v>
      </c>
      <c r="D485" s="1" t="s">
        <v>119</v>
      </c>
      <c r="E485" t="s">
        <v>34</v>
      </c>
      <c r="F485" t="s">
        <v>34</v>
      </c>
      <c r="G485" t="s">
        <v>34</v>
      </c>
      <c r="H485">
        <v>1646641000000</v>
      </c>
      <c r="I485">
        <v>1372620988636.97</v>
      </c>
      <c r="J485">
        <v>1744097418324.1499</v>
      </c>
      <c r="K485" t="s">
        <v>34</v>
      </c>
      <c r="L485" t="s">
        <v>34</v>
      </c>
      <c r="M485">
        <v>1967454570829.47</v>
      </c>
      <c r="N485" t="s">
        <v>34</v>
      </c>
      <c r="O485" t="s">
        <v>34</v>
      </c>
      <c r="P485" t="s">
        <v>34</v>
      </c>
      <c r="Q485" t="s">
        <v>34</v>
      </c>
      <c r="R485">
        <v>5591131000000</v>
      </c>
      <c r="S485">
        <v>4667986000000</v>
      </c>
      <c r="T485">
        <v>5600386000000</v>
      </c>
      <c r="U485">
        <v>5271750000000</v>
      </c>
      <c r="V485">
        <v>4428638000000</v>
      </c>
      <c r="W485">
        <v>4336568000000</v>
      </c>
      <c r="X485">
        <v>3963426887797.6802</v>
      </c>
      <c r="Y485">
        <v>4737629721861.5</v>
      </c>
      <c r="Z485">
        <v>4188466586829.21</v>
      </c>
      <c r="AA485">
        <v>4167064471728.3198</v>
      </c>
      <c r="AB485">
        <v>3963900691673.3198</v>
      </c>
      <c r="AC485">
        <v>4328002698106.0698</v>
      </c>
      <c r="AD485">
        <v>3093935734144.3501</v>
      </c>
      <c r="AE485">
        <v>4861838788832.2197</v>
      </c>
      <c r="AF485">
        <v>7005329288886</v>
      </c>
      <c r="AG485">
        <f t="shared" si="20"/>
        <v>4049308834086.8032</v>
      </c>
    </row>
    <row r="486" spans="1:33" x14ac:dyDescent="0.3">
      <c r="A486" t="s">
        <v>509</v>
      </c>
      <c r="B486" s="1" t="s">
        <v>510</v>
      </c>
      <c r="C486" t="s">
        <v>120</v>
      </c>
      <c r="D486" s="1" t="s">
        <v>121</v>
      </c>
      <c r="E486" t="s">
        <v>34</v>
      </c>
      <c r="F486" t="s">
        <v>34</v>
      </c>
      <c r="G486" t="s">
        <v>34</v>
      </c>
      <c r="H486" t="s">
        <v>34</v>
      </c>
      <c r="I486" t="s">
        <v>34</v>
      </c>
      <c r="J486" t="s">
        <v>34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  <c r="Z486" t="s">
        <v>34</v>
      </c>
      <c r="AA486" t="s">
        <v>34</v>
      </c>
      <c r="AB486" t="s">
        <v>34</v>
      </c>
      <c r="AC486" t="s">
        <v>34</v>
      </c>
      <c r="AD486" t="s">
        <v>34</v>
      </c>
      <c r="AE486" t="s">
        <v>34</v>
      </c>
      <c r="AF486" t="s">
        <v>34</v>
      </c>
      <c r="AG486" t="str">
        <f t="shared" si="20"/>
        <v>NA</v>
      </c>
    </row>
    <row r="487" spans="1:33" x14ac:dyDescent="0.3">
      <c r="A487" t="s">
        <v>509</v>
      </c>
      <c r="B487" s="1" t="s">
        <v>510</v>
      </c>
      <c r="C487" t="s">
        <v>122</v>
      </c>
      <c r="D487" s="1" t="s">
        <v>123</v>
      </c>
      <c r="E487" t="s">
        <v>34</v>
      </c>
      <c r="F487" t="s">
        <v>34</v>
      </c>
      <c r="G487" t="s">
        <v>34</v>
      </c>
      <c r="H487" t="s">
        <v>34</v>
      </c>
      <c r="I487" t="s">
        <v>34</v>
      </c>
      <c r="J487" t="s">
        <v>34</v>
      </c>
      <c r="K487" t="s">
        <v>34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 t="s">
        <v>34</v>
      </c>
      <c r="AA487" t="s">
        <v>34</v>
      </c>
      <c r="AB487" t="s">
        <v>34</v>
      </c>
      <c r="AC487" t="s">
        <v>34</v>
      </c>
      <c r="AD487" t="s">
        <v>34</v>
      </c>
      <c r="AE487" t="s">
        <v>34</v>
      </c>
      <c r="AF487" t="s">
        <v>34</v>
      </c>
      <c r="AG487" t="str">
        <f t="shared" si="20"/>
        <v>NA</v>
      </c>
    </row>
    <row r="488" spans="1:33" x14ac:dyDescent="0.3">
      <c r="A488" t="s">
        <v>509</v>
      </c>
      <c r="B488" s="1" t="s">
        <v>510</v>
      </c>
      <c r="C488" t="s">
        <v>124</v>
      </c>
      <c r="D488" s="1" t="s">
        <v>125</v>
      </c>
      <c r="E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>
        <v>43300000000</v>
      </c>
      <c r="L488">
        <v>36100000000</v>
      </c>
      <c r="M488">
        <v>43300000000</v>
      </c>
      <c r="N488">
        <v>38992869579</v>
      </c>
      <c r="O488">
        <v>34817970444</v>
      </c>
      <c r="P488">
        <v>44900000000</v>
      </c>
      <c r="Q488">
        <v>44148000000</v>
      </c>
      <c r="R488">
        <v>52901000000</v>
      </c>
      <c r="S488">
        <v>61427719599</v>
      </c>
      <c r="T488">
        <v>72105219184</v>
      </c>
      <c r="U488">
        <v>91939207712</v>
      </c>
      <c r="V488">
        <v>108530559489</v>
      </c>
      <c r="W488">
        <v>142302756473</v>
      </c>
      <c r="X488">
        <v>150269624060</v>
      </c>
      <c r="Y488">
        <v>143546300000</v>
      </c>
      <c r="Z488">
        <v>121781300000</v>
      </c>
      <c r="AA488">
        <v>105055283139</v>
      </c>
      <c r="AB488">
        <v>93101592891</v>
      </c>
      <c r="AC488">
        <v>101217169846</v>
      </c>
      <c r="AD488">
        <v>101595626288</v>
      </c>
      <c r="AE488" t="s">
        <v>34</v>
      </c>
      <c r="AF488" t="s">
        <v>34</v>
      </c>
      <c r="AG488">
        <f t="shared" si="20"/>
        <v>81566609935.199997</v>
      </c>
    </row>
    <row r="489" spans="1:33" x14ac:dyDescent="0.3">
      <c r="A489" t="s">
        <v>509</v>
      </c>
      <c r="B489" s="1" t="s">
        <v>510</v>
      </c>
      <c r="C489" t="s">
        <v>126</v>
      </c>
      <c r="D489" s="1" t="s">
        <v>127</v>
      </c>
      <c r="E489">
        <v>63650000000</v>
      </c>
      <c r="F489">
        <v>42200000000</v>
      </c>
      <c r="G489">
        <v>55910000000</v>
      </c>
      <c r="H489">
        <v>62850000000</v>
      </c>
      <c r="I489">
        <v>51660000000</v>
      </c>
      <c r="J489">
        <v>49900000000</v>
      </c>
      <c r="K489">
        <v>55200000000</v>
      </c>
      <c r="L489">
        <v>60200000000</v>
      </c>
      <c r="M489">
        <v>71700000000</v>
      </c>
      <c r="N489">
        <v>92338000000</v>
      </c>
      <c r="O489">
        <v>111127000000</v>
      </c>
      <c r="P489">
        <v>136226729982.82001</v>
      </c>
      <c r="Q489">
        <v>170532095040.98999</v>
      </c>
      <c r="R489">
        <v>201564744351.89999</v>
      </c>
      <c r="S489">
        <v>166500436471.44</v>
      </c>
      <c r="T489">
        <v>186977330806.38</v>
      </c>
      <c r="U489">
        <v>250252533867.17999</v>
      </c>
      <c r="V489">
        <v>271079865004.76001</v>
      </c>
      <c r="W489">
        <v>304776000000</v>
      </c>
      <c r="X489">
        <v>337385685748.15002</v>
      </c>
      <c r="Y489">
        <v>377824242580.89001</v>
      </c>
      <c r="Z489">
        <v>445239317038.92999</v>
      </c>
      <c r="AA489">
        <v>460147646125.38</v>
      </c>
      <c r="AB489">
        <v>472304277202.98999</v>
      </c>
      <c r="AC489">
        <v>479669273220.53003</v>
      </c>
      <c r="AD489">
        <v>367646357362.21997</v>
      </c>
      <c r="AE489">
        <v>455176259319.65002</v>
      </c>
      <c r="AF489" t="s">
        <v>34</v>
      </c>
      <c r="AG489">
        <f t="shared" si="20"/>
        <v>214816214597.19296</v>
      </c>
    </row>
    <row r="490" spans="1:33" x14ac:dyDescent="0.3">
      <c r="A490" t="s">
        <v>509</v>
      </c>
      <c r="B490" s="1" t="s">
        <v>510</v>
      </c>
      <c r="C490" t="s">
        <v>128</v>
      </c>
      <c r="D490" s="1" t="s">
        <v>129</v>
      </c>
      <c r="E490">
        <v>664000000000</v>
      </c>
      <c r="F490" t="s">
        <v>34</v>
      </c>
      <c r="G490" t="s">
        <v>34</v>
      </c>
      <c r="H490" t="s">
        <v>34</v>
      </c>
      <c r="I490" t="s">
        <v>34</v>
      </c>
      <c r="J490" t="s">
        <v>34</v>
      </c>
      <c r="K490">
        <v>552000000000</v>
      </c>
      <c r="L490">
        <v>632300000000</v>
      </c>
      <c r="M490">
        <v>644200000000</v>
      </c>
      <c r="N490">
        <v>694300000000</v>
      </c>
      <c r="O490">
        <v>637100000000</v>
      </c>
      <c r="P490">
        <v>704400000000</v>
      </c>
      <c r="Q490">
        <v>735900000000</v>
      </c>
      <c r="R490">
        <v>763300000000</v>
      </c>
      <c r="S490">
        <v>747000000000</v>
      </c>
      <c r="T490">
        <v>889600000000</v>
      </c>
      <c r="U490">
        <v>626800000000</v>
      </c>
      <c r="V490">
        <v>911400000000</v>
      </c>
      <c r="W490">
        <v>1065640000000</v>
      </c>
      <c r="X490">
        <v>1186016103514.3</v>
      </c>
      <c r="Y490">
        <v>924761875610</v>
      </c>
      <c r="Z490">
        <v>982538642156</v>
      </c>
      <c r="AA490">
        <v>1087429791830.26</v>
      </c>
      <c r="AB490">
        <v>1017538852303.3101</v>
      </c>
      <c r="AC490">
        <v>1132807103880.46</v>
      </c>
      <c r="AD490">
        <v>1045911365340.15</v>
      </c>
      <c r="AE490">
        <v>1266897932209.72</v>
      </c>
      <c r="AF490" t="s">
        <v>34</v>
      </c>
      <c r="AG490">
        <f t="shared" si="20"/>
        <v>859629166674.73633</v>
      </c>
    </row>
    <row r="491" spans="1:33" x14ac:dyDescent="0.3">
      <c r="A491" t="s">
        <v>509</v>
      </c>
      <c r="B491" s="1" t="s">
        <v>510</v>
      </c>
      <c r="C491" t="s">
        <v>130</v>
      </c>
      <c r="D491" s="1" t="s">
        <v>131</v>
      </c>
      <c r="E491">
        <v>520376000</v>
      </c>
      <c r="F491">
        <v>523251000</v>
      </c>
      <c r="G491">
        <v>615833000</v>
      </c>
      <c r="H491">
        <v>547816000</v>
      </c>
      <c r="I491">
        <v>569101000</v>
      </c>
      <c r="J491">
        <v>503721000</v>
      </c>
      <c r="K491">
        <v>426758000</v>
      </c>
      <c r="L491">
        <v>272164000</v>
      </c>
      <c r="M491">
        <v>240343000</v>
      </c>
      <c r="N491">
        <v>211126000</v>
      </c>
      <c r="O491">
        <v>207436000</v>
      </c>
      <c r="P491">
        <v>210824000</v>
      </c>
      <c r="Q491">
        <v>217862000</v>
      </c>
      <c r="R491">
        <v>252288000</v>
      </c>
      <c r="S491">
        <v>228438000</v>
      </c>
      <c r="T491">
        <v>218256000</v>
      </c>
      <c r="U491">
        <v>234436000</v>
      </c>
      <c r="V491">
        <v>232844000</v>
      </c>
      <c r="W491">
        <v>136212000</v>
      </c>
      <c r="X491">
        <v>31000</v>
      </c>
      <c r="Y491">
        <v>16000</v>
      </c>
      <c r="Z491">
        <v>37000</v>
      </c>
      <c r="AA491">
        <v>9000</v>
      </c>
      <c r="AB491" t="s">
        <v>34</v>
      </c>
      <c r="AC491" t="s">
        <v>34</v>
      </c>
      <c r="AD491">
        <v>61000</v>
      </c>
      <c r="AE491" t="s">
        <v>34</v>
      </c>
      <c r="AF491" t="s">
        <v>34</v>
      </c>
      <c r="AG491">
        <f t="shared" si="20"/>
        <v>265384958.33333334</v>
      </c>
    </row>
    <row r="492" spans="1:33" x14ac:dyDescent="0.3">
      <c r="A492" t="s">
        <v>509</v>
      </c>
      <c r="B492" s="1" t="s">
        <v>510</v>
      </c>
      <c r="C492" t="s">
        <v>132</v>
      </c>
      <c r="D492" s="1" t="s">
        <v>133</v>
      </c>
      <c r="E492" t="s">
        <v>34</v>
      </c>
      <c r="F492" t="s">
        <v>34</v>
      </c>
      <c r="G492" t="s">
        <v>34</v>
      </c>
      <c r="H492" t="s">
        <v>34</v>
      </c>
      <c r="I492" t="s">
        <v>34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34</v>
      </c>
      <c r="V492" t="s">
        <v>34</v>
      </c>
      <c r="W492" t="s">
        <v>34</v>
      </c>
      <c r="X492" t="s">
        <v>34</v>
      </c>
      <c r="Y492" t="s">
        <v>34</v>
      </c>
      <c r="Z492" t="s">
        <v>34</v>
      </c>
      <c r="AA492" t="s">
        <v>34</v>
      </c>
      <c r="AB492" t="s">
        <v>34</v>
      </c>
      <c r="AC492" t="s">
        <v>34</v>
      </c>
      <c r="AD492" t="s">
        <v>34</v>
      </c>
      <c r="AE492" t="s">
        <v>34</v>
      </c>
      <c r="AF492" t="s">
        <v>34</v>
      </c>
      <c r="AG492" t="str">
        <f t="shared" si="20"/>
        <v>NA</v>
      </c>
    </row>
    <row r="493" spans="1:33" x14ac:dyDescent="0.3">
      <c r="A493" t="s">
        <v>509</v>
      </c>
      <c r="B493" s="1" t="s">
        <v>510</v>
      </c>
      <c r="C493" t="s">
        <v>134</v>
      </c>
      <c r="D493" s="1" t="s">
        <v>135</v>
      </c>
      <c r="E493" t="s">
        <v>34</v>
      </c>
      <c r="F493" t="s">
        <v>34</v>
      </c>
      <c r="G493" t="s">
        <v>34</v>
      </c>
      <c r="H493" t="s">
        <v>34</v>
      </c>
      <c r="I493" t="s">
        <v>34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  <c r="Z493" t="s">
        <v>34</v>
      </c>
      <c r="AA493" t="s">
        <v>34</v>
      </c>
      <c r="AB493" t="s">
        <v>34</v>
      </c>
      <c r="AC493" t="s">
        <v>34</v>
      </c>
      <c r="AD493" t="s">
        <v>34</v>
      </c>
      <c r="AE493" t="s">
        <v>34</v>
      </c>
      <c r="AF493" t="s">
        <v>34</v>
      </c>
      <c r="AG493" t="str">
        <f t="shared" si="20"/>
        <v>NA</v>
      </c>
    </row>
    <row r="494" spans="1:33" x14ac:dyDescent="0.3">
      <c r="A494" t="s">
        <v>509</v>
      </c>
      <c r="B494" s="1" t="s">
        <v>510</v>
      </c>
      <c r="C494" t="s">
        <v>136</v>
      </c>
      <c r="D494" s="1" t="s">
        <v>137</v>
      </c>
      <c r="E494">
        <v>294904608.781528</v>
      </c>
      <c r="F494">
        <v>279014615.37672955</v>
      </c>
      <c r="G494">
        <v>228610872.85613236</v>
      </c>
      <c r="H494">
        <v>170860144.13761762</v>
      </c>
      <c r="I494">
        <v>175473368.02933329</v>
      </c>
      <c r="J494">
        <v>204007012.10031542</v>
      </c>
      <c r="K494">
        <v>223314208.3878662</v>
      </c>
      <c r="L494">
        <v>220751306.22580194</v>
      </c>
      <c r="M494">
        <v>193584543.30792075</v>
      </c>
      <c r="N494">
        <v>73982442.41158843</v>
      </c>
      <c r="O494">
        <v>2562902.1620642641</v>
      </c>
      <c r="P494">
        <v>2562902.1620642641</v>
      </c>
      <c r="Q494">
        <v>512580.43241285282</v>
      </c>
      <c r="R494">
        <v>1879461.5855137936</v>
      </c>
      <c r="S494">
        <v>700000</v>
      </c>
      <c r="T494">
        <v>1200000</v>
      </c>
      <c r="U494">
        <v>1900000</v>
      </c>
      <c r="V494">
        <v>1400000</v>
      </c>
      <c r="W494">
        <v>2400000</v>
      </c>
      <c r="X494">
        <v>100000</v>
      </c>
      <c r="Y494">
        <v>3900000</v>
      </c>
      <c r="Z494">
        <v>-1300000</v>
      </c>
      <c r="AA494">
        <v>4800000</v>
      </c>
      <c r="AB494">
        <v>4500000</v>
      </c>
      <c r="AC494">
        <v>14900000</v>
      </c>
      <c r="AD494" t="s">
        <v>34</v>
      </c>
      <c r="AE494">
        <v>15200000</v>
      </c>
      <c r="AF494" t="s">
        <v>34</v>
      </c>
      <c r="AG494">
        <f t="shared" si="20"/>
        <v>81604652.613726482</v>
      </c>
    </row>
    <row r="495" spans="1:33" x14ac:dyDescent="0.3">
      <c r="A495" t="s">
        <v>509</v>
      </c>
      <c r="B495" s="1" t="s">
        <v>510</v>
      </c>
      <c r="C495" t="s">
        <v>138</v>
      </c>
      <c r="D495" s="1" t="s">
        <v>139</v>
      </c>
      <c r="E495">
        <v>17413000000</v>
      </c>
      <c r="F495">
        <v>19608000000</v>
      </c>
      <c r="G495">
        <v>15070000000</v>
      </c>
      <c r="H495">
        <v>13528000000</v>
      </c>
      <c r="I495">
        <v>12107000000</v>
      </c>
      <c r="J495">
        <v>13572000000</v>
      </c>
      <c r="K495">
        <v>10030000000</v>
      </c>
      <c r="L495">
        <v>9602000000</v>
      </c>
      <c r="M495">
        <v>10381000000</v>
      </c>
      <c r="N495">
        <v>3888000000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34</v>
      </c>
      <c r="V495" t="s">
        <v>34</v>
      </c>
      <c r="W495" t="s">
        <v>34</v>
      </c>
      <c r="X495" t="s">
        <v>34</v>
      </c>
      <c r="Y495" t="s">
        <v>34</v>
      </c>
      <c r="Z495" t="s">
        <v>34</v>
      </c>
      <c r="AA495" t="s">
        <v>34</v>
      </c>
      <c r="AB495" t="s">
        <v>34</v>
      </c>
      <c r="AC495" t="s">
        <v>34</v>
      </c>
      <c r="AD495" t="s">
        <v>34</v>
      </c>
      <c r="AE495" t="s">
        <v>34</v>
      </c>
      <c r="AF495" t="s">
        <v>34</v>
      </c>
      <c r="AG495">
        <f t="shared" si="20"/>
        <v>12519900000</v>
      </c>
    </row>
    <row r="496" spans="1:33" x14ac:dyDescent="0.3">
      <c r="A496" t="s">
        <v>509</v>
      </c>
      <c r="B496" s="1" t="s">
        <v>510</v>
      </c>
      <c r="C496" t="s">
        <v>140</v>
      </c>
      <c r="D496" s="1" t="s">
        <v>141</v>
      </c>
      <c r="E496" t="s">
        <v>34</v>
      </c>
      <c r="F496" t="s">
        <v>34</v>
      </c>
      <c r="G496" t="s">
        <v>34</v>
      </c>
      <c r="H496" t="s">
        <v>34</v>
      </c>
      <c r="I496" t="s">
        <v>34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34</v>
      </c>
      <c r="V496">
        <v>192000000</v>
      </c>
      <c r="W496">
        <v>196000000</v>
      </c>
      <c r="X496">
        <v>271000000</v>
      </c>
      <c r="Y496">
        <v>313000000</v>
      </c>
      <c r="Z496">
        <v>359000000</v>
      </c>
      <c r="AA496">
        <v>345000000</v>
      </c>
      <c r="AB496">
        <v>414000000</v>
      </c>
      <c r="AC496">
        <v>536000000</v>
      </c>
      <c r="AD496">
        <v>449000000</v>
      </c>
      <c r="AE496">
        <v>465000000</v>
      </c>
      <c r="AF496" t="s">
        <v>34</v>
      </c>
      <c r="AG496">
        <f t="shared" si="20"/>
        <v>354000000</v>
      </c>
    </row>
    <row r="497" spans="1:33" x14ac:dyDescent="0.3">
      <c r="A497" t="s">
        <v>509</v>
      </c>
      <c r="B497" s="1" t="s">
        <v>510</v>
      </c>
      <c r="C497" t="s">
        <v>142</v>
      </c>
      <c r="D497" s="1" t="s">
        <v>143</v>
      </c>
      <c r="E497" t="s">
        <v>34</v>
      </c>
      <c r="F497" t="s">
        <v>34</v>
      </c>
      <c r="G497" t="s">
        <v>34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 t="s">
        <v>34</v>
      </c>
      <c r="AA497" t="s">
        <v>34</v>
      </c>
      <c r="AB497" t="s">
        <v>34</v>
      </c>
      <c r="AC497" t="s">
        <v>34</v>
      </c>
      <c r="AD497" t="s">
        <v>34</v>
      </c>
      <c r="AE497" t="s">
        <v>34</v>
      </c>
      <c r="AF497" t="s">
        <v>34</v>
      </c>
      <c r="AG497" t="str">
        <f t="shared" si="20"/>
        <v>NA</v>
      </c>
    </row>
    <row r="498" spans="1:33" x14ac:dyDescent="0.3">
      <c r="A498" t="s">
        <v>509</v>
      </c>
      <c r="B498" s="1" t="s">
        <v>510</v>
      </c>
      <c r="C498" t="s">
        <v>144</v>
      </c>
      <c r="D498" s="1" t="s">
        <v>145</v>
      </c>
      <c r="E498" t="s">
        <v>34</v>
      </c>
      <c r="F498" t="s">
        <v>34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34</v>
      </c>
      <c r="V498" t="s">
        <v>34</v>
      </c>
      <c r="W498" t="s">
        <v>34</v>
      </c>
      <c r="X498" t="s">
        <v>34</v>
      </c>
      <c r="Y498" t="s">
        <v>34</v>
      </c>
      <c r="Z498" t="s">
        <v>34</v>
      </c>
      <c r="AA498" t="s">
        <v>34</v>
      </c>
      <c r="AB498" t="s">
        <v>34</v>
      </c>
      <c r="AC498" t="s">
        <v>34</v>
      </c>
      <c r="AD498" t="s">
        <v>34</v>
      </c>
      <c r="AE498" t="s">
        <v>34</v>
      </c>
      <c r="AF498" t="s">
        <v>34</v>
      </c>
      <c r="AG498" t="str">
        <f t="shared" si="20"/>
        <v>NA</v>
      </c>
    </row>
    <row r="499" spans="1:33" x14ac:dyDescent="0.3">
      <c r="A499" t="s">
        <v>509</v>
      </c>
      <c r="B499" s="1" t="s">
        <v>510</v>
      </c>
      <c r="C499" t="s">
        <v>146</v>
      </c>
      <c r="D499" s="1" t="s">
        <v>147</v>
      </c>
      <c r="E499">
        <v>9521900000</v>
      </c>
      <c r="F499">
        <v>10183200000</v>
      </c>
      <c r="G499">
        <v>13126600000</v>
      </c>
      <c r="H499">
        <v>15008000000</v>
      </c>
      <c r="I499">
        <v>17968400000</v>
      </c>
      <c r="J499">
        <v>23216400000</v>
      </c>
      <c r="K499">
        <v>19553408437.220001</v>
      </c>
      <c r="L499">
        <v>22194066394.290001</v>
      </c>
      <c r="M499">
        <v>17573023072.4599</v>
      </c>
      <c r="N499">
        <v>37226162551.819298</v>
      </c>
      <c r="O499">
        <v>37800129001.5625</v>
      </c>
      <c r="P499">
        <v>26839246287.709999</v>
      </c>
      <c r="Q499">
        <v>23303760528.743</v>
      </c>
      <c r="R499">
        <v>24829855661.59</v>
      </c>
      <c r="S499">
        <v>21942405231.27</v>
      </c>
      <c r="T499">
        <v>23408352368.380001</v>
      </c>
      <c r="U499">
        <v>23003270629.849998</v>
      </c>
      <c r="V499">
        <v>23444139443</v>
      </c>
      <c r="W499">
        <v>23795495561.450001</v>
      </c>
      <c r="X499">
        <v>26562847396.389999</v>
      </c>
      <c r="Y499">
        <v>31187891280.709999</v>
      </c>
      <c r="Z499">
        <v>33551085492.1721</v>
      </c>
      <c r="AA499">
        <v>35422277905.080002</v>
      </c>
      <c r="AB499">
        <v>39323368721.980003</v>
      </c>
      <c r="AC499">
        <v>39991059241.970001</v>
      </c>
      <c r="AD499">
        <v>32640115233.610001</v>
      </c>
      <c r="AE499">
        <v>48777129173.589996</v>
      </c>
      <c r="AF499" t="s">
        <v>34</v>
      </c>
      <c r="AG499">
        <f t="shared" si="20"/>
        <v>25977540356.105438</v>
      </c>
    </row>
    <row r="500" spans="1:33" x14ac:dyDescent="0.3">
      <c r="A500" t="s">
        <v>509</v>
      </c>
      <c r="B500" s="1" t="s">
        <v>510</v>
      </c>
      <c r="C500" t="s">
        <v>148</v>
      </c>
      <c r="D500" s="1" t="s">
        <v>149</v>
      </c>
      <c r="E500" t="s">
        <v>34</v>
      </c>
      <c r="F500" t="s">
        <v>34</v>
      </c>
      <c r="G500" t="s">
        <v>34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34</v>
      </c>
      <c r="V500" t="s">
        <v>34</v>
      </c>
      <c r="W500">
        <v>2596209335.55234</v>
      </c>
      <c r="X500">
        <v>2680071755.8211298</v>
      </c>
      <c r="Y500">
        <v>3255667161.1999998</v>
      </c>
      <c r="Z500">
        <v>2642673101.9200001</v>
      </c>
      <c r="AA500">
        <v>2607501132.9384999</v>
      </c>
      <c r="AB500">
        <v>2624332614.8150001</v>
      </c>
      <c r="AC500">
        <v>2399554844.1294999</v>
      </c>
      <c r="AD500">
        <v>1787675529.9005001</v>
      </c>
      <c r="AE500">
        <v>2240367829.5995698</v>
      </c>
      <c r="AF500">
        <v>2302712251.0500002</v>
      </c>
      <c r="AG500">
        <f t="shared" si="20"/>
        <v>2513676555.6926541</v>
      </c>
    </row>
    <row r="501" spans="1:33" x14ac:dyDescent="0.3">
      <c r="A501" t="s">
        <v>509</v>
      </c>
      <c r="B501" s="1" t="s">
        <v>510</v>
      </c>
      <c r="C501" t="s">
        <v>150</v>
      </c>
      <c r="D501" s="1" t="s">
        <v>151</v>
      </c>
      <c r="E501">
        <v>7352000000</v>
      </c>
      <c r="F501">
        <v>8255000000</v>
      </c>
      <c r="G501">
        <v>8460000000</v>
      </c>
      <c r="H501" t="s">
        <v>34</v>
      </c>
      <c r="I501" t="s">
        <v>34</v>
      </c>
      <c r="J501" t="s">
        <v>34</v>
      </c>
      <c r="K501" t="s">
        <v>34</v>
      </c>
      <c r="L501">
        <v>7296000000</v>
      </c>
      <c r="M501">
        <v>8232000000</v>
      </c>
      <c r="N501">
        <v>9234000000</v>
      </c>
      <c r="O501">
        <v>7745000000</v>
      </c>
      <c r="P501">
        <v>9653600000</v>
      </c>
      <c r="Q501">
        <v>10369500000</v>
      </c>
      <c r="R501">
        <v>14021000000</v>
      </c>
      <c r="S501">
        <v>14091000000</v>
      </c>
      <c r="T501">
        <v>14702600000</v>
      </c>
      <c r="U501">
        <v>13857900000</v>
      </c>
      <c r="V501">
        <v>14788000000</v>
      </c>
      <c r="W501">
        <v>16771000000</v>
      </c>
      <c r="X501">
        <v>17673000000</v>
      </c>
      <c r="Y501">
        <v>21867000000</v>
      </c>
      <c r="Z501" t="s">
        <v>34</v>
      </c>
      <c r="AA501" t="s">
        <v>34</v>
      </c>
      <c r="AB501" t="s">
        <v>34</v>
      </c>
      <c r="AC501" t="s">
        <v>34</v>
      </c>
      <c r="AD501" t="s">
        <v>34</v>
      </c>
      <c r="AE501" t="s">
        <v>34</v>
      </c>
      <c r="AF501" t="s">
        <v>34</v>
      </c>
      <c r="AG501">
        <f t="shared" si="20"/>
        <v>12021682352.941177</v>
      </c>
    </row>
    <row r="502" spans="1:33" x14ac:dyDescent="0.3">
      <c r="A502" t="s">
        <v>509</v>
      </c>
      <c r="B502" s="1" t="s">
        <v>510</v>
      </c>
      <c r="C502" t="s">
        <v>152</v>
      </c>
      <c r="D502" s="1" t="s">
        <v>153</v>
      </c>
      <c r="E502" t="s">
        <v>34</v>
      </c>
      <c r="F502" t="s">
        <v>34</v>
      </c>
      <c r="G502" t="s">
        <v>34</v>
      </c>
      <c r="H502">
        <v>126880000</v>
      </c>
      <c r="I502">
        <v>131530000</v>
      </c>
      <c r="J502">
        <v>123040000</v>
      </c>
      <c r="K502">
        <v>148800000</v>
      </c>
      <c r="L502">
        <v>154800000</v>
      </c>
      <c r="M502">
        <v>180100000</v>
      </c>
      <c r="N502">
        <v>174400000</v>
      </c>
      <c r="O502">
        <v>180900000</v>
      </c>
      <c r="P502">
        <v>199700000</v>
      </c>
      <c r="Q502">
        <v>203800000</v>
      </c>
      <c r="R502">
        <v>178800000</v>
      </c>
      <c r="S502">
        <v>184500000</v>
      </c>
      <c r="T502">
        <v>195800000</v>
      </c>
      <c r="U502">
        <v>215200000</v>
      </c>
      <c r="V502">
        <v>215000000</v>
      </c>
      <c r="W502">
        <v>232200000</v>
      </c>
      <c r="X502">
        <v>202359511.08000001</v>
      </c>
      <c r="Y502">
        <v>194209326.46000001</v>
      </c>
      <c r="Z502">
        <v>206461047.41</v>
      </c>
      <c r="AA502">
        <v>210781511.75999999</v>
      </c>
      <c r="AB502">
        <v>227400000</v>
      </c>
      <c r="AC502">
        <v>232100000</v>
      </c>
      <c r="AD502">
        <v>186800000</v>
      </c>
      <c r="AE502">
        <v>291200000</v>
      </c>
      <c r="AF502" t="s">
        <v>34</v>
      </c>
      <c r="AG502">
        <f t="shared" si="20"/>
        <v>191531724.86291668</v>
      </c>
    </row>
    <row r="503" spans="1:33" x14ac:dyDescent="0.3">
      <c r="A503" t="s">
        <v>509</v>
      </c>
      <c r="B503" s="1" t="s">
        <v>510</v>
      </c>
      <c r="C503" t="s">
        <v>154</v>
      </c>
      <c r="D503" s="1" t="s">
        <v>155</v>
      </c>
      <c r="E503" t="s">
        <v>34</v>
      </c>
      <c r="F503" t="s">
        <v>34</v>
      </c>
      <c r="G503" t="s">
        <v>34</v>
      </c>
      <c r="H503" t="s">
        <v>34</v>
      </c>
      <c r="I503" t="s">
        <v>34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>
        <v>10215000000</v>
      </c>
      <c r="Q503">
        <v>12775000000</v>
      </c>
      <c r="R503">
        <v>7286000000</v>
      </c>
      <c r="S503">
        <v>10062000000</v>
      </c>
      <c r="T503">
        <v>12245000000</v>
      </c>
      <c r="U503">
        <v>13879179375</v>
      </c>
      <c r="V503">
        <v>14829638349</v>
      </c>
      <c r="W503">
        <v>33699259980</v>
      </c>
      <c r="X503">
        <v>35976730055.792</v>
      </c>
      <c r="Y503">
        <v>17630848266</v>
      </c>
      <c r="Z503">
        <v>20709821203</v>
      </c>
      <c r="AA503">
        <v>20366425071</v>
      </c>
      <c r="AB503">
        <v>19363430146</v>
      </c>
      <c r="AC503">
        <v>19931475683</v>
      </c>
      <c r="AD503">
        <v>11923597140</v>
      </c>
      <c r="AE503">
        <v>13159972030</v>
      </c>
      <c r="AF503" t="s">
        <v>34</v>
      </c>
      <c r="AG503">
        <f t="shared" si="20"/>
        <v>17128336081.1745</v>
      </c>
    </row>
    <row r="504" spans="1:33" x14ac:dyDescent="0.3">
      <c r="A504" t="s">
        <v>509</v>
      </c>
      <c r="B504" s="1" t="s">
        <v>510</v>
      </c>
      <c r="C504" t="s">
        <v>156</v>
      </c>
      <c r="D504" s="1" t="s">
        <v>157</v>
      </c>
      <c r="E504" t="s">
        <v>34</v>
      </c>
      <c r="F504" t="s">
        <v>34</v>
      </c>
      <c r="G504" t="s">
        <v>34</v>
      </c>
      <c r="H504" t="s">
        <v>34</v>
      </c>
      <c r="I504" t="s">
        <v>34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  <c r="Z504" t="s">
        <v>34</v>
      </c>
      <c r="AA504" t="s">
        <v>34</v>
      </c>
      <c r="AB504" t="s">
        <v>34</v>
      </c>
      <c r="AC504" t="s">
        <v>34</v>
      </c>
      <c r="AD504" t="s">
        <v>34</v>
      </c>
      <c r="AE504" t="s">
        <v>34</v>
      </c>
      <c r="AF504" t="s">
        <v>34</v>
      </c>
      <c r="AG504" t="str">
        <f t="shared" si="20"/>
        <v>NA</v>
      </c>
    </row>
    <row r="505" spans="1:33" x14ac:dyDescent="0.3">
      <c r="A505" t="s">
        <v>509</v>
      </c>
      <c r="B505" s="1" t="s">
        <v>510</v>
      </c>
      <c r="C505" t="s">
        <v>158</v>
      </c>
      <c r="D505" s="1" t="s">
        <v>159</v>
      </c>
      <c r="E505">
        <v>500000</v>
      </c>
      <c r="F505">
        <v>30000</v>
      </c>
      <c r="G505">
        <v>50000</v>
      </c>
      <c r="H505">
        <v>10000</v>
      </c>
      <c r="I505" t="s">
        <v>34</v>
      </c>
      <c r="J505">
        <v>2260000</v>
      </c>
      <c r="K505">
        <v>2560000</v>
      </c>
      <c r="L505">
        <v>2450000</v>
      </c>
      <c r="M505">
        <v>3410000</v>
      </c>
      <c r="N505">
        <v>780000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34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  <c r="Z505" t="s">
        <v>34</v>
      </c>
      <c r="AA505" t="s">
        <v>34</v>
      </c>
      <c r="AB505" t="s">
        <v>34</v>
      </c>
      <c r="AC505" t="s">
        <v>34</v>
      </c>
      <c r="AD505" t="s">
        <v>34</v>
      </c>
      <c r="AE505" t="s">
        <v>34</v>
      </c>
      <c r="AF505" t="s">
        <v>34</v>
      </c>
      <c r="AG505">
        <f t="shared" si="20"/>
        <v>1338888.888888889</v>
      </c>
    </row>
    <row r="506" spans="1:33" x14ac:dyDescent="0.3">
      <c r="A506" t="s">
        <v>509</v>
      </c>
      <c r="B506" s="1" t="s">
        <v>510</v>
      </c>
      <c r="C506" t="s">
        <v>160</v>
      </c>
      <c r="D506" s="1" t="s">
        <v>161</v>
      </c>
      <c r="E506" t="s">
        <v>34</v>
      </c>
      <c r="F506" t="s">
        <v>34</v>
      </c>
      <c r="G506" t="s">
        <v>34</v>
      </c>
      <c r="H506" t="s">
        <v>34</v>
      </c>
      <c r="I506" t="s">
        <v>34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34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  <c r="Z506" t="s">
        <v>34</v>
      </c>
      <c r="AA506" t="s">
        <v>34</v>
      </c>
      <c r="AB506" t="s">
        <v>34</v>
      </c>
      <c r="AC506" t="s">
        <v>34</v>
      </c>
      <c r="AD506" t="s">
        <v>34</v>
      </c>
      <c r="AE506" t="s">
        <v>34</v>
      </c>
      <c r="AF506" t="s">
        <v>34</v>
      </c>
      <c r="AG506" t="str">
        <f t="shared" si="20"/>
        <v>NA</v>
      </c>
    </row>
    <row r="507" spans="1:33" x14ac:dyDescent="0.3">
      <c r="A507" t="s">
        <v>509</v>
      </c>
      <c r="B507" s="1" t="s">
        <v>510</v>
      </c>
      <c r="C507" t="s">
        <v>162</v>
      </c>
      <c r="D507" s="1" t="s">
        <v>163</v>
      </c>
      <c r="E507">
        <v>1758000000</v>
      </c>
      <c r="F507">
        <v>1895900000</v>
      </c>
      <c r="G507">
        <v>2346500000</v>
      </c>
      <c r="H507">
        <v>2295100000</v>
      </c>
      <c r="I507">
        <v>2414500000</v>
      </c>
      <c r="J507" t="s">
        <v>34</v>
      </c>
      <c r="K507">
        <v>2831600000</v>
      </c>
      <c r="L507">
        <v>3304900000</v>
      </c>
      <c r="M507">
        <v>3633800000</v>
      </c>
      <c r="N507">
        <v>5258400000</v>
      </c>
      <c r="O507">
        <v>5780500000</v>
      </c>
      <c r="P507">
        <v>6568400000</v>
      </c>
      <c r="Q507">
        <v>8246500000</v>
      </c>
      <c r="R507">
        <v>11121100000</v>
      </c>
      <c r="S507">
        <v>11848800000</v>
      </c>
      <c r="T507">
        <v>17564500000</v>
      </c>
      <c r="U507">
        <v>22972760000</v>
      </c>
      <c r="V507">
        <v>33556237221.139</v>
      </c>
      <c r="W507">
        <v>36830361623.339996</v>
      </c>
      <c r="X507">
        <v>24305531799.029999</v>
      </c>
      <c r="Y507">
        <v>27234303188.849998</v>
      </c>
      <c r="Z507">
        <v>33838706056.689999</v>
      </c>
      <c r="AA507">
        <v>35303355393.349998</v>
      </c>
      <c r="AB507">
        <v>48935888961.389999</v>
      </c>
      <c r="AC507">
        <v>39448493030.660004</v>
      </c>
      <c r="AD507">
        <v>53673862758.110001</v>
      </c>
      <c r="AE507" t="s">
        <v>34</v>
      </c>
      <c r="AF507" t="s">
        <v>34</v>
      </c>
      <c r="AG507">
        <f t="shared" si="20"/>
        <v>17718720001.302357</v>
      </c>
    </row>
    <row r="508" spans="1:33" x14ac:dyDescent="0.3">
      <c r="A508" t="s">
        <v>509</v>
      </c>
      <c r="B508" s="1" t="s">
        <v>510</v>
      </c>
      <c r="C508" t="s">
        <v>164</v>
      </c>
      <c r="D508" s="1" t="s">
        <v>165</v>
      </c>
      <c r="E508" t="s">
        <v>34</v>
      </c>
      <c r="F508" t="s">
        <v>34</v>
      </c>
      <c r="G508" t="s">
        <v>34</v>
      </c>
      <c r="H508" t="s">
        <v>34</v>
      </c>
      <c r="I508" t="s">
        <v>34</v>
      </c>
      <c r="J508" t="s">
        <v>34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 t="s">
        <v>34</v>
      </c>
      <c r="AA508" t="s">
        <v>34</v>
      </c>
      <c r="AB508" t="s">
        <v>34</v>
      </c>
      <c r="AC508" t="s">
        <v>34</v>
      </c>
      <c r="AD508" t="s">
        <v>34</v>
      </c>
      <c r="AE508" t="s">
        <v>34</v>
      </c>
      <c r="AF508" t="s">
        <v>34</v>
      </c>
      <c r="AG508" t="str">
        <f t="shared" ref="AG508:AG571" si="21">IFERROR(AVERAGE(E508:AF508),"NA")</f>
        <v>NA</v>
      </c>
    </row>
    <row r="509" spans="1:33" x14ac:dyDescent="0.3">
      <c r="A509" t="s">
        <v>509</v>
      </c>
      <c r="B509" s="1" t="s">
        <v>510</v>
      </c>
      <c r="C509" t="s">
        <v>166</v>
      </c>
      <c r="D509" s="1" t="s">
        <v>167</v>
      </c>
      <c r="E509">
        <v>161400000</v>
      </c>
      <c r="F509">
        <v>157290000</v>
      </c>
      <c r="G509" t="s">
        <v>34</v>
      </c>
      <c r="H509" t="s">
        <v>34</v>
      </c>
      <c r="I509" t="s">
        <v>34</v>
      </c>
      <c r="J509" t="s">
        <v>34</v>
      </c>
      <c r="K509" t="s">
        <v>34</v>
      </c>
      <c r="L509" t="s">
        <v>34</v>
      </c>
      <c r="M509" t="s">
        <v>34</v>
      </c>
      <c r="N509">
        <v>215582000</v>
      </c>
      <c r="O509">
        <v>219780000</v>
      </c>
      <c r="P509">
        <v>218709505</v>
      </c>
      <c r="Q509">
        <v>219334261.66999999</v>
      </c>
      <c r="R509">
        <v>251535801.03</v>
      </c>
      <c r="S509">
        <v>258839097.34</v>
      </c>
      <c r="T509">
        <v>289281121.04888898</v>
      </c>
      <c r="U509">
        <v>304982440.42000002</v>
      </c>
      <c r="V509">
        <v>346960872.43000001</v>
      </c>
      <c r="W509">
        <v>407484865.31999999</v>
      </c>
      <c r="X509">
        <v>492384969.69999999</v>
      </c>
      <c r="Y509">
        <v>531476030.56</v>
      </c>
      <c r="Z509">
        <v>547305884.94000006</v>
      </c>
      <c r="AA509">
        <v>569632068.73000002</v>
      </c>
      <c r="AB509">
        <v>596180726.86000001</v>
      </c>
      <c r="AC509">
        <v>581523288.50999999</v>
      </c>
      <c r="AD509">
        <v>466116686.68000001</v>
      </c>
      <c r="AE509">
        <v>283087287.33999997</v>
      </c>
      <c r="AF509" t="s">
        <v>34</v>
      </c>
      <c r="AG509">
        <f t="shared" si="21"/>
        <v>355944345.37894446</v>
      </c>
    </row>
    <row r="510" spans="1:33" x14ac:dyDescent="0.3">
      <c r="A510" t="s">
        <v>509</v>
      </c>
      <c r="B510" s="1" t="s">
        <v>510</v>
      </c>
      <c r="C510" t="s">
        <v>168</v>
      </c>
      <c r="D510" s="1" t="s">
        <v>169</v>
      </c>
      <c r="E510">
        <v>45000000</v>
      </c>
      <c r="F510">
        <v>11000000</v>
      </c>
      <c r="G510">
        <v>1000000</v>
      </c>
      <c r="H510">
        <v>-1000000</v>
      </c>
      <c r="I510">
        <v>-6000000</v>
      </c>
      <c r="J510">
        <v>-8000000</v>
      </c>
      <c r="K510">
        <v>-2000000</v>
      </c>
      <c r="L510" t="s">
        <v>34</v>
      </c>
      <c r="M510">
        <v>1000000</v>
      </c>
      <c r="N510">
        <v>1000000</v>
      </c>
      <c r="O510">
        <v>1000000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34</v>
      </c>
      <c r="V510" t="s">
        <v>34</v>
      </c>
      <c r="W510">
        <v>1000000</v>
      </c>
      <c r="X510" t="s">
        <v>34</v>
      </c>
      <c r="Y510" t="s">
        <v>34</v>
      </c>
      <c r="Z510" t="s">
        <v>34</v>
      </c>
      <c r="AA510" t="s">
        <v>34</v>
      </c>
      <c r="AB510" t="s">
        <v>34</v>
      </c>
      <c r="AC510" t="s">
        <v>34</v>
      </c>
      <c r="AD510" t="s">
        <v>34</v>
      </c>
      <c r="AE510" t="s">
        <v>34</v>
      </c>
      <c r="AF510" t="s">
        <v>34</v>
      </c>
      <c r="AG510">
        <f t="shared" si="21"/>
        <v>4000000</v>
      </c>
    </row>
    <row r="511" spans="1:33" x14ac:dyDescent="0.3">
      <c r="A511" t="s">
        <v>509</v>
      </c>
      <c r="B511" s="1" t="s">
        <v>510</v>
      </c>
      <c r="C511" t="s">
        <v>170</v>
      </c>
      <c r="D511" s="1" t="s">
        <v>171</v>
      </c>
      <c r="E511">
        <v>21000000</v>
      </c>
      <c r="F511">
        <v>10000000</v>
      </c>
      <c r="G511">
        <v>39000000</v>
      </c>
      <c r="H511">
        <v>38000000</v>
      </c>
      <c r="I511">
        <v>24000000</v>
      </c>
      <c r="J511">
        <v>19000000</v>
      </c>
      <c r="K511">
        <v>7000000</v>
      </c>
      <c r="L511">
        <v>5000000</v>
      </c>
      <c r="M511">
        <v>-5000000</v>
      </c>
      <c r="N511">
        <v>-11000000</v>
      </c>
      <c r="O511">
        <v>73000000</v>
      </c>
      <c r="P511">
        <v>-254000000</v>
      </c>
      <c r="Q511">
        <v>-98000000</v>
      </c>
      <c r="R511">
        <v>-109000000</v>
      </c>
      <c r="S511">
        <v>-97000000</v>
      </c>
      <c r="T511">
        <v>-108000000</v>
      </c>
      <c r="U511">
        <v>-17000000</v>
      </c>
      <c r="V511">
        <v>-126000000</v>
      </c>
      <c r="W511">
        <v>-38000000</v>
      </c>
      <c r="X511">
        <v>-116000000</v>
      </c>
      <c r="Y511">
        <v>-120000000</v>
      </c>
      <c r="Z511">
        <v>-113000000</v>
      </c>
      <c r="AA511">
        <v>-127000000</v>
      </c>
      <c r="AB511">
        <v>-127000000</v>
      </c>
      <c r="AC511">
        <v>-118000000</v>
      </c>
      <c r="AD511">
        <v>31000000</v>
      </c>
      <c r="AE511">
        <v>42000000</v>
      </c>
      <c r="AF511" t="s">
        <v>34</v>
      </c>
      <c r="AG511">
        <f t="shared" si="21"/>
        <v>-47222222.222222224</v>
      </c>
    </row>
    <row r="512" spans="1:33" x14ac:dyDescent="0.3">
      <c r="A512" t="s">
        <v>509</v>
      </c>
      <c r="B512" s="1" t="s">
        <v>510</v>
      </c>
      <c r="C512" t="s">
        <v>172</v>
      </c>
      <c r="D512" s="1" t="s">
        <v>173</v>
      </c>
      <c r="E512" t="s">
        <v>34</v>
      </c>
      <c r="F512" t="s">
        <v>34</v>
      </c>
      <c r="G512" t="s">
        <v>34</v>
      </c>
      <c r="H512" t="s">
        <v>34</v>
      </c>
      <c r="I512" t="s">
        <v>34</v>
      </c>
      <c r="J512" t="s">
        <v>34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  <c r="Z512" t="s">
        <v>34</v>
      </c>
      <c r="AA512" t="s">
        <v>34</v>
      </c>
      <c r="AB512" t="s">
        <v>34</v>
      </c>
      <c r="AC512" t="s">
        <v>34</v>
      </c>
      <c r="AD512" t="s">
        <v>34</v>
      </c>
      <c r="AE512" t="s">
        <v>34</v>
      </c>
      <c r="AF512" t="s">
        <v>34</v>
      </c>
      <c r="AG512" t="str">
        <f t="shared" si="21"/>
        <v>NA</v>
      </c>
    </row>
    <row r="513" spans="1:33" x14ac:dyDescent="0.3">
      <c r="A513" t="s">
        <v>509</v>
      </c>
      <c r="B513" s="1" t="s">
        <v>510</v>
      </c>
      <c r="C513" t="s">
        <v>174</v>
      </c>
      <c r="D513" s="1" t="s">
        <v>175</v>
      </c>
      <c r="E513" t="s">
        <v>34</v>
      </c>
      <c r="F513" t="s">
        <v>34</v>
      </c>
      <c r="G513" t="s">
        <v>34</v>
      </c>
      <c r="H513" t="s">
        <v>34</v>
      </c>
      <c r="I513" t="s">
        <v>34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34</v>
      </c>
      <c r="U513" t="s">
        <v>34</v>
      </c>
      <c r="V513">
        <v>407097000000</v>
      </c>
      <c r="W513">
        <v>400997000000</v>
      </c>
      <c r="X513">
        <v>359908000000</v>
      </c>
      <c r="Y513">
        <v>354804000000</v>
      </c>
      <c r="Z513">
        <v>277249000000</v>
      </c>
      <c r="AA513">
        <v>246215764408</v>
      </c>
      <c r="AB513">
        <v>254693582658</v>
      </c>
      <c r="AC513">
        <v>285527000000</v>
      </c>
      <c r="AD513" t="s">
        <v>34</v>
      </c>
      <c r="AE513" t="s">
        <v>34</v>
      </c>
      <c r="AF513" t="s">
        <v>34</v>
      </c>
      <c r="AG513">
        <f t="shared" si="21"/>
        <v>323311418383.25</v>
      </c>
    </row>
    <row r="514" spans="1:33" x14ac:dyDescent="0.3">
      <c r="A514" t="s">
        <v>509</v>
      </c>
      <c r="B514" s="1" t="s">
        <v>510</v>
      </c>
      <c r="C514" t="s">
        <v>176</v>
      </c>
      <c r="D514" s="1" t="s">
        <v>177</v>
      </c>
      <c r="E514" t="s">
        <v>34</v>
      </c>
      <c r="F514" t="s">
        <v>34</v>
      </c>
      <c r="G514" t="s">
        <v>34</v>
      </c>
      <c r="H514" t="s">
        <v>34</v>
      </c>
      <c r="I514" t="s">
        <v>34</v>
      </c>
      <c r="J514" t="s">
        <v>34</v>
      </c>
      <c r="K514" t="s">
        <v>34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  <c r="Z514" t="s">
        <v>34</v>
      </c>
      <c r="AA514" t="s">
        <v>34</v>
      </c>
      <c r="AB514" t="s">
        <v>34</v>
      </c>
      <c r="AC514" t="s">
        <v>34</v>
      </c>
      <c r="AD514" t="s">
        <v>34</v>
      </c>
      <c r="AE514" t="s">
        <v>34</v>
      </c>
      <c r="AF514" t="s">
        <v>34</v>
      </c>
      <c r="AG514" t="str">
        <f t="shared" si="21"/>
        <v>NA</v>
      </c>
    </row>
    <row r="515" spans="1:33" x14ac:dyDescent="0.3">
      <c r="A515" t="s">
        <v>509</v>
      </c>
      <c r="B515" s="1" t="s">
        <v>510</v>
      </c>
      <c r="C515" t="s">
        <v>178</v>
      </c>
      <c r="D515" s="1" t="s">
        <v>179</v>
      </c>
      <c r="E515">
        <v>5400000</v>
      </c>
      <c r="F515">
        <v>20400000</v>
      </c>
      <c r="G515">
        <v>61200000</v>
      </c>
      <c r="H515">
        <v>61800000</v>
      </c>
      <c r="I515">
        <v>34100000</v>
      </c>
      <c r="J515">
        <v>53000000</v>
      </c>
      <c r="K515">
        <v>54979000</v>
      </c>
      <c r="L515">
        <v>62600000</v>
      </c>
      <c r="M515">
        <v>80500000</v>
      </c>
      <c r="N515">
        <v>143900000</v>
      </c>
      <c r="O515">
        <v>124200000</v>
      </c>
      <c r="P515">
        <v>132400000</v>
      </c>
      <c r="Q515">
        <v>52000000</v>
      </c>
      <c r="R515">
        <v>51900000</v>
      </c>
      <c r="S515">
        <v>35900000</v>
      </c>
      <c r="T515">
        <v>70400000</v>
      </c>
      <c r="U515">
        <v>93200000</v>
      </c>
      <c r="V515">
        <v>90100000</v>
      </c>
      <c r="W515">
        <v>89400000</v>
      </c>
      <c r="X515">
        <v>94900000</v>
      </c>
      <c r="Y515">
        <v>69300000</v>
      </c>
      <c r="Z515">
        <v>70100000</v>
      </c>
      <c r="AA515">
        <v>71600000</v>
      </c>
      <c r="AB515">
        <v>73400000</v>
      </c>
      <c r="AC515">
        <v>79100000</v>
      </c>
      <c r="AD515">
        <v>74400000</v>
      </c>
      <c r="AE515">
        <v>86400000</v>
      </c>
      <c r="AF515">
        <v>126000000</v>
      </c>
      <c r="AG515">
        <f t="shared" si="21"/>
        <v>73663535.714285716</v>
      </c>
    </row>
    <row r="516" spans="1:33" x14ac:dyDescent="0.3">
      <c r="A516" t="s">
        <v>509</v>
      </c>
      <c r="B516" s="1" t="s">
        <v>510</v>
      </c>
      <c r="C516" t="s">
        <v>180</v>
      </c>
      <c r="D516" s="1" t="s">
        <v>181</v>
      </c>
      <c r="E516" t="s">
        <v>34</v>
      </c>
      <c r="F516" t="s">
        <v>34</v>
      </c>
      <c r="G516" t="s">
        <v>34</v>
      </c>
      <c r="H516" t="s">
        <v>34</v>
      </c>
      <c r="I516" t="s">
        <v>34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34</v>
      </c>
      <c r="V516" t="s">
        <v>34</v>
      </c>
      <c r="W516" t="s">
        <v>34</v>
      </c>
      <c r="X516" t="s">
        <v>34</v>
      </c>
      <c r="Y516" t="s">
        <v>34</v>
      </c>
      <c r="Z516" t="s">
        <v>34</v>
      </c>
      <c r="AA516" t="s">
        <v>34</v>
      </c>
      <c r="AB516" t="s">
        <v>34</v>
      </c>
      <c r="AC516" t="s">
        <v>34</v>
      </c>
      <c r="AD516" t="s">
        <v>34</v>
      </c>
      <c r="AE516" t="s">
        <v>34</v>
      </c>
      <c r="AF516" t="s">
        <v>34</v>
      </c>
      <c r="AG516" t="str">
        <f t="shared" si="21"/>
        <v>NA</v>
      </c>
    </row>
    <row r="517" spans="1:33" x14ac:dyDescent="0.3">
      <c r="A517" t="s">
        <v>509</v>
      </c>
      <c r="B517" s="1" t="s">
        <v>510</v>
      </c>
      <c r="C517" t="s">
        <v>182</v>
      </c>
      <c r="D517" s="1" t="s">
        <v>183</v>
      </c>
      <c r="E517" t="s">
        <v>34</v>
      </c>
      <c r="F517" t="s">
        <v>34</v>
      </c>
      <c r="G517" t="s">
        <v>34</v>
      </c>
      <c r="H517" t="s">
        <v>34</v>
      </c>
      <c r="I517" t="s">
        <v>34</v>
      </c>
      <c r="J517" t="s">
        <v>34</v>
      </c>
      <c r="K517">
        <v>301243300</v>
      </c>
      <c r="L517">
        <v>359325100</v>
      </c>
      <c r="M517">
        <v>315963133</v>
      </c>
      <c r="N517">
        <v>380887561</v>
      </c>
      <c r="O517">
        <v>411378448</v>
      </c>
      <c r="P517">
        <v>541835102</v>
      </c>
      <c r="Q517">
        <v>807355906</v>
      </c>
      <c r="R517">
        <v>1195051920</v>
      </c>
      <c r="S517">
        <v>1081127293</v>
      </c>
      <c r="T517">
        <v>1532572825</v>
      </c>
      <c r="U517">
        <v>2150534580</v>
      </c>
      <c r="V517">
        <v>1990079981.9253199</v>
      </c>
      <c r="W517">
        <v>2330964340.8776999</v>
      </c>
      <c r="X517">
        <v>3091223539.23277</v>
      </c>
      <c r="Y517">
        <v>3448930198.2690101</v>
      </c>
      <c r="Z517">
        <v>4390443484.2227402</v>
      </c>
      <c r="AA517">
        <v>5484661244.3807602</v>
      </c>
      <c r="AB517">
        <v>6102117561.9429998</v>
      </c>
      <c r="AC517">
        <v>5410014396.9300003</v>
      </c>
      <c r="AD517">
        <v>5513806052.5039997</v>
      </c>
      <c r="AE517" t="s">
        <v>34</v>
      </c>
      <c r="AF517" t="s">
        <v>34</v>
      </c>
      <c r="AG517">
        <f t="shared" si="21"/>
        <v>2341975798.4142647</v>
      </c>
    </row>
    <row r="518" spans="1:33" x14ac:dyDescent="0.3">
      <c r="A518" t="s">
        <v>509</v>
      </c>
      <c r="B518" s="1" t="s">
        <v>510</v>
      </c>
      <c r="C518" t="s">
        <v>184</v>
      </c>
      <c r="D518" s="1" t="s">
        <v>185</v>
      </c>
      <c r="E518" t="s">
        <v>34</v>
      </c>
      <c r="F518" t="s">
        <v>34</v>
      </c>
      <c r="G518" t="s">
        <v>34</v>
      </c>
      <c r="H518" t="s">
        <v>34</v>
      </c>
      <c r="I518" t="s">
        <v>34</v>
      </c>
      <c r="J518" t="s">
        <v>34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 t="s">
        <v>34</v>
      </c>
      <c r="AA518" t="s">
        <v>34</v>
      </c>
      <c r="AB518" t="s">
        <v>34</v>
      </c>
      <c r="AC518" t="s">
        <v>34</v>
      </c>
      <c r="AD518" t="s">
        <v>34</v>
      </c>
      <c r="AE518" t="s">
        <v>34</v>
      </c>
      <c r="AF518" t="s">
        <v>34</v>
      </c>
      <c r="AG518" t="str">
        <f t="shared" si="21"/>
        <v>NA</v>
      </c>
    </row>
    <row r="519" spans="1:33" x14ac:dyDescent="0.3">
      <c r="A519" t="s">
        <v>509</v>
      </c>
      <c r="B519" s="1" t="s">
        <v>510</v>
      </c>
      <c r="C519" t="s">
        <v>186</v>
      </c>
      <c r="D519" s="1" t="s">
        <v>187</v>
      </c>
      <c r="E519">
        <v>2000000</v>
      </c>
      <c r="F519">
        <v>4000000</v>
      </c>
      <c r="G519">
        <v>3000000</v>
      </c>
      <c r="H519">
        <v>11000000</v>
      </c>
      <c r="I519">
        <v>2000000</v>
      </c>
      <c r="J519">
        <v>10000000</v>
      </c>
      <c r="K519">
        <v>17000000</v>
      </c>
      <c r="L519">
        <v>16000000</v>
      </c>
      <c r="M519">
        <v>22000000</v>
      </c>
      <c r="N519">
        <v>22000000</v>
      </c>
      <c r="O519">
        <v>11000000</v>
      </c>
      <c r="P519">
        <v>6000000</v>
      </c>
      <c r="Q519">
        <v>7000000</v>
      </c>
      <c r="R519">
        <v>2000000</v>
      </c>
      <c r="S519">
        <v>2000000</v>
      </c>
      <c r="T519">
        <v>1000000</v>
      </c>
      <c r="U519">
        <v>4000000</v>
      </c>
      <c r="V519" t="s">
        <v>34</v>
      </c>
      <c r="W519">
        <v>5000000</v>
      </c>
      <c r="X519">
        <v>5000000</v>
      </c>
      <c r="Y519" t="s">
        <v>34</v>
      </c>
      <c r="Z519" t="s">
        <v>34</v>
      </c>
      <c r="AA519" t="s">
        <v>34</v>
      </c>
      <c r="AB519">
        <v>7000000</v>
      </c>
      <c r="AC519" t="s">
        <v>34</v>
      </c>
      <c r="AD519" t="s">
        <v>34</v>
      </c>
      <c r="AE519">
        <v>21000000</v>
      </c>
      <c r="AF519" t="s">
        <v>34</v>
      </c>
      <c r="AG519">
        <f t="shared" si="21"/>
        <v>8571428.5714285709</v>
      </c>
    </row>
    <row r="520" spans="1:33" x14ac:dyDescent="0.3">
      <c r="A520" t="s">
        <v>509</v>
      </c>
      <c r="B520" s="1" t="s">
        <v>510</v>
      </c>
      <c r="C520" t="s">
        <v>188</v>
      </c>
      <c r="D520" s="1" t="s">
        <v>189</v>
      </c>
      <c r="E520" t="s">
        <v>34</v>
      </c>
      <c r="F520" t="s">
        <v>34</v>
      </c>
      <c r="G520" t="s">
        <v>34</v>
      </c>
      <c r="H520" t="s">
        <v>34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34</v>
      </c>
      <c r="V520" t="s">
        <v>34</v>
      </c>
      <c r="W520" t="s">
        <v>34</v>
      </c>
      <c r="X520" t="s">
        <v>34</v>
      </c>
      <c r="Y520" t="s">
        <v>34</v>
      </c>
      <c r="Z520" t="s">
        <v>34</v>
      </c>
      <c r="AA520" t="s">
        <v>34</v>
      </c>
      <c r="AB520" t="s">
        <v>34</v>
      </c>
      <c r="AC520" t="s">
        <v>34</v>
      </c>
      <c r="AD520" t="s">
        <v>34</v>
      </c>
      <c r="AE520" t="s">
        <v>34</v>
      </c>
      <c r="AF520" t="s">
        <v>34</v>
      </c>
      <c r="AG520" t="str">
        <f t="shared" si="21"/>
        <v>NA</v>
      </c>
    </row>
    <row r="521" spans="1:33" x14ac:dyDescent="0.3">
      <c r="A521" t="s">
        <v>509</v>
      </c>
      <c r="B521" s="1" t="s">
        <v>510</v>
      </c>
      <c r="C521" t="s">
        <v>190</v>
      </c>
      <c r="D521" s="1" t="s">
        <v>191</v>
      </c>
      <c r="E521" t="s">
        <v>34</v>
      </c>
      <c r="F521" t="s">
        <v>34</v>
      </c>
      <c r="G521" t="s">
        <v>34</v>
      </c>
      <c r="H521" t="s">
        <v>34</v>
      </c>
      <c r="I521" t="s">
        <v>34</v>
      </c>
      <c r="J521" t="s">
        <v>34</v>
      </c>
      <c r="K521" t="s">
        <v>34</v>
      </c>
      <c r="L521" t="s">
        <v>34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34</v>
      </c>
      <c r="V521" t="s">
        <v>34</v>
      </c>
      <c r="W521" t="s">
        <v>34</v>
      </c>
      <c r="X521" t="s">
        <v>34</v>
      </c>
      <c r="Y521" t="s">
        <v>34</v>
      </c>
      <c r="Z521" t="s">
        <v>34</v>
      </c>
      <c r="AA521" t="s">
        <v>34</v>
      </c>
      <c r="AB521" t="s">
        <v>34</v>
      </c>
      <c r="AC521" t="s">
        <v>34</v>
      </c>
      <c r="AD521" t="s">
        <v>34</v>
      </c>
      <c r="AE521" t="s">
        <v>34</v>
      </c>
      <c r="AF521" t="s">
        <v>34</v>
      </c>
      <c r="AG521" t="str">
        <f t="shared" si="21"/>
        <v>NA</v>
      </c>
    </row>
    <row r="522" spans="1:33" x14ac:dyDescent="0.3">
      <c r="A522" t="s">
        <v>509</v>
      </c>
      <c r="B522" s="1" t="s">
        <v>510</v>
      </c>
      <c r="C522" t="s">
        <v>192</v>
      </c>
      <c r="D522" s="1" t="s">
        <v>193</v>
      </c>
      <c r="E522" t="s">
        <v>34</v>
      </c>
      <c r="F522" t="s">
        <v>34</v>
      </c>
      <c r="G522" t="s">
        <v>34</v>
      </c>
      <c r="H522" t="s">
        <v>34</v>
      </c>
      <c r="I522" t="s">
        <v>34</v>
      </c>
      <c r="J522" t="s">
        <v>34</v>
      </c>
      <c r="K522" t="s">
        <v>34</v>
      </c>
      <c r="L522" t="s">
        <v>34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34</v>
      </c>
      <c r="V522" t="s">
        <v>34</v>
      </c>
      <c r="W522" t="s">
        <v>34</v>
      </c>
      <c r="X522" t="s">
        <v>34</v>
      </c>
      <c r="Y522" t="s">
        <v>34</v>
      </c>
      <c r="Z522" t="s">
        <v>34</v>
      </c>
      <c r="AA522" t="s">
        <v>34</v>
      </c>
      <c r="AB522" t="s">
        <v>34</v>
      </c>
      <c r="AC522" t="s">
        <v>34</v>
      </c>
      <c r="AD522" t="s">
        <v>34</v>
      </c>
      <c r="AE522" t="s">
        <v>34</v>
      </c>
      <c r="AF522" t="s">
        <v>34</v>
      </c>
      <c r="AG522" t="str">
        <f t="shared" si="21"/>
        <v>NA</v>
      </c>
    </row>
    <row r="523" spans="1:33" x14ac:dyDescent="0.3">
      <c r="A523" t="s">
        <v>509</v>
      </c>
      <c r="B523" s="1" t="s">
        <v>510</v>
      </c>
      <c r="C523" t="s">
        <v>194</v>
      </c>
      <c r="D523" s="1" t="s">
        <v>195</v>
      </c>
      <c r="E523">
        <v>1662410000</v>
      </c>
      <c r="F523">
        <v>1501600000</v>
      </c>
      <c r="G523">
        <v>1537550000</v>
      </c>
      <c r="H523">
        <v>1685120000</v>
      </c>
      <c r="I523">
        <v>1817540000</v>
      </c>
      <c r="J523">
        <v>1807320000</v>
      </c>
      <c r="K523">
        <v>1979930000</v>
      </c>
      <c r="L523">
        <v>2264140000</v>
      </c>
      <c r="M523">
        <v>2385000000</v>
      </c>
      <c r="N523">
        <v>2428090000</v>
      </c>
      <c r="O523">
        <v>3715430000</v>
      </c>
      <c r="P523">
        <v>2805700000</v>
      </c>
      <c r="Q523">
        <v>2882900000</v>
      </c>
      <c r="R523">
        <v>2655100000</v>
      </c>
      <c r="S523">
        <v>2364459001</v>
      </c>
      <c r="T523">
        <v>2592079996.5300002</v>
      </c>
      <c r="U523">
        <v>2752087750.02</v>
      </c>
      <c r="V523">
        <v>2541967069.5599999</v>
      </c>
      <c r="W523">
        <v>2204897231</v>
      </c>
      <c r="X523">
        <v>2281283230.9899998</v>
      </c>
      <c r="Y523">
        <v>2406900473.9200001</v>
      </c>
      <c r="Z523">
        <v>2585424422.8499999</v>
      </c>
      <c r="AA523">
        <v>2737331329.27</v>
      </c>
      <c r="AB523">
        <v>2870323877.04</v>
      </c>
      <c r="AC523">
        <v>3035149070.9899998</v>
      </c>
      <c r="AD523">
        <v>2585305962.3499999</v>
      </c>
      <c r="AE523">
        <v>3681734908.48</v>
      </c>
      <c r="AF523" t="s">
        <v>34</v>
      </c>
      <c r="AG523">
        <f t="shared" si="21"/>
        <v>2435806456.4444437</v>
      </c>
    </row>
    <row r="524" spans="1:33" x14ac:dyDescent="0.3">
      <c r="A524" t="s">
        <v>509</v>
      </c>
      <c r="B524" s="1" t="s">
        <v>510</v>
      </c>
      <c r="C524" t="s">
        <v>196</v>
      </c>
      <c r="D524" s="1" t="s">
        <v>197</v>
      </c>
      <c r="E524" t="s">
        <v>34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  <c r="Z524" t="s">
        <v>34</v>
      </c>
      <c r="AA524" t="s">
        <v>34</v>
      </c>
      <c r="AB524" t="s">
        <v>34</v>
      </c>
      <c r="AC524" t="s">
        <v>34</v>
      </c>
      <c r="AD524" t="s">
        <v>34</v>
      </c>
      <c r="AE524" t="s">
        <v>34</v>
      </c>
      <c r="AF524" t="s">
        <v>34</v>
      </c>
      <c r="AG524" t="str">
        <f t="shared" si="21"/>
        <v>NA</v>
      </c>
    </row>
    <row r="525" spans="1:33" x14ac:dyDescent="0.3">
      <c r="A525" t="s">
        <v>509</v>
      </c>
      <c r="B525" s="1" t="s">
        <v>510</v>
      </c>
      <c r="C525" t="s">
        <v>198</v>
      </c>
      <c r="D525" s="1" t="s">
        <v>199</v>
      </c>
      <c r="E525" t="s">
        <v>34</v>
      </c>
      <c r="F525" t="s">
        <v>34</v>
      </c>
      <c r="G525" t="s">
        <v>34</v>
      </c>
      <c r="H525" t="s">
        <v>34</v>
      </c>
      <c r="I525" t="s">
        <v>34</v>
      </c>
      <c r="J525" t="s">
        <v>34</v>
      </c>
      <c r="K525" t="s">
        <v>34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  <c r="Z525" t="s">
        <v>34</v>
      </c>
      <c r="AA525">
        <v>25619664308</v>
      </c>
      <c r="AB525" t="s">
        <v>34</v>
      </c>
      <c r="AC525">
        <v>23514704570</v>
      </c>
      <c r="AD525" t="s">
        <v>34</v>
      </c>
      <c r="AE525" t="s">
        <v>34</v>
      </c>
      <c r="AF525" t="s">
        <v>34</v>
      </c>
      <c r="AG525">
        <f t="shared" si="21"/>
        <v>24567184439</v>
      </c>
    </row>
    <row r="526" spans="1:33" x14ac:dyDescent="0.3">
      <c r="A526" t="s">
        <v>509</v>
      </c>
      <c r="B526" s="1" t="s">
        <v>510</v>
      </c>
      <c r="C526" t="s">
        <v>200</v>
      </c>
      <c r="D526" s="1" t="s">
        <v>201</v>
      </c>
      <c r="E526" t="s">
        <v>34</v>
      </c>
      <c r="F526" t="s">
        <v>34</v>
      </c>
      <c r="G526" t="s">
        <v>34</v>
      </c>
      <c r="H526" t="s">
        <v>34</v>
      </c>
      <c r="I526" t="s">
        <v>34</v>
      </c>
      <c r="J526" t="s">
        <v>34</v>
      </c>
      <c r="K526" t="s">
        <v>34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34</v>
      </c>
      <c r="V526" t="s">
        <v>34</v>
      </c>
      <c r="W526" t="s">
        <v>34</v>
      </c>
      <c r="X526" t="s">
        <v>34</v>
      </c>
      <c r="Y526" t="s">
        <v>34</v>
      </c>
      <c r="Z526" t="s">
        <v>34</v>
      </c>
      <c r="AA526" t="s">
        <v>34</v>
      </c>
      <c r="AB526" t="s">
        <v>34</v>
      </c>
      <c r="AC526" t="s">
        <v>34</v>
      </c>
      <c r="AD526" t="s">
        <v>34</v>
      </c>
      <c r="AE526" t="s">
        <v>34</v>
      </c>
      <c r="AF526" t="s">
        <v>34</v>
      </c>
      <c r="AG526" t="str">
        <f t="shared" si="21"/>
        <v>NA</v>
      </c>
    </row>
    <row r="527" spans="1:33" x14ac:dyDescent="0.3">
      <c r="A527" t="s">
        <v>509</v>
      </c>
      <c r="B527" s="1" t="s">
        <v>510</v>
      </c>
      <c r="C527" t="s">
        <v>202</v>
      </c>
      <c r="D527" s="1" t="s">
        <v>203</v>
      </c>
      <c r="E527" t="s">
        <v>34</v>
      </c>
      <c r="F527" t="s">
        <v>34</v>
      </c>
      <c r="G527" t="s">
        <v>34</v>
      </c>
      <c r="H527" t="s">
        <v>34</v>
      </c>
      <c r="I527" t="s">
        <v>34</v>
      </c>
      <c r="J527" t="s">
        <v>34</v>
      </c>
      <c r="K527" t="s">
        <v>34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34</v>
      </c>
      <c r="T527" t="s">
        <v>34</v>
      </c>
      <c r="U527" t="s">
        <v>34</v>
      </c>
      <c r="V527" t="s">
        <v>34</v>
      </c>
      <c r="W527" t="s">
        <v>34</v>
      </c>
      <c r="X527" t="s">
        <v>34</v>
      </c>
      <c r="Y527" t="s">
        <v>34</v>
      </c>
      <c r="Z527" t="s">
        <v>34</v>
      </c>
      <c r="AA527" t="s">
        <v>34</v>
      </c>
      <c r="AB527" t="s">
        <v>34</v>
      </c>
      <c r="AC527" t="s">
        <v>34</v>
      </c>
      <c r="AD527" t="s">
        <v>34</v>
      </c>
      <c r="AE527" t="s">
        <v>34</v>
      </c>
      <c r="AF527" t="s">
        <v>34</v>
      </c>
      <c r="AG527" t="str">
        <f t="shared" si="21"/>
        <v>NA</v>
      </c>
    </row>
    <row r="528" spans="1:33" x14ac:dyDescent="0.3">
      <c r="A528" t="s">
        <v>509</v>
      </c>
      <c r="B528" s="1" t="s">
        <v>510</v>
      </c>
      <c r="C528" t="s">
        <v>204</v>
      </c>
      <c r="D528" s="1" t="s">
        <v>205</v>
      </c>
      <c r="E528" t="s">
        <v>34</v>
      </c>
      <c r="F528" t="s">
        <v>34</v>
      </c>
      <c r="G528" t="s">
        <v>34</v>
      </c>
      <c r="H528" t="s">
        <v>34</v>
      </c>
      <c r="I528" t="s">
        <v>34</v>
      </c>
      <c r="J528" t="s">
        <v>34</v>
      </c>
      <c r="K528" t="s">
        <v>34</v>
      </c>
      <c r="L528" t="s">
        <v>34</v>
      </c>
      <c r="M528">
        <v>1832600000</v>
      </c>
      <c r="N528">
        <v>1951600000</v>
      </c>
      <c r="O528">
        <v>2178400000</v>
      </c>
      <c r="P528">
        <v>2352900000</v>
      </c>
      <c r="Q528">
        <v>2878862000</v>
      </c>
      <c r="R528">
        <v>2975100000</v>
      </c>
      <c r="S528">
        <v>2065100000</v>
      </c>
      <c r="T528">
        <v>2505100000</v>
      </c>
      <c r="U528">
        <v>2626200000</v>
      </c>
      <c r="V528">
        <v>2932500000</v>
      </c>
      <c r="W528">
        <v>2651114891</v>
      </c>
      <c r="X528">
        <v>2973857752.21</v>
      </c>
      <c r="Y528">
        <v>3541053525.98</v>
      </c>
      <c r="Z528" t="s">
        <v>34</v>
      </c>
      <c r="AA528" t="s">
        <v>34</v>
      </c>
      <c r="AB528" t="s">
        <v>34</v>
      </c>
      <c r="AC528" t="s">
        <v>34</v>
      </c>
      <c r="AD528">
        <v>3436963190.7199998</v>
      </c>
      <c r="AE528" t="s">
        <v>34</v>
      </c>
      <c r="AF528" t="s">
        <v>34</v>
      </c>
      <c r="AG528">
        <f t="shared" si="21"/>
        <v>2635810811.4221425</v>
      </c>
    </row>
    <row r="529" spans="1:33" x14ac:dyDescent="0.3">
      <c r="A529" t="s">
        <v>509</v>
      </c>
      <c r="B529" s="1" t="s">
        <v>510</v>
      </c>
      <c r="C529" t="s">
        <v>206</v>
      </c>
      <c r="D529" s="1" t="s">
        <v>207</v>
      </c>
      <c r="E529" t="s">
        <v>34</v>
      </c>
      <c r="F529" t="s">
        <v>34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34</v>
      </c>
      <c r="V529" t="s">
        <v>34</v>
      </c>
      <c r="W529" t="s">
        <v>34</v>
      </c>
      <c r="X529" t="s">
        <v>34</v>
      </c>
      <c r="Y529" t="s">
        <v>34</v>
      </c>
      <c r="Z529" t="s">
        <v>34</v>
      </c>
      <c r="AA529" t="s">
        <v>34</v>
      </c>
      <c r="AB529" t="s">
        <v>34</v>
      </c>
      <c r="AC529" t="s">
        <v>34</v>
      </c>
      <c r="AD529" t="s">
        <v>34</v>
      </c>
      <c r="AE529" t="s">
        <v>34</v>
      </c>
      <c r="AF529" t="s">
        <v>34</v>
      </c>
      <c r="AG529" t="str">
        <f t="shared" si="21"/>
        <v>NA</v>
      </c>
    </row>
    <row r="530" spans="1:33" x14ac:dyDescent="0.3">
      <c r="A530" t="s">
        <v>509</v>
      </c>
      <c r="B530" s="1" t="s">
        <v>510</v>
      </c>
      <c r="C530" t="s">
        <v>208</v>
      </c>
      <c r="D530" s="1" t="s">
        <v>209</v>
      </c>
      <c r="E530">
        <v>249431000000</v>
      </c>
      <c r="F530">
        <v>248709000000</v>
      </c>
      <c r="G530">
        <v>161300000000</v>
      </c>
      <c r="H530">
        <v>131593000000</v>
      </c>
      <c r="I530">
        <v>141082000000</v>
      </c>
      <c r="J530">
        <v>137731000000</v>
      </c>
      <c r="K530">
        <v>125013000000</v>
      </c>
      <c r="L530">
        <v>129341000000</v>
      </c>
      <c r="M530">
        <v>132638000000</v>
      </c>
      <c r="N530">
        <v>31953000000</v>
      </c>
      <c r="O530">
        <v>-797000000</v>
      </c>
      <c r="P530">
        <v>-195000000</v>
      </c>
      <c r="Q530">
        <v>-202000000</v>
      </c>
      <c r="R530">
        <v>-51000000</v>
      </c>
      <c r="S530">
        <v>-56000000</v>
      </c>
      <c r="T530">
        <v>-9000000</v>
      </c>
      <c r="U530" t="s">
        <v>34</v>
      </c>
      <c r="V530" t="s">
        <v>34</v>
      </c>
      <c r="W530" t="s">
        <v>34</v>
      </c>
      <c r="X530" t="s">
        <v>34</v>
      </c>
      <c r="Y530" t="s">
        <v>34</v>
      </c>
      <c r="Z530" t="s">
        <v>34</v>
      </c>
      <c r="AA530" t="s">
        <v>34</v>
      </c>
      <c r="AB530" t="s">
        <v>34</v>
      </c>
      <c r="AC530" t="s">
        <v>34</v>
      </c>
      <c r="AD530" t="s">
        <v>34</v>
      </c>
      <c r="AE530" t="s">
        <v>34</v>
      </c>
      <c r="AF530" t="s">
        <v>34</v>
      </c>
      <c r="AG530">
        <f t="shared" si="21"/>
        <v>92967562500</v>
      </c>
    </row>
    <row r="531" spans="1:33" x14ac:dyDescent="0.3">
      <c r="A531" t="s">
        <v>509</v>
      </c>
      <c r="B531" s="1" t="s">
        <v>510</v>
      </c>
      <c r="C531" t="s">
        <v>210</v>
      </c>
      <c r="D531" s="1" t="s">
        <v>211</v>
      </c>
      <c r="E531">
        <v>1785900000</v>
      </c>
      <c r="F531">
        <v>1814100000</v>
      </c>
      <c r="G531">
        <v>1830300000</v>
      </c>
      <c r="H531">
        <v>2388700000</v>
      </c>
      <c r="I531">
        <v>2473900000</v>
      </c>
      <c r="J531">
        <v>2711700000</v>
      </c>
      <c r="K531">
        <v>3021848000</v>
      </c>
      <c r="L531">
        <v>2474845592</v>
      </c>
      <c r="M531">
        <v>2681043665</v>
      </c>
      <c r="N531">
        <v>3086025752</v>
      </c>
      <c r="O531">
        <v>3539065593</v>
      </c>
      <c r="P531">
        <v>4624052733</v>
      </c>
      <c r="Q531">
        <v>5446497826</v>
      </c>
      <c r="R531">
        <v>5870167835</v>
      </c>
      <c r="S531">
        <v>5314208901</v>
      </c>
      <c r="T531">
        <v>5953266103</v>
      </c>
      <c r="U531">
        <v>7287690600</v>
      </c>
      <c r="V531">
        <v>7681797026</v>
      </c>
      <c r="W531">
        <v>5815239834</v>
      </c>
      <c r="X531">
        <v>6058308713</v>
      </c>
      <c r="Y531">
        <v>4988689687</v>
      </c>
      <c r="Z531">
        <v>5086800066</v>
      </c>
      <c r="AA531">
        <v>3911685776</v>
      </c>
      <c r="AB531">
        <v>4117772562.5077701</v>
      </c>
      <c r="AC531">
        <v>3429585794</v>
      </c>
      <c r="AD531">
        <v>2575155930</v>
      </c>
      <c r="AE531">
        <v>4122495708</v>
      </c>
      <c r="AF531">
        <v>5991368006</v>
      </c>
      <c r="AG531">
        <f t="shared" si="21"/>
        <v>4145793275.0895629</v>
      </c>
    </row>
    <row r="532" spans="1:33" x14ac:dyDescent="0.3">
      <c r="A532" t="s">
        <v>509</v>
      </c>
      <c r="B532" s="1" t="s">
        <v>510</v>
      </c>
      <c r="C532" t="s">
        <v>212</v>
      </c>
      <c r="D532" s="1" t="s">
        <v>213</v>
      </c>
      <c r="E532">
        <v>357570000000</v>
      </c>
      <c r="F532">
        <v>428510000000</v>
      </c>
      <c r="G532">
        <v>401930000000</v>
      </c>
      <c r="H532">
        <v>406680000000</v>
      </c>
      <c r="I532">
        <v>484190000000</v>
      </c>
      <c r="J532">
        <v>475420000000</v>
      </c>
      <c r="K532">
        <v>402680000000</v>
      </c>
      <c r="L532">
        <v>448520000000</v>
      </c>
      <c r="M532">
        <v>486290000000</v>
      </c>
      <c r="N532">
        <v>576110000000</v>
      </c>
      <c r="O532">
        <v>650670000000</v>
      </c>
      <c r="P532">
        <v>863270000000</v>
      </c>
      <c r="Q532">
        <v>1041190000000</v>
      </c>
      <c r="R532">
        <v>998780000000</v>
      </c>
      <c r="S532">
        <v>833240000000</v>
      </c>
      <c r="T532">
        <v>1358130000000</v>
      </c>
      <c r="U532">
        <v>1493270000000</v>
      </c>
      <c r="V532">
        <v>1866940000000</v>
      </c>
      <c r="W532">
        <v>1873080000000</v>
      </c>
      <c r="X532">
        <v>1880150000000</v>
      </c>
      <c r="Y532">
        <v>2103380000000</v>
      </c>
      <c r="Z532">
        <v>2234400000000</v>
      </c>
      <c r="AA532">
        <v>1352420000000</v>
      </c>
      <c r="AB532">
        <v>1125000000000</v>
      </c>
      <c r="AC532" t="s">
        <v>34</v>
      </c>
      <c r="AD532" t="s">
        <v>34</v>
      </c>
      <c r="AE532" t="s">
        <v>34</v>
      </c>
      <c r="AF532" t="s">
        <v>34</v>
      </c>
      <c r="AG532">
        <f t="shared" si="21"/>
        <v>1005909166666.6666</v>
      </c>
    </row>
    <row r="533" spans="1:33" x14ac:dyDescent="0.3">
      <c r="A533" t="s">
        <v>509</v>
      </c>
      <c r="B533" s="1" t="s">
        <v>510</v>
      </c>
      <c r="C533" t="s">
        <v>214</v>
      </c>
      <c r="D533" s="1" t="s">
        <v>215</v>
      </c>
      <c r="E533">
        <v>3215000000000</v>
      </c>
      <c r="F533">
        <v>2877000000000</v>
      </c>
      <c r="G533">
        <v>3127200000000</v>
      </c>
      <c r="H533">
        <v>6936000000000</v>
      </c>
      <c r="I533">
        <v>5035000000000</v>
      </c>
      <c r="J533" t="s">
        <v>34</v>
      </c>
      <c r="K533">
        <v>9567900000000</v>
      </c>
      <c r="L533">
        <v>10575400000000</v>
      </c>
      <c r="M533">
        <v>11114268966041</v>
      </c>
      <c r="N533">
        <v>12741800000000</v>
      </c>
      <c r="O533" t="s">
        <v>34</v>
      </c>
      <c r="P533" t="s">
        <v>34</v>
      </c>
      <c r="Q533" t="s">
        <v>34</v>
      </c>
      <c r="R533">
        <v>36983600000000</v>
      </c>
      <c r="S533">
        <v>18702100000000</v>
      </c>
      <c r="T533">
        <v>28914500000000</v>
      </c>
      <c r="U533">
        <v>54121500000000</v>
      </c>
      <c r="V533">
        <v>49656300000000</v>
      </c>
      <c r="W533">
        <v>47457500000000</v>
      </c>
      <c r="X533">
        <v>43035202512185</v>
      </c>
      <c r="Y533">
        <v>34407748650601</v>
      </c>
      <c r="Z533">
        <v>34579209594711</v>
      </c>
      <c r="AA533">
        <v>38631274351323</v>
      </c>
      <c r="AB533">
        <v>45608008423850</v>
      </c>
      <c r="AC533">
        <v>40371636189733</v>
      </c>
      <c r="AD533">
        <v>36153998015812</v>
      </c>
      <c r="AE533">
        <v>73016982605620</v>
      </c>
      <c r="AF533" t="s">
        <v>34</v>
      </c>
      <c r="AG533">
        <f t="shared" si="21"/>
        <v>28123005622168.523</v>
      </c>
    </row>
    <row r="534" spans="1:33" x14ac:dyDescent="0.3">
      <c r="A534" t="s">
        <v>509</v>
      </c>
      <c r="B534" s="1" t="s">
        <v>510</v>
      </c>
      <c r="C534" t="s">
        <v>216</v>
      </c>
      <c r="D534" s="1" t="s">
        <v>217</v>
      </c>
      <c r="E534">
        <v>4122000000000</v>
      </c>
      <c r="F534">
        <v>9054000000000</v>
      </c>
      <c r="G534">
        <v>14899000000000</v>
      </c>
      <c r="H534">
        <v>10731000000000</v>
      </c>
      <c r="I534">
        <v>5805132000000</v>
      </c>
      <c r="J534">
        <v>8120176000000</v>
      </c>
      <c r="K534">
        <v>11887739000000</v>
      </c>
      <c r="L534">
        <v>17207300000000</v>
      </c>
      <c r="M534">
        <v>22400900000000</v>
      </c>
      <c r="N534">
        <v>33087300000000</v>
      </c>
      <c r="O534">
        <v>35954100000000</v>
      </c>
      <c r="P534">
        <v>39806000000000</v>
      </c>
      <c r="Q534">
        <v>48818909000000</v>
      </c>
      <c r="R534">
        <v>56689126000000</v>
      </c>
      <c r="S534">
        <v>62554400000000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34</v>
      </c>
      <c r="Z534" t="s">
        <v>34</v>
      </c>
      <c r="AA534" t="s">
        <v>34</v>
      </c>
      <c r="AB534" t="s">
        <v>34</v>
      </c>
      <c r="AC534" t="s">
        <v>34</v>
      </c>
      <c r="AD534" t="s">
        <v>34</v>
      </c>
      <c r="AE534" t="s">
        <v>34</v>
      </c>
      <c r="AF534" t="s">
        <v>34</v>
      </c>
      <c r="AG534">
        <f t="shared" si="21"/>
        <v>25409138800000</v>
      </c>
    </row>
    <row r="535" spans="1:33" x14ac:dyDescent="0.3">
      <c r="A535" t="s">
        <v>509</v>
      </c>
      <c r="B535" s="1" t="s">
        <v>510</v>
      </c>
      <c r="C535" t="s">
        <v>218</v>
      </c>
      <c r="D535" s="1" t="s">
        <v>219</v>
      </c>
      <c r="E535" t="s">
        <v>34</v>
      </c>
      <c r="F535" t="s">
        <v>34</v>
      </c>
      <c r="G535" t="s">
        <v>34</v>
      </c>
      <c r="H535" t="s">
        <v>34</v>
      </c>
      <c r="I535" t="s">
        <v>34</v>
      </c>
      <c r="J535" t="s">
        <v>34</v>
      </c>
      <c r="K535" t="s">
        <v>34</v>
      </c>
      <c r="L535" t="s">
        <v>34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34</v>
      </c>
      <c r="V535" t="s">
        <v>34</v>
      </c>
      <c r="W535" t="s">
        <v>34</v>
      </c>
      <c r="X535">
        <v>564137000000</v>
      </c>
      <c r="Y535">
        <v>754529699450.76001</v>
      </c>
      <c r="Z535">
        <v>598034050623.98096</v>
      </c>
      <c r="AA535">
        <v>1129153099894</v>
      </c>
      <c r="AB535">
        <v>1601728273486</v>
      </c>
      <c r="AC535">
        <v>952680085910</v>
      </c>
      <c r="AD535" t="s">
        <v>34</v>
      </c>
      <c r="AE535" t="s">
        <v>34</v>
      </c>
      <c r="AF535" t="s">
        <v>34</v>
      </c>
      <c r="AG535">
        <f t="shared" si="21"/>
        <v>933377034894.12354</v>
      </c>
    </row>
    <row r="536" spans="1:33" x14ac:dyDescent="0.3">
      <c r="A536" t="s">
        <v>509</v>
      </c>
      <c r="B536" s="1" t="s">
        <v>510</v>
      </c>
      <c r="C536" t="s">
        <v>220</v>
      </c>
      <c r="D536" s="1" t="s">
        <v>221</v>
      </c>
      <c r="E536" t="s">
        <v>34</v>
      </c>
      <c r="F536" t="s">
        <v>34</v>
      </c>
      <c r="G536" t="s">
        <v>34</v>
      </c>
      <c r="H536" t="s">
        <v>34</v>
      </c>
      <c r="I536" t="s">
        <v>34</v>
      </c>
      <c r="J536" t="s">
        <v>34</v>
      </c>
      <c r="K536" t="s">
        <v>34</v>
      </c>
      <c r="L536" t="s">
        <v>34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34</v>
      </c>
      <c r="X536" t="s">
        <v>34</v>
      </c>
      <c r="Y536" t="s">
        <v>34</v>
      </c>
      <c r="Z536" t="s">
        <v>34</v>
      </c>
      <c r="AA536" t="s">
        <v>34</v>
      </c>
      <c r="AB536" t="s">
        <v>34</v>
      </c>
      <c r="AC536" t="s">
        <v>34</v>
      </c>
      <c r="AD536" t="s">
        <v>34</v>
      </c>
      <c r="AE536" t="s">
        <v>34</v>
      </c>
      <c r="AF536" t="s">
        <v>34</v>
      </c>
      <c r="AG536" t="str">
        <f t="shared" si="21"/>
        <v>NA</v>
      </c>
    </row>
    <row r="537" spans="1:33" x14ac:dyDescent="0.3">
      <c r="A537" t="s">
        <v>509</v>
      </c>
      <c r="B537" s="1" t="s">
        <v>510</v>
      </c>
      <c r="C537" t="s">
        <v>222</v>
      </c>
      <c r="D537" s="1" t="s">
        <v>223</v>
      </c>
      <c r="E537" t="s">
        <v>34</v>
      </c>
      <c r="F537" t="s">
        <v>34</v>
      </c>
      <c r="G537" t="s">
        <v>34</v>
      </c>
      <c r="H537" t="s">
        <v>34</v>
      </c>
      <c r="I537" t="s">
        <v>34</v>
      </c>
      <c r="J537" t="s">
        <v>34</v>
      </c>
      <c r="K537" t="s">
        <v>34</v>
      </c>
      <c r="L537" t="s">
        <v>34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  <c r="Z537" t="s">
        <v>34</v>
      </c>
      <c r="AA537" t="s">
        <v>34</v>
      </c>
      <c r="AB537" t="s">
        <v>34</v>
      </c>
      <c r="AC537" t="s">
        <v>34</v>
      </c>
      <c r="AD537" t="s">
        <v>34</v>
      </c>
      <c r="AE537" t="s">
        <v>34</v>
      </c>
      <c r="AF537" t="s">
        <v>34</v>
      </c>
      <c r="AG537" t="str">
        <f t="shared" si="21"/>
        <v>NA</v>
      </c>
    </row>
    <row r="538" spans="1:33" x14ac:dyDescent="0.3">
      <c r="A538" t="s">
        <v>509</v>
      </c>
      <c r="B538" s="1" t="s">
        <v>510</v>
      </c>
      <c r="C538" t="s">
        <v>224</v>
      </c>
      <c r="D538" s="1" t="s">
        <v>225</v>
      </c>
      <c r="E538">
        <v>908000000</v>
      </c>
      <c r="F538">
        <v>977000000</v>
      </c>
      <c r="G538">
        <v>1078000000</v>
      </c>
      <c r="H538">
        <v>1097000000</v>
      </c>
      <c r="I538">
        <v>1246000000</v>
      </c>
      <c r="J538">
        <v>1417000000</v>
      </c>
      <c r="K538">
        <v>1353000000</v>
      </c>
      <c r="L538">
        <v>1398000000</v>
      </c>
      <c r="M538">
        <v>1393800000</v>
      </c>
      <c r="N538">
        <v>1594000000</v>
      </c>
      <c r="O538">
        <v>1761000000</v>
      </c>
      <c r="P538">
        <v>1894000000</v>
      </c>
      <c r="Q538">
        <v>2215000000</v>
      </c>
      <c r="R538">
        <v>2375000000</v>
      </c>
      <c r="S538">
        <v>2402000000</v>
      </c>
      <c r="T538">
        <v>2689000000</v>
      </c>
      <c r="U538">
        <v>2911000000</v>
      </c>
      <c r="V538">
        <v>2543000000</v>
      </c>
      <c r="W538">
        <v>2298000000</v>
      </c>
      <c r="X538">
        <v>2776000000</v>
      </c>
      <c r="Y538">
        <v>2870000000</v>
      </c>
      <c r="Z538">
        <v>3289000000</v>
      </c>
      <c r="AA538">
        <v>3010000000</v>
      </c>
      <c r="AB538">
        <v>2785000000</v>
      </c>
      <c r="AC538">
        <v>3016000000</v>
      </c>
      <c r="AD538">
        <v>2875000000</v>
      </c>
      <c r="AE538">
        <v>3677000000</v>
      </c>
      <c r="AF538" t="s">
        <v>34</v>
      </c>
      <c r="AG538">
        <f t="shared" si="21"/>
        <v>2142511111.1111112</v>
      </c>
    </row>
    <row r="539" spans="1:33" x14ac:dyDescent="0.3">
      <c r="A539" t="s">
        <v>509</v>
      </c>
      <c r="B539" s="1" t="s">
        <v>510</v>
      </c>
      <c r="C539" t="s">
        <v>226</v>
      </c>
      <c r="D539" s="1" t="s">
        <v>227</v>
      </c>
      <c r="E539" t="s">
        <v>34</v>
      </c>
      <c r="F539" t="s">
        <v>34</v>
      </c>
      <c r="G539" t="s">
        <v>34</v>
      </c>
      <c r="H539" t="s">
        <v>34</v>
      </c>
      <c r="I539" t="s">
        <v>34</v>
      </c>
      <c r="J539" t="s">
        <v>34</v>
      </c>
      <c r="K539" t="s">
        <v>34</v>
      </c>
      <c r="L539" t="s">
        <v>34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34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  <c r="Z539" t="s">
        <v>34</v>
      </c>
      <c r="AA539" t="s">
        <v>34</v>
      </c>
      <c r="AB539" t="s">
        <v>34</v>
      </c>
      <c r="AC539" t="s">
        <v>34</v>
      </c>
      <c r="AD539" t="s">
        <v>34</v>
      </c>
      <c r="AE539" t="s">
        <v>34</v>
      </c>
      <c r="AF539" t="s">
        <v>34</v>
      </c>
      <c r="AG539" t="str">
        <f t="shared" si="21"/>
        <v>NA</v>
      </c>
    </row>
    <row r="540" spans="1:33" x14ac:dyDescent="0.3">
      <c r="A540" t="s">
        <v>509</v>
      </c>
      <c r="B540" s="1" t="s">
        <v>510</v>
      </c>
      <c r="C540" t="s">
        <v>228</v>
      </c>
      <c r="D540" s="1" t="s">
        <v>229</v>
      </c>
      <c r="E540">
        <v>7512574670.9180002</v>
      </c>
      <c r="F540">
        <v>7847570346.0600004</v>
      </c>
      <c r="G540">
        <v>8344081335.5200005</v>
      </c>
      <c r="H540">
        <v>9318863460</v>
      </c>
      <c r="I540">
        <v>9924309161.6289997</v>
      </c>
      <c r="J540">
        <v>11227496364</v>
      </c>
      <c r="K540">
        <v>11727446943</v>
      </c>
      <c r="L540">
        <v>12592981278</v>
      </c>
      <c r="M540">
        <v>14086036000</v>
      </c>
      <c r="N540">
        <v>15949131500</v>
      </c>
      <c r="O540">
        <v>18500058000</v>
      </c>
      <c r="P540">
        <v>20030159000</v>
      </c>
      <c r="Q540">
        <v>24343893321.439999</v>
      </c>
      <c r="R540">
        <v>25960612101.84</v>
      </c>
      <c r="S540">
        <v>24285310800</v>
      </c>
      <c r="T540">
        <v>27851633924.240002</v>
      </c>
      <c r="U540">
        <v>29645161577.119999</v>
      </c>
      <c r="V540">
        <v>33604596963</v>
      </c>
      <c r="W540">
        <v>38776014590</v>
      </c>
      <c r="X540">
        <v>40498809028</v>
      </c>
      <c r="Y540">
        <v>44238715222.18</v>
      </c>
      <c r="Z540">
        <v>55165168789.129997</v>
      </c>
      <c r="AA540">
        <v>62728202688.25</v>
      </c>
      <c r="AB540">
        <v>69580598931.309998</v>
      </c>
      <c r="AC540">
        <v>73662100000</v>
      </c>
      <c r="AD540">
        <v>50829361434.339996</v>
      </c>
      <c r="AE540" t="s">
        <v>34</v>
      </c>
      <c r="AF540" t="s">
        <v>34</v>
      </c>
      <c r="AG540">
        <f t="shared" si="21"/>
        <v>28778111054.999111</v>
      </c>
    </row>
    <row r="541" spans="1:33" x14ac:dyDescent="0.3">
      <c r="A541" t="s">
        <v>509</v>
      </c>
      <c r="B541" s="1" t="s">
        <v>510</v>
      </c>
      <c r="C541" t="s">
        <v>230</v>
      </c>
      <c r="D541" s="1" t="s">
        <v>231</v>
      </c>
      <c r="E541" t="s">
        <v>34</v>
      </c>
      <c r="F541" t="s">
        <v>34</v>
      </c>
      <c r="G541" t="s">
        <v>34</v>
      </c>
      <c r="H541" t="s">
        <v>34</v>
      </c>
      <c r="I541" t="s">
        <v>34</v>
      </c>
      <c r="J541" t="s">
        <v>34</v>
      </c>
      <c r="K541" t="s">
        <v>34</v>
      </c>
      <c r="L541" t="s">
        <v>34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34</v>
      </c>
      <c r="U541" t="s">
        <v>34</v>
      </c>
      <c r="V541" t="s">
        <v>34</v>
      </c>
      <c r="W541" t="s">
        <v>34</v>
      </c>
      <c r="X541" t="s">
        <v>34</v>
      </c>
      <c r="Y541" t="s">
        <v>34</v>
      </c>
      <c r="Z541" t="s">
        <v>34</v>
      </c>
      <c r="AA541" t="s">
        <v>34</v>
      </c>
      <c r="AB541" t="s">
        <v>34</v>
      </c>
      <c r="AC541" t="s">
        <v>34</v>
      </c>
      <c r="AD541" t="s">
        <v>34</v>
      </c>
      <c r="AE541" t="s">
        <v>34</v>
      </c>
      <c r="AF541" t="s">
        <v>34</v>
      </c>
      <c r="AG541" t="str">
        <f t="shared" si="21"/>
        <v>NA</v>
      </c>
    </row>
    <row r="542" spans="1:33" x14ac:dyDescent="0.3">
      <c r="A542" t="s">
        <v>509</v>
      </c>
      <c r="B542" s="1" t="s">
        <v>510</v>
      </c>
      <c r="C542" t="s">
        <v>232</v>
      </c>
      <c r="D542" s="1" t="s">
        <v>233</v>
      </c>
      <c r="E542">
        <v>336390000</v>
      </c>
      <c r="F542">
        <v>354970000</v>
      </c>
      <c r="G542">
        <v>298240000</v>
      </c>
      <c r="H542">
        <v>325110000</v>
      </c>
      <c r="I542">
        <v>312520000</v>
      </c>
      <c r="J542">
        <v>299580000</v>
      </c>
      <c r="K542">
        <v>264410000</v>
      </c>
      <c r="L542">
        <v>256680000</v>
      </c>
      <c r="M542">
        <v>247420000</v>
      </c>
      <c r="N542">
        <v>309898099</v>
      </c>
      <c r="O542">
        <v>351100000</v>
      </c>
      <c r="P542">
        <v>361610000</v>
      </c>
      <c r="Q542">
        <v>367500000</v>
      </c>
      <c r="R542">
        <v>306900000</v>
      </c>
      <c r="S542">
        <v>290300000</v>
      </c>
      <c r="T542">
        <v>285600000</v>
      </c>
      <c r="U542">
        <v>287000000</v>
      </c>
      <c r="V542">
        <v>285600000</v>
      </c>
      <c r="W542">
        <v>325000000</v>
      </c>
      <c r="X542">
        <v>327300000</v>
      </c>
      <c r="Y542">
        <v>332800000</v>
      </c>
      <c r="Z542">
        <v>311000000</v>
      </c>
      <c r="AA542">
        <v>304300000</v>
      </c>
      <c r="AB542">
        <v>293000000</v>
      </c>
      <c r="AC542">
        <v>276600000</v>
      </c>
      <c r="AD542">
        <v>274400000</v>
      </c>
      <c r="AE542" t="s">
        <v>34</v>
      </c>
      <c r="AF542" t="s">
        <v>34</v>
      </c>
      <c r="AG542">
        <f t="shared" si="21"/>
        <v>307124157.65384614</v>
      </c>
    </row>
    <row r="543" spans="1:33" x14ac:dyDescent="0.3">
      <c r="A543" t="s">
        <v>509</v>
      </c>
      <c r="B543" s="1" t="s">
        <v>510</v>
      </c>
      <c r="C543" t="s">
        <v>234</v>
      </c>
      <c r="D543" s="1" t="s">
        <v>235</v>
      </c>
      <c r="E543" t="s">
        <v>34</v>
      </c>
      <c r="F543" t="s">
        <v>34</v>
      </c>
      <c r="G543">
        <v>8052000000</v>
      </c>
      <c r="H543">
        <v>9750000000</v>
      </c>
      <c r="I543">
        <v>11476000000</v>
      </c>
      <c r="J543">
        <v>18156626000</v>
      </c>
      <c r="K543">
        <v>25946793000</v>
      </c>
      <c r="L543">
        <v>38602728000</v>
      </c>
      <c r="M543">
        <v>42490649000</v>
      </c>
      <c r="N543">
        <v>50339959000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>
        <v>847357784073.59998</v>
      </c>
      <c r="U543">
        <v>1645940879248.8999</v>
      </c>
      <c r="V543">
        <v>772403609177.5</v>
      </c>
      <c r="W543">
        <v>1764214241693.2</v>
      </c>
      <c r="X543">
        <v>1792885935996.3</v>
      </c>
      <c r="Y543">
        <v>1109697430340.8201</v>
      </c>
      <c r="Z543">
        <v>1073496059741.9</v>
      </c>
      <c r="AA543">
        <v>1451789150883.3999</v>
      </c>
      <c r="AB543">
        <v>1918356973606.2</v>
      </c>
      <c r="AC543">
        <v>2006864582292.1001</v>
      </c>
      <c r="AD543">
        <v>1098647146803.2</v>
      </c>
      <c r="AE543">
        <v>1886000000000</v>
      </c>
      <c r="AF543" t="s">
        <v>34</v>
      </c>
      <c r="AG543">
        <f t="shared" si="21"/>
        <v>878623427442.85596</v>
      </c>
    </row>
    <row r="544" spans="1:33" x14ac:dyDescent="0.3">
      <c r="A544" t="s">
        <v>509</v>
      </c>
      <c r="B544" s="1" t="s">
        <v>510</v>
      </c>
      <c r="C544" t="s">
        <v>236</v>
      </c>
      <c r="D544" s="1" t="s">
        <v>237</v>
      </c>
      <c r="E544" t="s">
        <v>34</v>
      </c>
      <c r="F544" t="s">
        <v>34</v>
      </c>
      <c r="G544" t="s">
        <v>34</v>
      </c>
      <c r="H544" t="s">
        <v>34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34</v>
      </c>
      <c r="V544" t="s">
        <v>34</v>
      </c>
      <c r="W544" t="s">
        <v>34</v>
      </c>
      <c r="X544">
        <v>94232505384.5</v>
      </c>
      <c r="Y544">
        <v>101040903757.25</v>
      </c>
      <c r="Z544" t="s">
        <v>34</v>
      </c>
      <c r="AA544">
        <v>112890047204.89999</v>
      </c>
      <c r="AB544">
        <v>118440120000</v>
      </c>
      <c r="AC544">
        <v>153187082407.25</v>
      </c>
      <c r="AD544">
        <v>151274149314.95001</v>
      </c>
      <c r="AE544">
        <v>176621781702.75</v>
      </c>
      <c r="AF544" t="s">
        <v>34</v>
      </c>
      <c r="AG544">
        <f t="shared" si="21"/>
        <v>129669512824.5143</v>
      </c>
    </row>
    <row r="545" spans="1:33" x14ac:dyDescent="0.3">
      <c r="A545" t="s">
        <v>509</v>
      </c>
      <c r="B545" s="1" t="s">
        <v>510</v>
      </c>
      <c r="C545" t="s">
        <v>238</v>
      </c>
      <c r="D545" s="1" t="s">
        <v>239</v>
      </c>
      <c r="E545" t="s">
        <v>34</v>
      </c>
      <c r="F545" t="s">
        <v>34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  <c r="U545">
        <v>19146910.859999999</v>
      </c>
      <c r="V545">
        <v>18976768.649999999</v>
      </c>
      <c r="W545">
        <v>20554416.52</v>
      </c>
      <c r="X545">
        <v>6960796.2800000003</v>
      </c>
      <c r="Y545">
        <v>3239815</v>
      </c>
      <c r="Z545">
        <v>3239815</v>
      </c>
      <c r="AA545">
        <v>4898493.96</v>
      </c>
      <c r="AB545">
        <v>1101366.72</v>
      </c>
      <c r="AC545">
        <v>5229816.1100000003</v>
      </c>
      <c r="AD545">
        <v>5211918.9400000004</v>
      </c>
      <c r="AE545">
        <v>9429020.0600000005</v>
      </c>
      <c r="AF545" t="s">
        <v>34</v>
      </c>
      <c r="AG545">
        <f t="shared" si="21"/>
        <v>8908103.4636363629</v>
      </c>
    </row>
    <row r="546" spans="1:33" x14ac:dyDescent="0.3">
      <c r="A546" t="s">
        <v>509</v>
      </c>
      <c r="B546" s="1" t="s">
        <v>510</v>
      </c>
      <c r="C546" t="s">
        <v>240</v>
      </c>
      <c r="D546" s="1" t="s">
        <v>241</v>
      </c>
      <c r="E546" t="s">
        <v>34</v>
      </c>
      <c r="F546" t="s">
        <v>34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34</v>
      </c>
      <c r="V546" t="s">
        <v>34</v>
      </c>
      <c r="W546" t="s">
        <v>34</v>
      </c>
      <c r="X546" t="s">
        <v>34</v>
      </c>
      <c r="Y546" t="s">
        <v>34</v>
      </c>
      <c r="Z546" t="s">
        <v>34</v>
      </c>
      <c r="AA546" t="s">
        <v>34</v>
      </c>
      <c r="AB546" t="s">
        <v>34</v>
      </c>
      <c r="AC546" t="s">
        <v>34</v>
      </c>
      <c r="AD546" t="s">
        <v>34</v>
      </c>
      <c r="AE546" t="s">
        <v>34</v>
      </c>
      <c r="AF546" t="s">
        <v>34</v>
      </c>
      <c r="AG546" t="str">
        <f t="shared" si="21"/>
        <v>NA</v>
      </c>
    </row>
    <row r="547" spans="1:33" x14ac:dyDescent="0.3">
      <c r="A547" t="s">
        <v>509</v>
      </c>
      <c r="B547" s="1" t="s">
        <v>510</v>
      </c>
      <c r="C547" t="s">
        <v>242</v>
      </c>
      <c r="D547" s="1" t="s">
        <v>243</v>
      </c>
      <c r="E547">
        <v>4633000000000</v>
      </c>
      <c r="F547">
        <v>5309000000000</v>
      </c>
      <c r="G547">
        <v>5798000000000</v>
      </c>
      <c r="H547">
        <v>3835992000000</v>
      </c>
      <c r="I547">
        <v>4687298000000</v>
      </c>
      <c r="J547">
        <v>5799722000000</v>
      </c>
      <c r="K547">
        <v>5923381000000</v>
      </c>
      <c r="L547">
        <v>6601288000000</v>
      </c>
      <c r="M547">
        <v>6847339000000</v>
      </c>
      <c r="N547">
        <v>6796491000000</v>
      </c>
      <c r="O547">
        <v>6317700000000</v>
      </c>
      <c r="P547">
        <v>6858400000000</v>
      </c>
      <c r="Q547">
        <v>7410763000000</v>
      </c>
      <c r="R547">
        <v>8775691000000</v>
      </c>
      <c r="S547">
        <v>9169127000000</v>
      </c>
      <c r="T547">
        <v>10666286000000</v>
      </c>
      <c r="U547">
        <v>10990142000000</v>
      </c>
      <c r="V547">
        <v>9609260000000</v>
      </c>
      <c r="W547">
        <v>10838500000000</v>
      </c>
      <c r="X547">
        <v>8704537034362</v>
      </c>
      <c r="Y547">
        <v>8516295489322</v>
      </c>
      <c r="Z547">
        <v>8155892379763</v>
      </c>
      <c r="AA547">
        <v>8615889407231</v>
      </c>
      <c r="AB547">
        <v>8349650908766</v>
      </c>
      <c r="AC547">
        <v>7700956092436</v>
      </c>
      <c r="AD547">
        <v>7117375634977</v>
      </c>
      <c r="AE547">
        <v>8674301168410</v>
      </c>
      <c r="AF547" t="s">
        <v>34</v>
      </c>
      <c r="AG547">
        <f t="shared" si="21"/>
        <v>7507491782046.9258</v>
      </c>
    </row>
    <row r="548" spans="1:33" x14ac:dyDescent="0.3">
      <c r="A548" t="s">
        <v>509</v>
      </c>
      <c r="B548" s="1" t="s">
        <v>510</v>
      </c>
      <c r="C548" t="s">
        <v>244</v>
      </c>
      <c r="D548" s="1" t="s">
        <v>245</v>
      </c>
      <c r="E548" t="s">
        <v>34</v>
      </c>
      <c r="F548" t="s">
        <v>34</v>
      </c>
      <c r="G548" t="s">
        <v>34</v>
      </c>
      <c r="H548" t="s">
        <v>34</v>
      </c>
      <c r="I548" t="s">
        <v>34</v>
      </c>
      <c r="J548" t="s">
        <v>34</v>
      </c>
      <c r="K548" t="s">
        <v>34</v>
      </c>
      <c r="L548" t="s">
        <v>34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34</v>
      </c>
      <c r="V548" t="s">
        <v>34</v>
      </c>
      <c r="W548" t="s">
        <v>34</v>
      </c>
      <c r="X548" t="s">
        <v>34</v>
      </c>
      <c r="Y548" t="s">
        <v>34</v>
      </c>
      <c r="Z548" t="s">
        <v>34</v>
      </c>
      <c r="AA548" t="s">
        <v>34</v>
      </c>
      <c r="AB548" t="s">
        <v>34</v>
      </c>
      <c r="AC548" t="s">
        <v>34</v>
      </c>
      <c r="AD548" t="s">
        <v>34</v>
      </c>
      <c r="AE548" t="s">
        <v>34</v>
      </c>
      <c r="AF548" t="s">
        <v>34</v>
      </c>
      <c r="AG548" t="str">
        <f t="shared" si="21"/>
        <v>NA</v>
      </c>
    </row>
    <row r="549" spans="1:33" x14ac:dyDescent="0.3">
      <c r="A549" t="s">
        <v>509</v>
      </c>
      <c r="B549" s="1" t="s">
        <v>510</v>
      </c>
      <c r="C549" t="s">
        <v>246</v>
      </c>
      <c r="D549" s="1" t="s">
        <v>247</v>
      </c>
      <c r="E549">
        <v>65000000</v>
      </c>
      <c r="F549">
        <v>72000000</v>
      </c>
      <c r="G549">
        <v>83000000</v>
      </c>
      <c r="H549">
        <v>83000000</v>
      </c>
      <c r="I549" t="s">
        <v>34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34</v>
      </c>
      <c r="V549" t="s">
        <v>34</v>
      </c>
      <c r="W549" t="s">
        <v>34</v>
      </c>
      <c r="X549" t="s">
        <v>34</v>
      </c>
      <c r="Y549" t="s">
        <v>34</v>
      </c>
      <c r="Z549" t="s">
        <v>34</v>
      </c>
      <c r="AA549" t="s">
        <v>34</v>
      </c>
      <c r="AB549" t="s">
        <v>34</v>
      </c>
      <c r="AC549" t="s">
        <v>34</v>
      </c>
      <c r="AD549" t="s">
        <v>34</v>
      </c>
      <c r="AE549" t="s">
        <v>34</v>
      </c>
      <c r="AF549" t="s">
        <v>34</v>
      </c>
      <c r="AG549">
        <f t="shared" si="21"/>
        <v>75750000</v>
      </c>
    </row>
    <row r="550" spans="1:33" x14ac:dyDescent="0.3">
      <c r="A550" t="s">
        <v>509</v>
      </c>
      <c r="B550" s="1" t="s">
        <v>510</v>
      </c>
      <c r="C550" t="s">
        <v>248</v>
      </c>
      <c r="D550" s="1" t="s">
        <v>249</v>
      </c>
      <c r="E550" t="s">
        <v>34</v>
      </c>
      <c r="F550" t="s">
        <v>34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34</v>
      </c>
      <c r="U550" t="s">
        <v>34</v>
      </c>
      <c r="V550" t="s">
        <v>34</v>
      </c>
      <c r="W550" t="s">
        <v>34</v>
      </c>
      <c r="X550">
        <v>13771087000</v>
      </c>
      <c r="Y550">
        <v>9684200000</v>
      </c>
      <c r="Z550">
        <v>13809300000</v>
      </c>
      <c r="AA550">
        <v>16492900000</v>
      </c>
      <c r="AB550">
        <v>18319300000</v>
      </c>
      <c r="AC550">
        <v>21967700000</v>
      </c>
      <c r="AD550">
        <v>17310017208.91</v>
      </c>
      <c r="AE550">
        <v>24918385474.57</v>
      </c>
      <c r="AF550" t="s">
        <v>34</v>
      </c>
      <c r="AG550">
        <f t="shared" si="21"/>
        <v>17034111210.435001</v>
      </c>
    </row>
    <row r="551" spans="1:33" x14ac:dyDescent="0.3">
      <c r="A551" t="s">
        <v>509</v>
      </c>
      <c r="B551" s="1" t="s">
        <v>510</v>
      </c>
      <c r="C551" t="s">
        <v>250</v>
      </c>
      <c r="D551" s="1" t="s">
        <v>251</v>
      </c>
      <c r="E551" t="s">
        <v>34</v>
      </c>
      <c r="F551" t="s">
        <v>34</v>
      </c>
      <c r="G551" t="s">
        <v>34</v>
      </c>
      <c r="H551" t="s">
        <v>34</v>
      </c>
      <c r="I551" t="s">
        <v>34</v>
      </c>
      <c r="J551" t="s">
        <v>34</v>
      </c>
      <c r="K551" t="s">
        <v>34</v>
      </c>
      <c r="L551" t="s">
        <v>34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  <c r="Z551" t="s">
        <v>34</v>
      </c>
      <c r="AA551" t="s">
        <v>34</v>
      </c>
      <c r="AB551" t="s">
        <v>34</v>
      </c>
      <c r="AC551" t="s">
        <v>34</v>
      </c>
      <c r="AD551" t="s">
        <v>34</v>
      </c>
      <c r="AE551" t="s">
        <v>34</v>
      </c>
      <c r="AF551" t="s">
        <v>34</v>
      </c>
      <c r="AG551" t="str">
        <f t="shared" si="21"/>
        <v>NA</v>
      </c>
    </row>
    <row r="552" spans="1:33" x14ac:dyDescent="0.3">
      <c r="A552" t="s">
        <v>509</v>
      </c>
      <c r="B552" s="1" t="s">
        <v>510</v>
      </c>
      <c r="C552" t="s">
        <v>252</v>
      </c>
      <c r="D552" s="1" t="s">
        <v>253</v>
      </c>
      <c r="E552">
        <v>37037353.230772734</v>
      </c>
      <c r="F552">
        <v>37768709.34143801</v>
      </c>
      <c r="G552">
        <v>44530196.185565248</v>
      </c>
      <c r="H552">
        <v>39991235.109646499</v>
      </c>
      <c r="I552">
        <v>32541078.309172969</v>
      </c>
      <c r="J552">
        <v>29184523.707890108</v>
      </c>
      <c r="K552">
        <v>31057023.010682922</v>
      </c>
      <c r="L552">
        <v>30546212.030665733</v>
      </c>
      <c r="M552">
        <v>38019134.780109391</v>
      </c>
      <c r="N552">
        <v>13894343.230829649</v>
      </c>
      <c r="O552" t="s">
        <v>34</v>
      </c>
      <c r="P552" t="s">
        <v>34</v>
      </c>
      <c r="Q552">
        <v>44488932.903056897</v>
      </c>
      <c r="R552">
        <v>46670195.388757035</v>
      </c>
      <c r="S552">
        <v>37380265.337135248</v>
      </c>
      <c r="T552">
        <v>19524646.985503782</v>
      </c>
      <c r="U552">
        <v>1249281.4497356305</v>
      </c>
      <c r="V552">
        <v>1358842.5791543589</v>
      </c>
      <c r="W552">
        <v>2313589.5640889923</v>
      </c>
      <c r="X552">
        <v>2440225.1552353147</v>
      </c>
      <c r="Y552">
        <v>3147392.4451198345</v>
      </c>
      <c r="Z552">
        <v>-6038667.9643257577</v>
      </c>
      <c r="AA552">
        <v>4783695.0273475964</v>
      </c>
      <c r="AB552">
        <v>6495409.815538899</v>
      </c>
      <c r="AC552">
        <v>3639706.0915987957</v>
      </c>
      <c r="AD552">
        <v>-611834.87857211975</v>
      </c>
      <c r="AE552">
        <v>5493708.0608533816</v>
      </c>
      <c r="AF552" t="s">
        <v>34</v>
      </c>
      <c r="AG552">
        <f t="shared" si="21"/>
        <v>20276207.875880048</v>
      </c>
    </row>
    <row r="553" spans="1:33" x14ac:dyDescent="0.3">
      <c r="A553" t="s">
        <v>509</v>
      </c>
      <c r="B553" s="1" t="s">
        <v>510</v>
      </c>
      <c r="C553" t="s">
        <v>254</v>
      </c>
      <c r="D553" s="1" t="s">
        <v>255</v>
      </c>
      <c r="E553" t="s">
        <v>34</v>
      </c>
      <c r="F553" t="s">
        <v>34</v>
      </c>
      <c r="G553">
        <v>1741361000000</v>
      </c>
      <c r="H553">
        <v>1944390000000</v>
      </c>
      <c r="I553">
        <v>1366430000000</v>
      </c>
      <c r="J553">
        <v>1066100000000</v>
      </c>
      <c r="K553">
        <v>856500000000</v>
      </c>
      <c r="L553">
        <v>595600000000</v>
      </c>
      <c r="M553">
        <v>475400000000</v>
      </c>
      <c r="N553">
        <v>529600000000</v>
      </c>
      <c r="O553">
        <v>480966000000</v>
      </c>
      <c r="P553">
        <v>461131000000</v>
      </c>
      <c r="Q553">
        <v>560530000000</v>
      </c>
      <c r="R553">
        <v>685670000000</v>
      </c>
      <c r="S553">
        <v>768243000000</v>
      </c>
      <c r="T553">
        <v>809768000000</v>
      </c>
      <c r="U553">
        <v>776637000000</v>
      </c>
      <c r="V553">
        <v>796288000000</v>
      </c>
      <c r="W553">
        <v>816522000000</v>
      </c>
      <c r="X553">
        <v>765866000000</v>
      </c>
      <c r="Y553">
        <v>713345000000</v>
      </c>
      <c r="Z553">
        <v>706328000000</v>
      </c>
      <c r="AA553">
        <v>742225000000</v>
      </c>
      <c r="AB553">
        <v>745151000000</v>
      </c>
      <c r="AC553">
        <v>632384000000</v>
      </c>
      <c r="AD553">
        <v>328026000000</v>
      </c>
      <c r="AE553">
        <v>483605000000</v>
      </c>
      <c r="AF553" t="s">
        <v>34</v>
      </c>
      <c r="AG553">
        <f t="shared" si="21"/>
        <v>793922640000</v>
      </c>
    </row>
    <row r="554" spans="1:33" x14ac:dyDescent="0.3">
      <c r="A554" t="s">
        <v>509</v>
      </c>
      <c r="B554" s="1" t="s">
        <v>510</v>
      </c>
      <c r="C554" t="s">
        <v>256</v>
      </c>
      <c r="D554" s="1" t="s">
        <v>257</v>
      </c>
      <c r="E554">
        <v>271981277.69999999</v>
      </c>
      <c r="F554">
        <v>301813736.39999998</v>
      </c>
      <c r="G554">
        <v>351825700.19999999</v>
      </c>
      <c r="H554">
        <v>310017000</v>
      </c>
      <c r="I554">
        <v>354930900</v>
      </c>
      <c r="J554">
        <v>338710272.60000002</v>
      </c>
      <c r="K554">
        <v>431420175</v>
      </c>
      <c r="L554">
        <v>440991000</v>
      </c>
      <c r="M554">
        <v>426500000</v>
      </c>
      <c r="N554">
        <v>603700000</v>
      </c>
      <c r="O554">
        <v>691800000</v>
      </c>
      <c r="P554">
        <v>1183490926.8</v>
      </c>
      <c r="Q554">
        <v>1229305288.2</v>
      </c>
      <c r="R554">
        <v>1470180866.4000001</v>
      </c>
      <c r="S554">
        <v>1475414398.2</v>
      </c>
      <c r="T554">
        <v>788370000</v>
      </c>
      <c r="U554">
        <v>825794877.29999995</v>
      </c>
      <c r="V554">
        <v>1789897977.9000001</v>
      </c>
      <c r="W554">
        <v>1816365200.7</v>
      </c>
      <c r="X554">
        <v>2110220846.7</v>
      </c>
      <c r="Y554">
        <v>1919585977.8</v>
      </c>
      <c r="Z554">
        <v>1355689748.4000001</v>
      </c>
      <c r="AA554">
        <v>1846259747.925</v>
      </c>
      <c r="AB554">
        <v>1700830889.0999999</v>
      </c>
      <c r="AC554">
        <v>1867863056.0999999</v>
      </c>
      <c r="AD554">
        <v>2694158075.4000001</v>
      </c>
      <c r="AE554">
        <v>1802326148.724</v>
      </c>
      <c r="AF554">
        <v>1619859476.7</v>
      </c>
      <c r="AG554">
        <f t="shared" si="21"/>
        <v>1143546555.8660357</v>
      </c>
    </row>
    <row r="555" spans="1:33" x14ac:dyDescent="0.3">
      <c r="A555" t="s">
        <v>509</v>
      </c>
      <c r="B555" s="1" t="s">
        <v>510</v>
      </c>
      <c r="C555" t="s">
        <v>258</v>
      </c>
      <c r="D555" s="1" t="s">
        <v>259</v>
      </c>
      <c r="E555" t="s">
        <v>34</v>
      </c>
      <c r="F555" t="s">
        <v>34</v>
      </c>
      <c r="G555" t="s">
        <v>34</v>
      </c>
      <c r="H555" t="s">
        <v>34</v>
      </c>
      <c r="I555" t="s">
        <v>34</v>
      </c>
      <c r="J555" t="s">
        <v>34</v>
      </c>
      <c r="K555" t="s">
        <v>34</v>
      </c>
      <c r="L555" t="s">
        <v>34</v>
      </c>
      <c r="M555" t="s">
        <v>34</v>
      </c>
      <c r="N555" t="s">
        <v>34</v>
      </c>
      <c r="O555">
        <v>30167590.77</v>
      </c>
      <c r="P555">
        <v>35343607</v>
      </c>
      <c r="Q555">
        <v>69867529</v>
      </c>
      <c r="R555">
        <v>79931058</v>
      </c>
      <c r="S555" t="s">
        <v>34</v>
      </c>
      <c r="T555">
        <v>91834551.930000007</v>
      </c>
      <c r="U555">
        <v>106672549.90000001</v>
      </c>
      <c r="V555">
        <v>151886739.19999999</v>
      </c>
      <c r="W555">
        <v>155200364.80000001</v>
      </c>
      <c r="X555" t="s">
        <v>34</v>
      </c>
      <c r="Y555" t="s">
        <v>34</v>
      </c>
      <c r="Z555" t="s">
        <v>34</v>
      </c>
      <c r="AA555" t="s">
        <v>34</v>
      </c>
      <c r="AB555" t="s">
        <v>34</v>
      </c>
      <c r="AC555" t="s">
        <v>34</v>
      </c>
      <c r="AD555" t="s">
        <v>34</v>
      </c>
      <c r="AE555" t="s">
        <v>34</v>
      </c>
      <c r="AF555" t="s">
        <v>34</v>
      </c>
      <c r="AG555">
        <f t="shared" si="21"/>
        <v>90112998.824999988</v>
      </c>
    </row>
    <row r="556" spans="1:33" x14ac:dyDescent="0.3">
      <c r="A556" t="s">
        <v>509</v>
      </c>
      <c r="B556" s="1" t="s">
        <v>510</v>
      </c>
      <c r="C556" t="s">
        <v>260</v>
      </c>
      <c r="D556" s="1" t="s">
        <v>261</v>
      </c>
      <c r="E556" t="s">
        <v>34</v>
      </c>
      <c r="F556" t="s">
        <v>34</v>
      </c>
      <c r="G556" t="s">
        <v>34</v>
      </c>
      <c r="H556" t="s">
        <v>34</v>
      </c>
      <c r="I556" t="s">
        <v>34</v>
      </c>
      <c r="J556" t="s">
        <v>34</v>
      </c>
      <c r="K556" t="s">
        <v>34</v>
      </c>
      <c r="L556" t="s">
        <v>34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34</v>
      </c>
      <c r="V556" t="s">
        <v>34</v>
      </c>
      <c r="W556" t="s">
        <v>34</v>
      </c>
      <c r="X556" t="s">
        <v>34</v>
      </c>
      <c r="Y556" t="s">
        <v>34</v>
      </c>
      <c r="Z556" t="s">
        <v>34</v>
      </c>
      <c r="AA556" t="s">
        <v>34</v>
      </c>
      <c r="AB556" t="s">
        <v>34</v>
      </c>
      <c r="AC556" t="s">
        <v>34</v>
      </c>
      <c r="AD556" t="s">
        <v>34</v>
      </c>
      <c r="AE556" t="s">
        <v>34</v>
      </c>
      <c r="AF556" t="s">
        <v>34</v>
      </c>
      <c r="AG556" t="str">
        <f t="shared" si="21"/>
        <v>NA</v>
      </c>
    </row>
    <row r="557" spans="1:33" x14ac:dyDescent="0.3">
      <c r="A557" t="s">
        <v>509</v>
      </c>
      <c r="B557" s="1" t="s">
        <v>510</v>
      </c>
      <c r="C557" t="s">
        <v>262</v>
      </c>
      <c r="D557" s="1" t="s">
        <v>263</v>
      </c>
      <c r="E557" t="s">
        <v>34</v>
      </c>
      <c r="F557" t="s">
        <v>34</v>
      </c>
      <c r="G557" t="s">
        <v>34</v>
      </c>
      <c r="H557" t="s">
        <v>34</v>
      </c>
      <c r="I557" t="s">
        <v>34</v>
      </c>
      <c r="J557" t="s">
        <v>34</v>
      </c>
      <c r="K557" t="s">
        <v>34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34</v>
      </c>
      <c r="V557" t="s">
        <v>34</v>
      </c>
      <c r="W557" t="s">
        <v>34</v>
      </c>
      <c r="X557" t="s">
        <v>34</v>
      </c>
      <c r="Y557" t="s">
        <v>34</v>
      </c>
      <c r="Z557" t="s">
        <v>34</v>
      </c>
      <c r="AA557" t="s">
        <v>34</v>
      </c>
      <c r="AB557" t="s">
        <v>34</v>
      </c>
      <c r="AC557" t="s">
        <v>34</v>
      </c>
      <c r="AD557" t="s">
        <v>34</v>
      </c>
      <c r="AE557" t="s">
        <v>34</v>
      </c>
      <c r="AF557" t="s">
        <v>34</v>
      </c>
      <c r="AG557" t="str">
        <f t="shared" si="21"/>
        <v>NA</v>
      </c>
    </row>
    <row r="558" spans="1:33" x14ac:dyDescent="0.3">
      <c r="A558" t="s">
        <v>509</v>
      </c>
      <c r="B558" s="1" t="s">
        <v>510</v>
      </c>
      <c r="C558" t="s">
        <v>264</v>
      </c>
      <c r="D558" s="1" t="s">
        <v>265</v>
      </c>
      <c r="E558">
        <v>53739000</v>
      </c>
      <c r="F558">
        <v>62120000</v>
      </c>
      <c r="G558">
        <v>78428000</v>
      </c>
      <c r="H558">
        <v>71079000</v>
      </c>
      <c r="I558">
        <v>55853000</v>
      </c>
      <c r="J558">
        <v>41395000</v>
      </c>
      <c r="K558">
        <v>38757000</v>
      </c>
      <c r="L558">
        <v>39666000</v>
      </c>
      <c r="M558">
        <v>45453000</v>
      </c>
      <c r="N558">
        <v>25083000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34</v>
      </c>
      <c r="V558" t="s">
        <v>34</v>
      </c>
      <c r="W558" t="s">
        <v>34</v>
      </c>
      <c r="X558" t="s">
        <v>34</v>
      </c>
      <c r="Y558" t="s">
        <v>34</v>
      </c>
      <c r="Z558" t="s">
        <v>34</v>
      </c>
      <c r="AA558" t="s">
        <v>34</v>
      </c>
      <c r="AB558" t="s">
        <v>34</v>
      </c>
      <c r="AC558" t="s">
        <v>34</v>
      </c>
      <c r="AD558" t="s">
        <v>34</v>
      </c>
      <c r="AE558" t="s">
        <v>34</v>
      </c>
      <c r="AF558" t="s">
        <v>34</v>
      </c>
      <c r="AG558">
        <f t="shared" si="21"/>
        <v>51157300</v>
      </c>
    </row>
    <row r="559" spans="1:33" x14ac:dyDescent="0.3">
      <c r="A559" t="s">
        <v>509</v>
      </c>
      <c r="B559" s="1" t="s">
        <v>510</v>
      </c>
      <c r="C559" t="s">
        <v>266</v>
      </c>
      <c r="D559" s="1" t="s">
        <v>267</v>
      </c>
      <c r="E559" t="s">
        <v>34</v>
      </c>
      <c r="F559" t="s">
        <v>34</v>
      </c>
      <c r="G559" t="s">
        <v>34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34</v>
      </c>
      <c r="V559" t="s">
        <v>34</v>
      </c>
      <c r="W559" t="s">
        <v>34</v>
      </c>
      <c r="X559" t="s">
        <v>34</v>
      </c>
      <c r="Y559" t="s">
        <v>34</v>
      </c>
      <c r="Z559" t="s">
        <v>34</v>
      </c>
      <c r="AA559" t="s">
        <v>34</v>
      </c>
      <c r="AB559" t="s">
        <v>34</v>
      </c>
      <c r="AC559" t="s">
        <v>34</v>
      </c>
      <c r="AD559" t="s">
        <v>34</v>
      </c>
      <c r="AE559" t="s">
        <v>34</v>
      </c>
      <c r="AF559" t="s">
        <v>34</v>
      </c>
      <c r="AG559" t="str">
        <f t="shared" si="21"/>
        <v>NA</v>
      </c>
    </row>
    <row r="560" spans="1:33" x14ac:dyDescent="0.3">
      <c r="A560" t="s">
        <v>509</v>
      </c>
      <c r="B560" s="1" t="s">
        <v>510</v>
      </c>
      <c r="C560" t="s">
        <v>268</v>
      </c>
      <c r="D560" s="1" t="s">
        <v>269</v>
      </c>
      <c r="E560" t="s">
        <v>34</v>
      </c>
      <c r="F560" t="s">
        <v>34</v>
      </c>
      <c r="G560" t="s">
        <v>34</v>
      </c>
      <c r="H560" t="s">
        <v>34</v>
      </c>
      <c r="I560" t="s">
        <v>34</v>
      </c>
      <c r="J560" t="s">
        <v>34</v>
      </c>
      <c r="K560" t="s">
        <v>34</v>
      </c>
      <c r="L560" t="s">
        <v>34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  <c r="U560" t="s">
        <v>34</v>
      </c>
      <c r="V560" t="s">
        <v>34</v>
      </c>
      <c r="W560" t="s">
        <v>34</v>
      </c>
      <c r="X560" t="s">
        <v>34</v>
      </c>
      <c r="Y560" t="s">
        <v>34</v>
      </c>
      <c r="Z560" t="s">
        <v>34</v>
      </c>
      <c r="AA560" t="s">
        <v>34</v>
      </c>
      <c r="AB560" t="s">
        <v>34</v>
      </c>
      <c r="AC560" t="s">
        <v>34</v>
      </c>
      <c r="AD560" t="s">
        <v>34</v>
      </c>
      <c r="AE560" t="s">
        <v>34</v>
      </c>
      <c r="AF560" t="s">
        <v>34</v>
      </c>
      <c r="AG560" t="str">
        <f t="shared" si="21"/>
        <v>NA</v>
      </c>
    </row>
    <row r="561" spans="1:33" x14ac:dyDescent="0.3">
      <c r="A561" t="s">
        <v>509</v>
      </c>
      <c r="B561" s="1" t="s">
        <v>510</v>
      </c>
      <c r="C561" t="s">
        <v>270</v>
      </c>
      <c r="D561" s="1" t="s">
        <v>271</v>
      </c>
      <c r="E561">
        <v>126760000000</v>
      </c>
      <c r="F561" t="s">
        <v>34</v>
      </c>
      <c r="G561" t="s">
        <v>34</v>
      </c>
      <c r="H561" t="s">
        <v>34</v>
      </c>
      <c r="I561" t="s">
        <v>34</v>
      </c>
      <c r="J561" t="s">
        <v>34</v>
      </c>
      <c r="K561" t="s">
        <v>34</v>
      </c>
      <c r="L561" t="s">
        <v>34</v>
      </c>
      <c r="M561">
        <v>342632400000</v>
      </c>
      <c r="N561">
        <v>444916600000</v>
      </c>
      <c r="O561">
        <v>491000000000</v>
      </c>
      <c r="P561">
        <v>628900000000</v>
      </c>
      <c r="Q561">
        <v>774459000000</v>
      </c>
      <c r="R561">
        <v>1007400000000</v>
      </c>
      <c r="S561">
        <v>753432000000</v>
      </c>
      <c r="T561">
        <v>263059000000</v>
      </c>
      <c r="U561">
        <v>296804000000</v>
      </c>
      <c r="V561">
        <v>303762000000</v>
      </c>
      <c r="W561">
        <v>299569000000</v>
      </c>
      <c r="X561">
        <v>351891000000</v>
      </c>
      <c r="Y561">
        <v>455262000000</v>
      </c>
      <c r="Z561">
        <v>538526000000</v>
      </c>
      <c r="AA561">
        <v>628977742411</v>
      </c>
      <c r="AB561">
        <v>767683114053</v>
      </c>
      <c r="AC561">
        <v>890852151146</v>
      </c>
      <c r="AD561">
        <v>731278635022</v>
      </c>
      <c r="AE561">
        <v>858047962704</v>
      </c>
      <c r="AF561" t="s">
        <v>34</v>
      </c>
      <c r="AG561">
        <f t="shared" si="21"/>
        <v>547760630266.79999</v>
      </c>
    </row>
    <row r="562" spans="1:33" x14ac:dyDescent="0.3">
      <c r="A562" t="s">
        <v>509</v>
      </c>
      <c r="B562" s="1" t="s">
        <v>510</v>
      </c>
      <c r="C562" t="s">
        <v>272</v>
      </c>
      <c r="D562" s="1" t="s">
        <v>273</v>
      </c>
      <c r="E562" t="s">
        <v>34</v>
      </c>
      <c r="F562" t="s">
        <v>34</v>
      </c>
      <c r="G562" t="s">
        <v>34</v>
      </c>
      <c r="H562" t="s">
        <v>34</v>
      </c>
      <c r="I562" t="s">
        <v>34</v>
      </c>
      <c r="J562" t="s">
        <v>34</v>
      </c>
      <c r="K562" t="s">
        <v>34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>
        <v>13570432570</v>
      </c>
      <c r="T562">
        <v>14992795660</v>
      </c>
      <c r="U562">
        <v>17487124423</v>
      </c>
      <c r="V562">
        <v>17947786595</v>
      </c>
      <c r="W562">
        <v>32769446368.880001</v>
      </c>
      <c r="X562">
        <v>41061223959.690002</v>
      </c>
      <c r="Y562">
        <v>46238329576.25</v>
      </c>
      <c r="Z562">
        <v>52561603002.019997</v>
      </c>
      <c r="AA562">
        <v>69829925178.429993</v>
      </c>
      <c r="AB562">
        <v>76238872003.460007</v>
      </c>
      <c r="AC562">
        <v>88292113899.020004</v>
      </c>
      <c r="AD562">
        <v>84672852241.699997</v>
      </c>
      <c r="AE562">
        <v>92498228544.850601</v>
      </c>
      <c r="AF562" t="s">
        <v>34</v>
      </c>
      <c r="AG562">
        <f t="shared" si="21"/>
        <v>49858518001.715439</v>
      </c>
    </row>
    <row r="563" spans="1:33" x14ac:dyDescent="0.3">
      <c r="A563" t="s">
        <v>509</v>
      </c>
      <c r="B563" s="1" t="s">
        <v>510</v>
      </c>
      <c r="C563" t="s">
        <v>274</v>
      </c>
      <c r="D563" s="1" t="s">
        <v>275</v>
      </c>
      <c r="E563" t="s">
        <v>34</v>
      </c>
      <c r="F563">
        <v>7173000000</v>
      </c>
      <c r="G563">
        <v>7577000000</v>
      </c>
      <c r="H563">
        <v>4491000000</v>
      </c>
      <c r="I563">
        <v>5390100000</v>
      </c>
      <c r="J563">
        <v>4631400000</v>
      </c>
      <c r="K563">
        <v>4060000000</v>
      </c>
      <c r="L563">
        <v>4471000000</v>
      </c>
      <c r="M563">
        <v>5075000000</v>
      </c>
      <c r="N563">
        <v>5474000000</v>
      </c>
      <c r="O563">
        <v>5470000000</v>
      </c>
      <c r="P563">
        <v>5040155000</v>
      </c>
      <c r="Q563">
        <v>4746508736.6899996</v>
      </c>
      <c r="R563">
        <v>5414089438.6700001</v>
      </c>
      <c r="S563">
        <v>3266417507.5300002</v>
      </c>
      <c r="T563">
        <v>3776440231.2399998</v>
      </c>
      <c r="U563">
        <v>4107000000</v>
      </c>
      <c r="V563">
        <v>4250000000</v>
      </c>
      <c r="W563">
        <v>4453800000</v>
      </c>
      <c r="X563">
        <v>4562590000</v>
      </c>
      <c r="Y563">
        <v>3771000000</v>
      </c>
      <c r="Z563">
        <v>3885300000</v>
      </c>
      <c r="AA563">
        <v>4138465351.5500002</v>
      </c>
      <c r="AB563">
        <v>4621858148.2299995</v>
      </c>
      <c r="AC563">
        <v>3858623160.2199998</v>
      </c>
      <c r="AD563">
        <v>3092142815.25</v>
      </c>
      <c r="AE563">
        <v>4703000000</v>
      </c>
      <c r="AF563" t="s">
        <v>34</v>
      </c>
      <c r="AG563">
        <f t="shared" si="21"/>
        <v>4673072707.2838459</v>
      </c>
    </row>
    <row r="564" spans="1:33" x14ac:dyDescent="0.3">
      <c r="A564" t="s">
        <v>509</v>
      </c>
      <c r="B564" s="1" t="s">
        <v>510</v>
      </c>
      <c r="C564" t="s">
        <v>276</v>
      </c>
      <c r="D564" s="1" t="s">
        <v>277</v>
      </c>
      <c r="E564">
        <v>411400000</v>
      </c>
      <c r="F564">
        <v>450700000</v>
      </c>
      <c r="G564">
        <v>552800000</v>
      </c>
      <c r="H564">
        <v>576500000</v>
      </c>
      <c r="I564">
        <v>628500000</v>
      </c>
      <c r="J564">
        <v>652600000</v>
      </c>
      <c r="K564">
        <v>661700000</v>
      </c>
      <c r="L564">
        <v>692100000</v>
      </c>
      <c r="M564">
        <v>817100000</v>
      </c>
      <c r="N564">
        <v>1135900000</v>
      </c>
      <c r="O564">
        <v>1245700000</v>
      </c>
      <c r="P564">
        <v>1684000000</v>
      </c>
      <c r="Q564">
        <v>2086500000</v>
      </c>
      <c r="R564">
        <v>2448800000</v>
      </c>
      <c r="S564">
        <v>1848800000</v>
      </c>
      <c r="T564" t="s">
        <v>34</v>
      </c>
      <c r="U564" t="s">
        <v>34</v>
      </c>
      <c r="V564" t="s">
        <v>34</v>
      </c>
      <c r="W564" t="s">
        <v>34</v>
      </c>
      <c r="X564" t="s">
        <v>34</v>
      </c>
      <c r="Y564" t="s">
        <v>34</v>
      </c>
      <c r="Z564" t="s">
        <v>34</v>
      </c>
      <c r="AA564" t="s">
        <v>34</v>
      </c>
      <c r="AB564" t="s">
        <v>34</v>
      </c>
      <c r="AC564" t="s">
        <v>34</v>
      </c>
      <c r="AD564" t="s">
        <v>34</v>
      </c>
      <c r="AE564" t="s">
        <v>34</v>
      </c>
      <c r="AF564" t="s">
        <v>34</v>
      </c>
      <c r="AG564">
        <f t="shared" si="21"/>
        <v>1059540000</v>
      </c>
    </row>
    <row r="565" spans="1:33" x14ac:dyDescent="0.3">
      <c r="A565" t="s">
        <v>509</v>
      </c>
      <c r="B565" s="1" t="s">
        <v>510</v>
      </c>
      <c r="C565" t="s">
        <v>278</v>
      </c>
      <c r="D565" s="1" t="s">
        <v>279</v>
      </c>
      <c r="E565" t="s">
        <v>34</v>
      </c>
      <c r="F565" t="s">
        <v>34</v>
      </c>
      <c r="G565" t="s">
        <v>34</v>
      </c>
      <c r="H565" t="s">
        <v>34</v>
      </c>
      <c r="I565" t="s">
        <v>34</v>
      </c>
      <c r="J565">
        <v>36476444000</v>
      </c>
      <c r="K565">
        <v>40200901000</v>
      </c>
      <c r="L565">
        <v>48552764000</v>
      </c>
      <c r="M565">
        <v>58375069000</v>
      </c>
      <c r="N565">
        <v>67596241978</v>
      </c>
      <c r="O565">
        <v>76331931743</v>
      </c>
      <c r="P565">
        <v>67147600000</v>
      </c>
      <c r="Q565">
        <v>86700000000</v>
      </c>
      <c r="R565">
        <v>64300000000</v>
      </c>
      <c r="S565">
        <v>90063700000</v>
      </c>
      <c r="T565">
        <v>94600000000</v>
      </c>
      <c r="U565">
        <v>112057000000</v>
      </c>
      <c r="V565">
        <v>99767000000</v>
      </c>
      <c r="W565">
        <v>111764000000</v>
      </c>
      <c r="X565">
        <v>134000000000</v>
      </c>
      <c r="Y565">
        <v>142845380597</v>
      </c>
      <c r="Z565">
        <v>138800000000</v>
      </c>
      <c r="AA565">
        <v>162700000000</v>
      </c>
      <c r="AB565">
        <v>145844000000</v>
      </c>
      <c r="AC565">
        <v>174991801348</v>
      </c>
      <c r="AD565">
        <v>175125911975.48801</v>
      </c>
      <c r="AE565" t="s">
        <v>34</v>
      </c>
      <c r="AF565" t="s">
        <v>34</v>
      </c>
      <c r="AG565">
        <f t="shared" si="21"/>
        <v>101344749792.45181</v>
      </c>
    </row>
    <row r="566" spans="1:33" x14ac:dyDescent="0.3">
      <c r="A566" t="s">
        <v>509</v>
      </c>
      <c r="B566" s="1" t="s">
        <v>510</v>
      </c>
      <c r="C566" t="s">
        <v>280</v>
      </c>
      <c r="D566" s="1" t="s">
        <v>281</v>
      </c>
      <c r="E566">
        <v>88970416.957838342</v>
      </c>
      <c r="F566">
        <v>89010016.305613786</v>
      </c>
      <c r="G566">
        <v>97183787.561146051</v>
      </c>
      <c r="H566">
        <v>99741439.552760303</v>
      </c>
      <c r="I566">
        <v>115602143.02352667</v>
      </c>
      <c r="J566">
        <v>112988586.07034707</v>
      </c>
      <c r="K566">
        <v>116438388.07360819</v>
      </c>
      <c r="L566">
        <v>160824598.18308875</v>
      </c>
      <c r="M566">
        <v>133785231.77265315</v>
      </c>
      <c r="N566">
        <v>29937106.918238994</v>
      </c>
      <c r="O566">
        <v>33726997.43768926</v>
      </c>
      <c r="P566">
        <v>5515956.2077801069</v>
      </c>
      <c r="Q566">
        <v>19895178.197064988</v>
      </c>
      <c r="R566">
        <v>949000</v>
      </c>
      <c r="S566">
        <v>75000</v>
      </c>
      <c r="T566" t="s">
        <v>34</v>
      </c>
      <c r="U566" t="s">
        <v>34</v>
      </c>
      <c r="V566" t="s">
        <v>34</v>
      </c>
      <c r="W566" t="s">
        <v>34</v>
      </c>
      <c r="X566">
        <v>31798000</v>
      </c>
      <c r="Y566" t="s">
        <v>34</v>
      </c>
      <c r="Z566" t="s">
        <v>34</v>
      </c>
      <c r="AA566" t="s">
        <v>34</v>
      </c>
      <c r="AB566" t="s">
        <v>34</v>
      </c>
      <c r="AC566" t="s">
        <v>34</v>
      </c>
      <c r="AD566" t="s">
        <v>34</v>
      </c>
      <c r="AE566" t="s">
        <v>34</v>
      </c>
      <c r="AF566" t="s">
        <v>34</v>
      </c>
      <c r="AG566">
        <f t="shared" si="21"/>
        <v>71027615.391334713</v>
      </c>
    </row>
    <row r="567" spans="1:33" x14ac:dyDescent="0.3">
      <c r="A567" t="s">
        <v>509</v>
      </c>
      <c r="B567" s="1" t="s">
        <v>510</v>
      </c>
      <c r="C567" t="s">
        <v>282</v>
      </c>
      <c r="D567" s="1" t="s">
        <v>283</v>
      </c>
      <c r="E567" t="s">
        <v>34</v>
      </c>
      <c r="F567" t="s">
        <v>34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>
        <v>8672349</v>
      </c>
      <c r="S567">
        <v>7138075</v>
      </c>
      <c r="T567">
        <v>7721629</v>
      </c>
      <c r="U567">
        <v>7711841</v>
      </c>
      <c r="V567">
        <v>6871215</v>
      </c>
      <c r="W567">
        <v>7455467</v>
      </c>
      <c r="X567">
        <v>6889210</v>
      </c>
      <c r="Y567">
        <v>7741883</v>
      </c>
      <c r="Z567">
        <v>8158230</v>
      </c>
      <c r="AA567">
        <v>8465757</v>
      </c>
      <c r="AB567">
        <v>8391000</v>
      </c>
      <c r="AC567">
        <v>9360656</v>
      </c>
      <c r="AD567">
        <v>9266000</v>
      </c>
      <c r="AE567" t="s">
        <v>34</v>
      </c>
      <c r="AF567" t="s">
        <v>34</v>
      </c>
      <c r="AG567">
        <f t="shared" si="21"/>
        <v>7987947.076923077</v>
      </c>
    </row>
    <row r="568" spans="1:33" x14ac:dyDescent="0.3">
      <c r="A568" t="s">
        <v>509</v>
      </c>
      <c r="B568" s="1" t="s">
        <v>510</v>
      </c>
      <c r="C568" t="s">
        <v>284</v>
      </c>
      <c r="D568" s="1" t="s">
        <v>285</v>
      </c>
      <c r="E568" t="s">
        <v>34</v>
      </c>
      <c r="F568" t="s">
        <v>34</v>
      </c>
      <c r="G568" t="s">
        <v>34</v>
      </c>
      <c r="H568" t="s">
        <v>34</v>
      </c>
      <c r="I568" t="s">
        <v>34</v>
      </c>
      <c r="J568" t="s">
        <v>34</v>
      </c>
      <c r="K568" t="s">
        <v>34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34</v>
      </c>
      <c r="V568" t="s">
        <v>34</v>
      </c>
      <c r="W568" t="s">
        <v>34</v>
      </c>
      <c r="X568" t="s">
        <v>34</v>
      </c>
      <c r="Y568" t="s">
        <v>34</v>
      </c>
      <c r="Z568" t="s">
        <v>34</v>
      </c>
      <c r="AA568" t="s">
        <v>34</v>
      </c>
      <c r="AB568" t="s">
        <v>34</v>
      </c>
      <c r="AC568" t="s">
        <v>34</v>
      </c>
      <c r="AD568" t="s">
        <v>34</v>
      </c>
      <c r="AE568" t="s">
        <v>34</v>
      </c>
      <c r="AF568" t="s">
        <v>34</v>
      </c>
      <c r="AG568" t="str">
        <f t="shared" si="21"/>
        <v>NA</v>
      </c>
    </row>
    <row r="569" spans="1:33" x14ac:dyDescent="0.3">
      <c r="A569" t="s">
        <v>509</v>
      </c>
      <c r="B569" s="1" t="s">
        <v>510</v>
      </c>
      <c r="C569" t="s">
        <v>286</v>
      </c>
      <c r="D569" s="1" t="s">
        <v>287</v>
      </c>
      <c r="E569">
        <v>4978600000</v>
      </c>
      <c r="F569">
        <v>4898500000</v>
      </c>
      <c r="G569">
        <v>5569700000</v>
      </c>
      <c r="H569">
        <v>6157000000</v>
      </c>
      <c r="I569">
        <v>5973000000</v>
      </c>
      <c r="J569">
        <v>6935000000</v>
      </c>
      <c r="K569">
        <v>6349100000</v>
      </c>
      <c r="L569">
        <v>5893400000</v>
      </c>
      <c r="M569">
        <v>6522600000</v>
      </c>
      <c r="N569">
        <v>7385400000</v>
      </c>
      <c r="O569">
        <v>7730500000</v>
      </c>
      <c r="P569">
        <v>7195400000</v>
      </c>
      <c r="Q569">
        <v>6299200000</v>
      </c>
      <c r="R569">
        <v>6646200000</v>
      </c>
      <c r="S569">
        <v>1501200000</v>
      </c>
      <c r="T569">
        <v>1525200000</v>
      </c>
      <c r="U569">
        <v>1560300000</v>
      </c>
      <c r="V569">
        <v>1505900000</v>
      </c>
      <c r="W569">
        <v>1389400000</v>
      </c>
      <c r="X569">
        <v>1238700000</v>
      </c>
      <c r="Y569">
        <v>530000000</v>
      </c>
      <c r="Z569">
        <v>1346900000</v>
      </c>
      <c r="AA569">
        <v>1176909460</v>
      </c>
      <c r="AB569">
        <v>1344068492</v>
      </c>
      <c r="AC569">
        <v>1379400000</v>
      </c>
      <c r="AD569">
        <v>1216300000</v>
      </c>
      <c r="AE569">
        <v>1180000000</v>
      </c>
      <c r="AF569">
        <v>1528300000</v>
      </c>
      <c r="AG569">
        <f t="shared" si="21"/>
        <v>3819863498.2857141</v>
      </c>
    </row>
    <row r="570" spans="1:33" x14ac:dyDescent="0.3">
      <c r="A570" t="s">
        <v>509</v>
      </c>
      <c r="B570" s="1" t="s">
        <v>510</v>
      </c>
      <c r="C570" t="s">
        <v>288</v>
      </c>
      <c r="D570" s="1" t="s">
        <v>289</v>
      </c>
      <c r="E570">
        <v>11208000000</v>
      </c>
      <c r="F570">
        <v>14905000000</v>
      </c>
      <c r="G570">
        <v>18103000000</v>
      </c>
      <c r="H570">
        <v>21489000000</v>
      </c>
      <c r="I570">
        <v>27304000000</v>
      </c>
      <c r="J570">
        <v>32865000000</v>
      </c>
      <c r="K570" t="s">
        <v>34</v>
      </c>
      <c r="L570" t="s">
        <v>34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>
        <v>37921048536.849998</v>
      </c>
      <c r="S570">
        <v>31732395516</v>
      </c>
      <c r="T570">
        <v>26602095792.07</v>
      </c>
      <c r="U570">
        <v>29947772037</v>
      </c>
      <c r="V570">
        <v>31162194653.610001</v>
      </c>
      <c r="W570">
        <v>32324687903.98</v>
      </c>
      <c r="X570">
        <v>36838407525</v>
      </c>
      <c r="Y570">
        <v>45367318799</v>
      </c>
      <c r="Z570">
        <v>51889470841</v>
      </c>
      <c r="AA570">
        <v>53793492208</v>
      </c>
      <c r="AB570">
        <v>67232467241</v>
      </c>
      <c r="AC570">
        <v>66295172299</v>
      </c>
      <c r="AD570">
        <v>59247190154</v>
      </c>
      <c r="AE570">
        <v>77235961024</v>
      </c>
      <c r="AF570" t="s">
        <v>34</v>
      </c>
      <c r="AG570">
        <f t="shared" si="21"/>
        <v>38673183726.525497</v>
      </c>
    </row>
    <row r="571" spans="1:33" x14ac:dyDescent="0.3">
      <c r="A571" t="s">
        <v>509</v>
      </c>
      <c r="B571" s="1" t="s">
        <v>510</v>
      </c>
      <c r="C571" t="s">
        <v>290</v>
      </c>
      <c r="D571" s="1" t="s">
        <v>291</v>
      </c>
      <c r="E571" t="s">
        <v>34</v>
      </c>
      <c r="F571" t="s">
        <v>34</v>
      </c>
      <c r="G571" t="s">
        <v>34</v>
      </c>
      <c r="H571" t="s">
        <v>34</v>
      </c>
      <c r="I571" t="s">
        <v>34</v>
      </c>
      <c r="J571" t="s">
        <v>34</v>
      </c>
      <c r="K571" t="s">
        <v>34</v>
      </c>
      <c r="L571" t="s">
        <v>34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>
        <v>4094536</v>
      </c>
      <c r="S571">
        <v>4601954</v>
      </c>
      <c r="T571">
        <v>4951206</v>
      </c>
      <c r="U571">
        <v>4676417</v>
      </c>
      <c r="V571">
        <v>4383741</v>
      </c>
      <c r="W571">
        <v>4041220</v>
      </c>
      <c r="X571">
        <v>3796450</v>
      </c>
      <c r="Y571">
        <v>4302059</v>
      </c>
      <c r="Z571">
        <v>5055350</v>
      </c>
      <c r="AA571">
        <v>5867510</v>
      </c>
      <c r="AB571">
        <v>6102204</v>
      </c>
      <c r="AC571">
        <v>6085488</v>
      </c>
      <c r="AD571">
        <v>6195976</v>
      </c>
      <c r="AE571" t="s">
        <v>34</v>
      </c>
      <c r="AF571" t="s">
        <v>34</v>
      </c>
      <c r="AG571">
        <f t="shared" si="21"/>
        <v>4934931.615384615</v>
      </c>
    </row>
    <row r="572" spans="1:33" x14ac:dyDescent="0.3">
      <c r="A572" t="s">
        <v>509</v>
      </c>
      <c r="B572" s="1" t="s">
        <v>510</v>
      </c>
      <c r="C572" t="s">
        <v>292</v>
      </c>
      <c r="D572" s="1" t="s">
        <v>293</v>
      </c>
      <c r="E572" t="s">
        <v>34</v>
      </c>
      <c r="F572">
        <v>89400000</v>
      </c>
      <c r="G572">
        <v>107300000</v>
      </c>
      <c r="H572">
        <v>109300000</v>
      </c>
      <c r="I572">
        <v>230800000</v>
      </c>
      <c r="J572">
        <v>230700000</v>
      </c>
      <c r="K572">
        <v>234100000</v>
      </c>
      <c r="L572">
        <v>332900000</v>
      </c>
      <c r="M572">
        <v>476600000</v>
      </c>
      <c r="N572">
        <v>495600000</v>
      </c>
      <c r="O572">
        <v>685000000</v>
      </c>
      <c r="P572">
        <v>637400000</v>
      </c>
      <c r="Q572">
        <v>900000000</v>
      </c>
      <c r="R572">
        <v>1150000000</v>
      </c>
      <c r="S572">
        <v>907500000</v>
      </c>
      <c r="T572">
        <v>1080300000</v>
      </c>
      <c r="U572">
        <v>1179300000</v>
      </c>
      <c r="V572">
        <v>1286500000</v>
      </c>
      <c r="W572">
        <v>1417200000</v>
      </c>
      <c r="X572">
        <v>1457900000</v>
      </c>
      <c r="Y572">
        <v>1328300000</v>
      </c>
      <c r="Z572">
        <v>1451900000</v>
      </c>
      <c r="AA572">
        <v>1591100000</v>
      </c>
      <c r="AB572">
        <v>1665800000</v>
      </c>
      <c r="AC572">
        <v>1798400000</v>
      </c>
      <c r="AD572">
        <v>1738900000</v>
      </c>
      <c r="AE572">
        <v>2253000000</v>
      </c>
      <c r="AF572">
        <v>2732100000</v>
      </c>
      <c r="AG572">
        <f t="shared" ref="AG572:AG635" si="22">IFERROR(AVERAGE(E572:AF572),"NA")</f>
        <v>1021011111.1111112</v>
      </c>
    </row>
    <row r="573" spans="1:33" x14ac:dyDescent="0.3">
      <c r="A573" t="s">
        <v>509</v>
      </c>
      <c r="B573" s="1" t="s">
        <v>510</v>
      </c>
      <c r="C573" t="s">
        <v>294</v>
      </c>
      <c r="D573" s="1" t="s">
        <v>295</v>
      </c>
      <c r="E573" t="s">
        <v>34</v>
      </c>
      <c r="F573" t="s">
        <v>34</v>
      </c>
      <c r="G573" t="s">
        <v>34</v>
      </c>
      <c r="H573" t="s">
        <v>34</v>
      </c>
      <c r="I573" t="s">
        <v>34</v>
      </c>
      <c r="J573" t="s">
        <v>34</v>
      </c>
      <c r="K573" t="s">
        <v>34</v>
      </c>
      <c r="L573" t="s">
        <v>34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34</v>
      </c>
      <c r="T573" t="s">
        <v>34</v>
      </c>
      <c r="U573" t="s">
        <v>34</v>
      </c>
      <c r="V573" t="s">
        <v>34</v>
      </c>
      <c r="W573" t="s">
        <v>34</v>
      </c>
      <c r="X573" t="s">
        <v>34</v>
      </c>
      <c r="Y573" t="s">
        <v>34</v>
      </c>
      <c r="Z573" t="s">
        <v>34</v>
      </c>
      <c r="AA573" t="s">
        <v>34</v>
      </c>
      <c r="AB573" t="s">
        <v>34</v>
      </c>
      <c r="AC573" t="s">
        <v>34</v>
      </c>
      <c r="AD573" t="s">
        <v>34</v>
      </c>
      <c r="AE573" t="s">
        <v>34</v>
      </c>
      <c r="AF573" t="s">
        <v>34</v>
      </c>
      <c r="AG573" t="str">
        <f t="shared" si="22"/>
        <v>NA</v>
      </c>
    </row>
    <row r="574" spans="1:33" x14ac:dyDescent="0.3">
      <c r="A574" t="s">
        <v>509</v>
      </c>
      <c r="B574" s="1" t="s">
        <v>510</v>
      </c>
      <c r="C574" t="s">
        <v>296</v>
      </c>
      <c r="D574" s="1" t="s">
        <v>297</v>
      </c>
      <c r="E574">
        <v>9572000000</v>
      </c>
      <c r="F574">
        <v>13918000000</v>
      </c>
      <c r="G574">
        <v>8791000000</v>
      </c>
      <c r="H574">
        <v>1509000000</v>
      </c>
      <c r="I574">
        <v>9013000000</v>
      </c>
      <c r="J574">
        <v>22306000000</v>
      </c>
      <c r="K574">
        <v>27018000000</v>
      </c>
      <c r="L574">
        <v>24592479500</v>
      </c>
      <c r="M574">
        <v>32646652800</v>
      </c>
      <c r="N574" t="s">
        <v>34</v>
      </c>
      <c r="O574" t="s">
        <v>34</v>
      </c>
      <c r="P574">
        <v>72073800000</v>
      </c>
      <c r="Q574">
        <v>102480800000</v>
      </c>
      <c r="R574">
        <v>150838700000</v>
      </c>
      <c r="S574">
        <v>115987500000</v>
      </c>
      <c r="T574">
        <v>193322000000</v>
      </c>
      <c r="U574">
        <v>337422580200</v>
      </c>
      <c r="V574">
        <v>327369779480</v>
      </c>
      <c r="W574">
        <v>381427000000</v>
      </c>
      <c r="X574">
        <v>355328922129.25</v>
      </c>
      <c r="Y574">
        <v>320594850777.71002</v>
      </c>
      <c r="Z574">
        <v>328490600000</v>
      </c>
      <c r="AA574">
        <v>576636183500</v>
      </c>
      <c r="AB574">
        <v>684321383283.01001</v>
      </c>
      <c r="AC574">
        <v>790179283208</v>
      </c>
      <c r="AD574">
        <v>738837953718</v>
      </c>
      <c r="AE574">
        <v>943391019115</v>
      </c>
      <c r="AF574" t="s">
        <v>34</v>
      </c>
      <c r="AG574">
        <f t="shared" si="22"/>
        <v>262722739508.43878</v>
      </c>
    </row>
    <row r="575" spans="1:33" x14ac:dyDescent="0.3">
      <c r="A575" t="s">
        <v>509</v>
      </c>
      <c r="B575" s="1" t="s">
        <v>510</v>
      </c>
      <c r="C575" t="s">
        <v>298</v>
      </c>
      <c r="D575" s="1" t="s">
        <v>299</v>
      </c>
      <c r="E575" t="s">
        <v>34</v>
      </c>
      <c r="F575" t="s">
        <v>34</v>
      </c>
      <c r="G575" t="s">
        <v>34</v>
      </c>
      <c r="H575" t="s">
        <v>34</v>
      </c>
      <c r="I575" t="s">
        <v>34</v>
      </c>
      <c r="J575" t="s">
        <v>34</v>
      </c>
      <c r="K575" t="s">
        <v>34</v>
      </c>
      <c r="L575" t="s">
        <v>34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34</v>
      </c>
      <c r="V575" t="s">
        <v>34</v>
      </c>
      <c r="W575" t="s">
        <v>34</v>
      </c>
      <c r="X575" t="s">
        <v>34</v>
      </c>
      <c r="Y575" t="s">
        <v>34</v>
      </c>
      <c r="Z575" t="s">
        <v>34</v>
      </c>
      <c r="AA575" t="s">
        <v>34</v>
      </c>
      <c r="AB575" t="s">
        <v>34</v>
      </c>
      <c r="AC575" t="s">
        <v>34</v>
      </c>
      <c r="AD575" t="s">
        <v>34</v>
      </c>
      <c r="AE575" t="s">
        <v>34</v>
      </c>
      <c r="AF575" t="s">
        <v>34</v>
      </c>
      <c r="AG575" t="str">
        <f t="shared" si="22"/>
        <v>NA</v>
      </c>
    </row>
    <row r="576" spans="1:33" x14ac:dyDescent="0.3">
      <c r="A576" t="s">
        <v>509</v>
      </c>
      <c r="B576" s="1" t="s">
        <v>510</v>
      </c>
      <c r="C576" t="s">
        <v>300</v>
      </c>
      <c r="D576" s="1" t="s">
        <v>301</v>
      </c>
      <c r="E576">
        <v>11843000000</v>
      </c>
      <c r="F576" t="s">
        <v>34</v>
      </c>
      <c r="G576">
        <v>14239000000</v>
      </c>
      <c r="H576">
        <v>15438000000</v>
      </c>
      <c r="I576">
        <v>16293000000</v>
      </c>
      <c r="J576" t="s">
        <v>34</v>
      </c>
      <c r="K576" t="s">
        <v>34</v>
      </c>
      <c r="L576">
        <v>14343414000</v>
      </c>
      <c r="M576">
        <v>13113640000</v>
      </c>
      <c r="N576">
        <v>13843444000</v>
      </c>
      <c r="O576">
        <v>13813391000</v>
      </c>
      <c r="P576">
        <v>13802840000</v>
      </c>
      <c r="Q576">
        <v>14913324000</v>
      </c>
      <c r="R576">
        <v>14681120000</v>
      </c>
      <c r="S576">
        <v>14784880000</v>
      </c>
      <c r="T576">
        <v>13606140000</v>
      </c>
      <c r="U576">
        <v>13652600000</v>
      </c>
      <c r="V576">
        <v>9354820000</v>
      </c>
      <c r="W576">
        <v>8092000000</v>
      </c>
      <c r="X576">
        <v>8135720000</v>
      </c>
      <c r="Y576">
        <v>8102380000</v>
      </c>
      <c r="Z576">
        <v>9466600000</v>
      </c>
      <c r="AA576">
        <v>9031410000</v>
      </c>
      <c r="AB576">
        <v>10136300000</v>
      </c>
      <c r="AC576">
        <v>10210580000</v>
      </c>
      <c r="AD576">
        <v>9934030000</v>
      </c>
      <c r="AE576">
        <v>12356130000</v>
      </c>
      <c r="AF576">
        <v>14511740000</v>
      </c>
      <c r="AG576">
        <f t="shared" si="22"/>
        <v>12307980120</v>
      </c>
    </row>
    <row r="577" spans="1:33" x14ac:dyDescent="0.3">
      <c r="A577" t="s">
        <v>509</v>
      </c>
      <c r="B577" s="1" t="s">
        <v>510</v>
      </c>
      <c r="C577" t="s">
        <v>302</v>
      </c>
      <c r="D577" s="1" t="s">
        <v>303</v>
      </c>
      <c r="E577" t="s">
        <v>34</v>
      </c>
      <c r="F577" t="s">
        <v>34</v>
      </c>
      <c r="G577" t="s">
        <v>34</v>
      </c>
      <c r="H577" t="s">
        <v>34</v>
      </c>
      <c r="I577" t="s">
        <v>34</v>
      </c>
      <c r="J577" t="s">
        <v>34</v>
      </c>
      <c r="K577" t="s">
        <v>34</v>
      </c>
      <c r="L577" t="s">
        <v>34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>
        <v>4169536741.8000002</v>
      </c>
      <c r="U577">
        <v>5609365835.46</v>
      </c>
      <c r="V577">
        <v>6816085625.3299999</v>
      </c>
      <c r="W577">
        <v>8700188277</v>
      </c>
      <c r="X577">
        <v>11961100000</v>
      </c>
      <c r="Y577">
        <v>12643480000</v>
      </c>
      <c r="Z577">
        <v>12663502000</v>
      </c>
      <c r="AA577">
        <v>12031829149.84</v>
      </c>
      <c r="AB577">
        <v>14927441000</v>
      </c>
      <c r="AC577">
        <v>15377627000</v>
      </c>
      <c r="AD577">
        <v>15130200000</v>
      </c>
      <c r="AE577">
        <v>17963704000</v>
      </c>
      <c r="AF577" t="s">
        <v>34</v>
      </c>
      <c r="AG577">
        <f t="shared" si="22"/>
        <v>11499504969.119165</v>
      </c>
    </row>
    <row r="578" spans="1:33" x14ac:dyDescent="0.3">
      <c r="A578" t="s">
        <v>509</v>
      </c>
      <c r="B578" s="1" t="s">
        <v>510</v>
      </c>
      <c r="C578" t="s">
        <v>304</v>
      </c>
      <c r="D578" s="1" t="s">
        <v>305</v>
      </c>
      <c r="E578">
        <v>4683000000</v>
      </c>
      <c r="F578">
        <v>8028000000</v>
      </c>
      <c r="G578">
        <v>8572000000</v>
      </c>
      <c r="H578">
        <v>5390000000</v>
      </c>
      <c r="I578">
        <v>5375000000</v>
      </c>
      <c r="J578">
        <v>5486000000</v>
      </c>
      <c r="K578">
        <v>6301000000</v>
      </c>
      <c r="L578">
        <v>5295000000</v>
      </c>
      <c r="M578">
        <v>4602000000</v>
      </c>
      <c r="N578">
        <v>21613000000</v>
      </c>
      <c r="O578">
        <v>18448000000</v>
      </c>
      <c r="P578" t="s">
        <v>34</v>
      </c>
      <c r="Q578" t="s">
        <v>34</v>
      </c>
      <c r="R578" t="s">
        <v>34</v>
      </c>
      <c r="S578" t="s">
        <v>34</v>
      </c>
      <c r="T578" t="s">
        <v>34</v>
      </c>
      <c r="U578" t="s">
        <v>34</v>
      </c>
      <c r="V578">
        <v>367923199000</v>
      </c>
      <c r="W578">
        <v>363234326000</v>
      </c>
      <c r="X578">
        <v>495597985000</v>
      </c>
      <c r="Y578">
        <v>467241939000</v>
      </c>
      <c r="Z578">
        <v>480186930000</v>
      </c>
      <c r="AA578">
        <v>490000000000</v>
      </c>
      <c r="AB578">
        <v>265697215000</v>
      </c>
      <c r="AC578">
        <v>463812828000</v>
      </c>
      <c r="AD578" t="s">
        <v>34</v>
      </c>
      <c r="AE578" t="s">
        <v>34</v>
      </c>
      <c r="AF578" t="s">
        <v>34</v>
      </c>
      <c r="AG578">
        <f t="shared" si="22"/>
        <v>183551969578.94736</v>
      </c>
    </row>
    <row r="579" spans="1:33" x14ac:dyDescent="0.3">
      <c r="A579" t="s">
        <v>509</v>
      </c>
      <c r="B579" s="1" t="s">
        <v>510</v>
      </c>
      <c r="C579" t="s">
        <v>306</v>
      </c>
      <c r="D579" s="1" t="s">
        <v>307</v>
      </c>
      <c r="E579">
        <v>1155600000</v>
      </c>
      <c r="F579">
        <v>1348700000</v>
      </c>
      <c r="G579">
        <v>1560400000</v>
      </c>
      <c r="H579">
        <v>1805200000</v>
      </c>
      <c r="I579">
        <v>2240700000</v>
      </c>
      <c r="J579">
        <v>2877330000</v>
      </c>
      <c r="K579">
        <v>2641158000</v>
      </c>
      <c r="L579">
        <v>2596887000</v>
      </c>
      <c r="M579">
        <v>3035612000</v>
      </c>
      <c r="N579">
        <v>4206768000</v>
      </c>
      <c r="O579">
        <v>3891881826</v>
      </c>
      <c r="P579">
        <v>6697893593</v>
      </c>
      <c r="Q579">
        <v>8085122000</v>
      </c>
      <c r="R579">
        <v>8502148000</v>
      </c>
      <c r="S579">
        <v>8585176000</v>
      </c>
      <c r="T579">
        <v>5975941000</v>
      </c>
      <c r="U579">
        <v>7136964877</v>
      </c>
      <c r="V579">
        <v>13795804050.07</v>
      </c>
      <c r="W579">
        <v>14726563325</v>
      </c>
      <c r="X579">
        <v>18116627549</v>
      </c>
      <c r="Y579">
        <v>17354666510</v>
      </c>
      <c r="Z579">
        <v>14070729700</v>
      </c>
      <c r="AA579">
        <v>19597422509</v>
      </c>
      <c r="AB579">
        <v>17374889671</v>
      </c>
      <c r="AC579">
        <v>18922264883</v>
      </c>
      <c r="AD579">
        <v>22251886451</v>
      </c>
      <c r="AE579">
        <v>15093282624.219999</v>
      </c>
      <c r="AF579" t="s">
        <v>34</v>
      </c>
      <c r="AG579">
        <f t="shared" si="22"/>
        <v>9023985909.9366665</v>
      </c>
    </row>
    <row r="580" spans="1:33" x14ac:dyDescent="0.3">
      <c r="A580" t="s">
        <v>509</v>
      </c>
      <c r="B580" s="1" t="s">
        <v>510</v>
      </c>
      <c r="C580" t="s">
        <v>308</v>
      </c>
      <c r="D580" s="1" t="s">
        <v>309</v>
      </c>
      <c r="E580" t="s">
        <v>34</v>
      </c>
      <c r="F580" t="s">
        <v>34</v>
      </c>
      <c r="G580" t="s">
        <v>34</v>
      </c>
      <c r="H580" t="s">
        <v>34</v>
      </c>
      <c r="I580" t="s">
        <v>34</v>
      </c>
      <c r="J580" t="s">
        <v>34</v>
      </c>
      <c r="K580" t="s">
        <v>34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34</v>
      </c>
      <c r="X580">
        <v>18711235</v>
      </c>
      <c r="Y580">
        <v>8923352</v>
      </c>
      <c r="Z580">
        <v>17951992</v>
      </c>
      <c r="AA580">
        <v>16480578.050000001</v>
      </c>
      <c r="AB580">
        <v>18172113.84</v>
      </c>
      <c r="AC580">
        <v>17867967.170000002</v>
      </c>
      <c r="AD580">
        <v>17839136.899999999</v>
      </c>
      <c r="AE580" t="s">
        <v>34</v>
      </c>
      <c r="AF580" t="s">
        <v>34</v>
      </c>
      <c r="AG580">
        <f t="shared" si="22"/>
        <v>16563767.851428572</v>
      </c>
    </row>
    <row r="581" spans="1:33" x14ac:dyDescent="0.3">
      <c r="A581" t="s">
        <v>509</v>
      </c>
      <c r="B581" s="1" t="s">
        <v>510</v>
      </c>
      <c r="C581" t="s">
        <v>310</v>
      </c>
      <c r="D581" s="1" t="s">
        <v>311</v>
      </c>
      <c r="E581">
        <v>7018000000</v>
      </c>
      <c r="F581">
        <v>7327000000</v>
      </c>
      <c r="G581">
        <v>8310000000</v>
      </c>
      <c r="H581">
        <v>8502000000</v>
      </c>
      <c r="I581">
        <v>9518000000</v>
      </c>
      <c r="J581">
        <v>10813000000</v>
      </c>
      <c r="K581">
        <v>12552000000</v>
      </c>
      <c r="L581">
        <v>12659000000</v>
      </c>
      <c r="M581">
        <v>14236400000</v>
      </c>
      <c r="N581">
        <v>15554800000</v>
      </c>
      <c r="O581">
        <v>15701500000</v>
      </c>
      <c r="P581">
        <v>15343676000</v>
      </c>
      <c r="Q581">
        <v>16707600000</v>
      </c>
      <c r="R581">
        <v>21062400000</v>
      </c>
      <c r="S581">
        <v>26808800000</v>
      </c>
      <c r="T581">
        <v>35218933000</v>
      </c>
      <c r="U581">
        <v>36575544000</v>
      </c>
      <c r="V581">
        <v>43390806000</v>
      </c>
      <c r="W581">
        <v>56931815000</v>
      </c>
      <c r="X581">
        <v>67980556000</v>
      </c>
      <c r="Y581">
        <v>74844459069.839996</v>
      </c>
      <c r="Z581">
        <v>82184049220.839996</v>
      </c>
      <c r="AA581">
        <v>103058750000</v>
      </c>
      <c r="AB581">
        <v>126865340000</v>
      </c>
      <c r="AC581">
        <v>143319034000</v>
      </c>
      <c r="AD581">
        <v>123790300000</v>
      </c>
      <c r="AE581">
        <v>178951860000</v>
      </c>
      <c r="AF581" t="s">
        <v>34</v>
      </c>
      <c r="AG581">
        <f t="shared" si="22"/>
        <v>47230578603.358513</v>
      </c>
    </row>
    <row r="582" spans="1:33" x14ac:dyDescent="0.3">
      <c r="A582" t="s">
        <v>509</v>
      </c>
      <c r="B582" s="1" t="s">
        <v>510</v>
      </c>
      <c r="C582" t="s">
        <v>312</v>
      </c>
      <c r="D582" s="1" t="s">
        <v>313</v>
      </c>
      <c r="E582">
        <v>51000000</v>
      </c>
      <c r="F582">
        <v>58000000</v>
      </c>
      <c r="G582">
        <v>71000000</v>
      </c>
      <c r="H582">
        <v>75000000</v>
      </c>
      <c r="I582">
        <v>84000000</v>
      </c>
      <c r="J582">
        <v>146000000</v>
      </c>
      <c r="K582">
        <v>149000000</v>
      </c>
      <c r="L582">
        <v>129000000</v>
      </c>
      <c r="M582">
        <v>84000000</v>
      </c>
      <c r="N582">
        <v>55000000</v>
      </c>
      <c r="O582">
        <v>58000000</v>
      </c>
      <c r="P582">
        <v>40000000</v>
      </c>
      <c r="Q582">
        <v>47000000</v>
      </c>
      <c r="R582">
        <v>59000000</v>
      </c>
      <c r="S582">
        <v>67000000</v>
      </c>
      <c r="T582">
        <v>58000000</v>
      </c>
      <c r="U582">
        <v>27000000</v>
      </c>
      <c r="V582">
        <v>43000000</v>
      </c>
      <c r="W582">
        <v>96000000</v>
      </c>
      <c r="X582">
        <v>108000000</v>
      </c>
      <c r="Y582" t="s">
        <v>34</v>
      </c>
      <c r="Z582" t="s">
        <v>34</v>
      </c>
      <c r="AA582" t="s">
        <v>34</v>
      </c>
      <c r="AB582" t="s">
        <v>34</v>
      </c>
      <c r="AC582" t="s">
        <v>34</v>
      </c>
      <c r="AD582" t="s">
        <v>34</v>
      </c>
      <c r="AE582">
        <v>33000000</v>
      </c>
      <c r="AF582" t="s">
        <v>34</v>
      </c>
      <c r="AG582">
        <f t="shared" si="22"/>
        <v>73238095.238095239</v>
      </c>
    </row>
    <row r="583" spans="1:33" x14ac:dyDescent="0.3">
      <c r="A583" t="s">
        <v>509</v>
      </c>
      <c r="B583" s="1" t="s">
        <v>510</v>
      </c>
      <c r="C583" t="s">
        <v>314</v>
      </c>
      <c r="D583" s="1" t="s">
        <v>315</v>
      </c>
      <c r="E583" t="s">
        <v>34</v>
      </c>
      <c r="F583" t="s">
        <v>34</v>
      </c>
      <c r="G583" t="s">
        <v>34</v>
      </c>
      <c r="H583" t="s">
        <v>34</v>
      </c>
      <c r="I583" t="s">
        <v>34</v>
      </c>
      <c r="J583" t="s">
        <v>34</v>
      </c>
      <c r="K583" t="s">
        <v>34</v>
      </c>
      <c r="L583" t="s">
        <v>34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34</v>
      </c>
      <c r="T583" t="s">
        <v>34</v>
      </c>
      <c r="U583" t="s">
        <v>34</v>
      </c>
      <c r="V583" t="s">
        <v>34</v>
      </c>
      <c r="W583" t="s">
        <v>34</v>
      </c>
      <c r="X583" t="s">
        <v>34</v>
      </c>
      <c r="Y583" t="s">
        <v>34</v>
      </c>
      <c r="Z583" t="s">
        <v>34</v>
      </c>
      <c r="AA583" t="s">
        <v>34</v>
      </c>
      <c r="AB583" t="s">
        <v>34</v>
      </c>
      <c r="AC583" t="s">
        <v>34</v>
      </c>
      <c r="AD583" t="s">
        <v>34</v>
      </c>
      <c r="AE583" t="s">
        <v>34</v>
      </c>
      <c r="AF583" t="s">
        <v>34</v>
      </c>
      <c r="AG583" t="str">
        <f t="shared" si="22"/>
        <v>NA</v>
      </c>
    </row>
    <row r="584" spans="1:33" x14ac:dyDescent="0.3">
      <c r="A584" t="s">
        <v>509</v>
      </c>
      <c r="B584" s="1" t="s">
        <v>510</v>
      </c>
      <c r="C584" t="s">
        <v>316</v>
      </c>
      <c r="D584" s="1" t="s">
        <v>317</v>
      </c>
      <c r="E584" t="s">
        <v>34</v>
      </c>
      <c r="F584" t="s">
        <v>34</v>
      </c>
      <c r="G584" t="s">
        <v>34</v>
      </c>
      <c r="H584" t="s">
        <v>34</v>
      </c>
      <c r="I584" t="s">
        <v>34</v>
      </c>
      <c r="J584" t="s">
        <v>34</v>
      </c>
      <c r="K584">
        <v>1407500000</v>
      </c>
      <c r="L584">
        <v>1330203000</v>
      </c>
      <c r="M584">
        <v>1481528000</v>
      </c>
      <c r="N584">
        <v>1520206000</v>
      </c>
      <c r="O584">
        <v>946719000</v>
      </c>
      <c r="P584">
        <v>1083000000</v>
      </c>
      <c r="Q584">
        <v>1836000000</v>
      </c>
      <c r="R584">
        <v>1974152400</v>
      </c>
      <c r="S584">
        <v>1937310000</v>
      </c>
      <c r="T584">
        <v>1927790000</v>
      </c>
      <c r="U584">
        <v>1957080000</v>
      </c>
      <c r="V584">
        <v>2070840000</v>
      </c>
      <c r="W584">
        <v>2098140000</v>
      </c>
      <c r="X584">
        <v>2211230000</v>
      </c>
      <c r="Y584">
        <v>2443530000</v>
      </c>
      <c r="Z584">
        <v>2496420000</v>
      </c>
      <c r="AA584">
        <v>2608700000</v>
      </c>
      <c r="AB584">
        <v>2803600000</v>
      </c>
      <c r="AC584">
        <v>2881260000</v>
      </c>
      <c r="AD584">
        <v>3126720000</v>
      </c>
      <c r="AE584">
        <v>3320044000</v>
      </c>
      <c r="AF584">
        <v>3520984000</v>
      </c>
      <c r="AG584">
        <f t="shared" si="22"/>
        <v>2135588927.2727273</v>
      </c>
    </row>
    <row r="585" spans="1:33" x14ac:dyDescent="0.3">
      <c r="A585" t="s">
        <v>509</v>
      </c>
      <c r="B585" s="1" t="s">
        <v>510</v>
      </c>
      <c r="C585" t="s">
        <v>318</v>
      </c>
      <c r="D585" s="1" t="s">
        <v>319</v>
      </c>
      <c r="E585">
        <v>311000000</v>
      </c>
      <c r="F585">
        <v>333940000</v>
      </c>
      <c r="G585">
        <v>536740000</v>
      </c>
      <c r="H585">
        <v>863760000</v>
      </c>
      <c r="I585">
        <v>585720000</v>
      </c>
      <c r="J585">
        <v>650490000</v>
      </c>
      <c r="K585">
        <v>739000000</v>
      </c>
      <c r="L585">
        <v>641938000</v>
      </c>
      <c r="M585">
        <v>628217000</v>
      </c>
      <c r="N585">
        <v>684395200</v>
      </c>
      <c r="O585">
        <v>898000000</v>
      </c>
      <c r="P585">
        <v>972000000</v>
      </c>
      <c r="Q585">
        <v>1093311000</v>
      </c>
      <c r="R585">
        <v>1183203000</v>
      </c>
      <c r="S585">
        <v>970178000</v>
      </c>
      <c r="T585">
        <v>1190802000</v>
      </c>
      <c r="U585">
        <v>1521830000</v>
      </c>
      <c r="V585">
        <v>1816352000</v>
      </c>
      <c r="W585">
        <v>1885680000</v>
      </c>
      <c r="X585">
        <v>1976850000</v>
      </c>
      <c r="Y585">
        <v>2316630000</v>
      </c>
      <c r="Z585">
        <v>2702640000</v>
      </c>
      <c r="AA585">
        <v>2701803207.5100002</v>
      </c>
      <c r="AB585">
        <v>2058358210.9300001</v>
      </c>
      <c r="AC585">
        <v>2124900000</v>
      </c>
      <c r="AD585">
        <v>2339700000</v>
      </c>
      <c r="AE585">
        <v>3309400000</v>
      </c>
      <c r="AF585">
        <v>3950500000</v>
      </c>
      <c r="AG585">
        <f t="shared" si="22"/>
        <v>1463833486.3728573</v>
      </c>
    </row>
    <row r="586" spans="1:33" x14ac:dyDescent="0.3">
      <c r="A586" t="s">
        <v>509</v>
      </c>
      <c r="B586" s="1" t="s">
        <v>510</v>
      </c>
      <c r="C586" t="s">
        <v>320</v>
      </c>
      <c r="D586" s="1" t="s">
        <v>321</v>
      </c>
      <c r="E586" t="s">
        <v>34</v>
      </c>
      <c r="F586" t="s">
        <v>34</v>
      </c>
      <c r="G586" t="s">
        <v>34</v>
      </c>
      <c r="H586" t="s">
        <v>34</v>
      </c>
      <c r="I586" t="s">
        <v>34</v>
      </c>
      <c r="J586" t="s">
        <v>34</v>
      </c>
      <c r="K586" t="s">
        <v>34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34</v>
      </c>
      <c r="T586" t="s">
        <v>34</v>
      </c>
      <c r="U586" t="s">
        <v>34</v>
      </c>
      <c r="V586" t="s">
        <v>34</v>
      </c>
      <c r="W586" t="s">
        <v>34</v>
      </c>
      <c r="X586" t="s">
        <v>34</v>
      </c>
      <c r="Y586" t="s">
        <v>34</v>
      </c>
      <c r="Z586" t="s">
        <v>34</v>
      </c>
      <c r="AA586" t="s">
        <v>34</v>
      </c>
      <c r="AB586" t="s">
        <v>34</v>
      </c>
      <c r="AC586" t="s">
        <v>34</v>
      </c>
      <c r="AD586" t="s">
        <v>34</v>
      </c>
      <c r="AE586" t="s">
        <v>34</v>
      </c>
      <c r="AF586" t="s">
        <v>34</v>
      </c>
      <c r="AG586" t="str">
        <f t="shared" si="22"/>
        <v>NA</v>
      </c>
    </row>
    <row r="587" spans="1:33" x14ac:dyDescent="0.3">
      <c r="A587" t="s">
        <v>509</v>
      </c>
      <c r="B587" s="1" t="s">
        <v>510</v>
      </c>
      <c r="C587" t="s">
        <v>322</v>
      </c>
      <c r="D587" s="1" t="s">
        <v>323</v>
      </c>
      <c r="E587" t="s">
        <v>34</v>
      </c>
      <c r="F587" t="s">
        <v>34</v>
      </c>
      <c r="G587" t="s">
        <v>34</v>
      </c>
      <c r="H587" t="s">
        <v>34</v>
      </c>
      <c r="I587" t="s">
        <v>34</v>
      </c>
      <c r="J587" t="s">
        <v>34</v>
      </c>
      <c r="K587" t="s">
        <v>34</v>
      </c>
      <c r="L587" t="s">
        <v>34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  <c r="U587" t="s">
        <v>34</v>
      </c>
      <c r="V587" t="s">
        <v>34</v>
      </c>
      <c r="W587" t="s">
        <v>34</v>
      </c>
      <c r="X587" t="s">
        <v>34</v>
      </c>
      <c r="Y587" t="s">
        <v>34</v>
      </c>
      <c r="Z587" t="s">
        <v>34</v>
      </c>
      <c r="AA587" t="s">
        <v>34</v>
      </c>
      <c r="AB587" t="s">
        <v>34</v>
      </c>
      <c r="AC587" t="s">
        <v>34</v>
      </c>
      <c r="AD587" t="s">
        <v>34</v>
      </c>
      <c r="AE587" t="s">
        <v>34</v>
      </c>
      <c r="AF587" t="s">
        <v>34</v>
      </c>
      <c r="AG587" t="str">
        <f t="shared" si="22"/>
        <v>NA</v>
      </c>
    </row>
    <row r="588" spans="1:33" x14ac:dyDescent="0.3">
      <c r="A588" t="s">
        <v>509</v>
      </c>
      <c r="B588" s="1" t="s">
        <v>510</v>
      </c>
      <c r="C588" t="s">
        <v>324</v>
      </c>
      <c r="D588" s="1" t="s">
        <v>325</v>
      </c>
      <c r="E588" t="s">
        <v>34</v>
      </c>
      <c r="F588" t="s">
        <v>34</v>
      </c>
      <c r="G588" t="s">
        <v>34</v>
      </c>
      <c r="H588" t="s">
        <v>34</v>
      </c>
      <c r="I588" t="s">
        <v>34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>
        <v>5428164835.5</v>
      </c>
      <c r="P588">
        <v>5423166256</v>
      </c>
      <c r="Q588">
        <v>6199672031</v>
      </c>
      <c r="R588">
        <v>6275000000</v>
      </c>
      <c r="S588">
        <v>5229000000</v>
      </c>
      <c r="T588">
        <v>4712000000</v>
      </c>
      <c r="U588">
        <v>3779000000</v>
      </c>
      <c r="V588">
        <v>4067000000</v>
      </c>
      <c r="W588">
        <v>4049831479</v>
      </c>
      <c r="X588">
        <v>4021213077</v>
      </c>
      <c r="Y588">
        <v>4157499849</v>
      </c>
      <c r="Z588">
        <v>4556787927</v>
      </c>
      <c r="AA588">
        <v>4942102255</v>
      </c>
      <c r="AB588">
        <v>5361822469</v>
      </c>
      <c r="AC588">
        <v>5897739501</v>
      </c>
      <c r="AD588">
        <v>6668528779</v>
      </c>
      <c r="AE588">
        <v>8448000000</v>
      </c>
      <c r="AF588" t="s">
        <v>34</v>
      </c>
      <c r="AG588">
        <f t="shared" si="22"/>
        <v>5248031085.7941179</v>
      </c>
    </row>
    <row r="589" spans="1:33" x14ac:dyDescent="0.3">
      <c r="A589" t="s">
        <v>509</v>
      </c>
      <c r="B589" s="1" t="s">
        <v>510</v>
      </c>
      <c r="C589" t="s">
        <v>326</v>
      </c>
      <c r="D589" s="1" t="s">
        <v>327</v>
      </c>
      <c r="E589" t="s">
        <v>34</v>
      </c>
      <c r="F589" t="s">
        <v>34</v>
      </c>
      <c r="G589" t="s">
        <v>34</v>
      </c>
      <c r="H589" t="s">
        <v>34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34</v>
      </c>
      <c r="V589" t="s">
        <v>34</v>
      </c>
      <c r="W589" t="s">
        <v>34</v>
      </c>
      <c r="X589" t="s">
        <v>34</v>
      </c>
      <c r="Y589" t="s">
        <v>34</v>
      </c>
      <c r="Z589" t="s">
        <v>34</v>
      </c>
      <c r="AA589" t="s">
        <v>34</v>
      </c>
      <c r="AB589" t="s">
        <v>34</v>
      </c>
      <c r="AC589" t="s">
        <v>34</v>
      </c>
      <c r="AD589" t="s">
        <v>34</v>
      </c>
      <c r="AE589" t="s">
        <v>34</v>
      </c>
      <c r="AF589" t="s">
        <v>34</v>
      </c>
      <c r="AG589" t="str">
        <f t="shared" si="22"/>
        <v>NA</v>
      </c>
    </row>
    <row r="590" spans="1:33" x14ac:dyDescent="0.3">
      <c r="A590" t="s">
        <v>509</v>
      </c>
      <c r="B590" s="1" t="s">
        <v>510</v>
      </c>
      <c r="C590" t="s">
        <v>328</v>
      </c>
      <c r="D590" s="1" t="s">
        <v>329</v>
      </c>
      <c r="E590">
        <v>2718000000</v>
      </c>
      <c r="F590">
        <v>2406000000</v>
      </c>
      <c r="G590">
        <v>2454000000</v>
      </c>
      <c r="H590">
        <v>2589000000</v>
      </c>
      <c r="I590">
        <v>2354000000</v>
      </c>
      <c r="J590">
        <v>1944000000</v>
      </c>
      <c r="K590">
        <v>1763000000</v>
      </c>
      <c r="L590">
        <v>1607000000</v>
      </c>
      <c r="M590">
        <v>1560000000</v>
      </c>
      <c r="N590">
        <v>1574000000</v>
      </c>
      <c r="O590">
        <v>1618000000</v>
      </c>
      <c r="P590">
        <v>1787000000</v>
      </c>
      <c r="Q590">
        <v>2132000000</v>
      </c>
      <c r="R590">
        <v>2288000000</v>
      </c>
      <c r="S590">
        <v>2248000000</v>
      </c>
      <c r="T590">
        <v>2550000000</v>
      </c>
      <c r="U590">
        <v>2573000000</v>
      </c>
      <c r="V590">
        <v>2602000000</v>
      </c>
      <c r="W590">
        <v>3059000000</v>
      </c>
      <c r="X590">
        <v>3186000000</v>
      </c>
      <c r="Y590">
        <v>3246000000</v>
      </c>
      <c r="Z590">
        <v>3359000000</v>
      </c>
      <c r="AA590">
        <v>3372000000</v>
      </c>
      <c r="AB590">
        <v>3385000000</v>
      </c>
      <c r="AC590">
        <v>3493000000</v>
      </c>
      <c r="AD590">
        <v>3660000000</v>
      </c>
      <c r="AE590">
        <v>4327000000</v>
      </c>
      <c r="AF590" t="s">
        <v>34</v>
      </c>
      <c r="AG590">
        <f t="shared" si="22"/>
        <v>2587185185.185185</v>
      </c>
    </row>
    <row r="591" spans="1:33" x14ac:dyDescent="0.3">
      <c r="A591" t="s">
        <v>509</v>
      </c>
      <c r="B591" s="1" t="s">
        <v>510</v>
      </c>
      <c r="C591" t="s">
        <v>330</v>
      </c>
      <c r="D591" s="1" t="s">
        <v>331</v>
      </c>
      <c r="E591" t="s">
        <v>34</v>
      </c>
      <c r="F591" t="s">
        <v>34</v>
      </c>
      <c r="G591" t="s">
        <v>34</v>
      </c>
      <c r="H591" t="s">
        <v>34</v>
      </c>
      <c r="I591" t="s">
        <v>34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34</v>
      </c>
      <c r="Q591" t="s">
        <v>34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34</v>
      </c>
      <c r="X591" t="s">
        <v>34</v>
      </c>
      <c r="Y591" t="s">
        <v>34</v>
      </c>
      <c r="Z591" t="s">
        <v>34</v>
      </c>
      <c r="AA591" t="s">
        <v>34</v>
      </c>
      <c r="AB591" t="s">
        <v>34</v>
      </c>
      <c r="AC591" t="s">
        <v>34</v>
      </c>
      <c r="AD591" t="s">
        <v>34</v>
      </c>
      <c r="AE591" t="s">
        <v>34</v>
      </c>
      <c r="AF591" t="s">
        <v>34</v>
      </c>
      <c r="AG591" t="str">
        <f t="shared" si="22"/>
        <v>NA</v>
      </c>
    </row>
    <row r="592" spans="1:33" x14ac:dyDescent="0.3">
      <c r="A592" t="s">
        <v>509</v>
      </c>
      <c r="B592" s="1" t="s">
        <v>510</v>
      </c>
      <c r="C592" t="s">
        <v>332</v>
      </c>
      <c r="D592" s="1" t="s">
        <v>333</v>
      </c>
      <c r="E592" t="s">
        <v>34</v>
      </c>
      <c r="F592" t="s">
        <v>34</v>
      </c>
      <c r="G592">
        <v>86094000000</v>
      </c>
      <c r="H592">
        <v>74496000000</v>
      </c>
      <c r="I592">
        <v>65292000000</v>
      </c>
      <c r="J592">
        <v>61659000000</v>
      </c>
      <c r="K592" t="s">
        <v>34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34</v>
      </c>
      <c r="U592" t="s">
        <v>34</v>
      </c>
      <c r="V592" t="s">
        <v>34</v>
      </c>
      <c r="W592" t="s">
        <v>34</v>
      </c>
      <c r="X592" t="s">
        <v>34</v>
      </c>
      <c r="Y592" t="s">
        <v>34</v>
      </c>
      <c r="Z592" t="s">
        <v>34</v>
      </c>
      <c r="AA592" t="s">
        <v>34</v>
      </c>
      <c r="AB592" t="s">
        <v>34</v>
      </c>
      <c r="AC592" t="s">
        <v>34</v>
      </c>
      <c r="AD592" t="s">
        <v>34</v>
      </c>
      <c r="AE592" t="s">
        <v>34</v>
      </c>
      <c r="AF592" t="s">
        <v>34</v>
      </c>
      <c r="AG592">
        <f t="shared" si="22"/>
        <v>71885250000</v>
      </c>
    </row>
    <row r="593" spans="1:33" x14ac:dyDescent="0.3">
      <c r="A593" t="s">
        <v>509</v>
      </c>
      <c r="B593" s="1" t="s">
        <v>510</v>
      </c>
      <c r="C593" t="s">
        <v>334</v>
      </c>
      <c r="D593" s="1" t="s">
        <v>335</v>
      </c>
      <c r="E593" t="s">
        <v>34</v>
      </c>
      <c r="F593" t="s">
        <v>34</v>
      </c>
      <c r="G593" t="s">
        <v>34</v>
      </c>
      <c r="H593" t="s">
        <v>34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Q593" t="s">
        <v>34</v>
      </c>
      <c r="R593">
        <v>9043760.9928894099</v>
      </c>
      <c r="S593">
        <v>7511539.0570983896</v>
      </c>
      <c r="T593">
        <v>7756146.9762077304</v>
      </c>
      <c r="U593">
        <v>7368990.0040092496</v>
      </c>
      <c r="V593">
        <v>9455196.9628581107</v>
      </c>
      <c r="W593">
        <v>9640591.0287769791</v>
      </c>
      <c r="X593">
        <v>11555247</v>
      </c>
      <c r="Y593">
        <v>14426521.0344608</v>
      </c>
      <c r="Z593">
        <v>15864961.055404199</v>
      </c>
      <c r="AA593">
        <v>14890367</v>
      </c>
      <c r="AB593">
        <v>15681936.0322429</v>
      </c>
      <c r="AC593">
        <v>13473137</v>
      </c>
      <c r="AD593">
        <v>15769000</v>
      </c>
      <c r="AE593" t="s">
        <v>34</v>
      </c>
      <c r="AF593" t="s">
        <v>34</v>
      </c>
      <c r="AG593">
        <f t="shared" si="22"/>
        <v>11725953.395688292</v>
      </c>
    </row>
    <row r="594" spans="1:33" x14ac:dyDescent="0.3">
      <c r="A594" t="s">
        <v>509</v>
      </c>
      <c r="B594" s="1" t="s">
        <v>510</v>
      </c>
      <c r="C594" t="s">
        <v>336</v>
      </c>
      <c r="D594" s="1" t="s">
        <v>337</v>
      </c>
      <c r="E594" t="s">
        <v>34</v>
      </c>
      <c r="F594" t="s">
        <v>34</v>
      </c>
      <c r="G594" t="s">
        <v>34</v>
      </c>
      <c r="H594" t="s">
        <v>34</v>
      </c>
      <c r="I594" t="s">
        <v>34</v>
      </c>
      <c r="J594" t="s">
        <v>34</v>
      </c>
      <c r="K594" t="s">
        <v>34</v>
      </c>
      <c r="L594" t="s">
        <v>34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34</v>
      </c>
      <c r="V594" t="s">
        <v>34</v>
      </c>
      <c r="W594" t="s">
        <v>34</v>
      </c>
      <c r="X594">
        <v>381381607.63999999</v>
      </c>
      <c r="Y594">
        <v>390672436.05000001</v>
      </c>
      <c r="Z594">
        <v>354888647.26999998</v>
      </c>
      <c r="AA594">
        <v>358141842.91000003</v>
      </c>
      <c r="AB594">
        <v>337626696.63999999</v>
      </c>
      <c r="AC594">
        <v>319766067.87</v>
      </c>
      <c r="AD594">
        <v>216819173.52000001</v>
      </c>
      <c r="AE594">
        <v>286788730.13999999</v>
      </c>
      <c r="AF594" t="s">
        <v>34</v>
      </c>
      <c r="AG594">
        <f t="shared" si="22"/>
        <v>330760650.255</v>
      </c>
    </row>
    <row r="595" spans="1:33" x14ac:dyDescent="0.3">
      <c r="A595" t="s">
        <v>509</v>
      </c>
      <c r="B595" s="1" t="s">
        <v>510</v>
      </c>
      <c r="C595" t="s">
        <v>338</v>
      </c>
      <c r="D595" s="1" t="s">
        <v>339</v>
      </c>
      <c r="E595">
        <v>426748000</v>
      </c>
      <c r="F595">
        <v>497149000</v>
      </c>
      <c r="G595">
        <v>521669000</v>
      </c>
      <c r="H595">
        <v>437900000</v>
      </c>
      <c r="I595">
        <v>550684000</v>
      </c>
      <c r="J595">
        <v>669788000</v>
      </c>
      <c r="K595">
        <v>592055000</v>
      </c>
      <c r="L595">
        <v>704502000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34</v>
      </c>
      <c r="V595" t="s">
        <v>34</v>
      </c>
      <c r="W595" t="s">
        <v>34</v>
      </c>
      <c r="X595">
        <v>555000000</v>
      </c>
      <c r="Y595">
        <v>565249036.77999997</v>
      </c>
      <c r="Z595">
        <v>536830000</v>
      </c>
      <c r="AA595">
        <v>557686205.87699997</v>
      </c>
      <c r="AB595">
        <v>810729520.85000002</v>
      </c>
      <c r="AC595">
        <v>909255562.50999999</v>
      </c>
      <c r="AD595">
        <v>760363934.01199996</v>
      </c>
      <c r="AE595" t="s">
        <v>34</v>
      </c>
      <c r="AF595" t="s">
        <v>34</v>
      </c>
      <c r="AG595">
        <f t="shared" si="22"/>
        <v>606373950.66859996</v>
      </c>
    </row>
    <row r="596" spans="1:33" x14ac:dyDescent="0.3">
      <c r="A596" t="s">
        <v>509</v>
      </c>
      <c r="B596" s="1" t="s">
        <v>510</v>
      </c>
      <c r="C596" t="s">
        <v>340</v>
      </c>
      <c r="D596" s="1" t="s">
        <v>341</v>
      </c>
      <c r="E596" t="s">
        <v>34</v>
      </c>
      <c r="F596" t="s">
        <v>34</v>
      </c>
      <c r="G596" t="s">
        <v>34</v>
      </c>
      <c r="H596" t="s">
        <v>34</v>
      </c>
      <c r="I596" t="s">
        <v>34</v>
      </c>
      <c r="J596" t="s">
        <v>34</v>
      </c>
      <c r="K596" t="s">
        <v>34</v>
      </c>
      <c r="L596" t="s">
        <v>34</v>
      </c>
      <c r="M596" t="s">
        <v>34</v>
      </c>
      <c r="N596" t="s">
        <v>34</v>
      </c>
      <c r="O596">
        <v>812700000000</v>
      </c>
      <c r="P596">
        <v>918500000000</v>
      </c>
      <c r="Q596">
        <v>837613943041</v>
      </c>
      <c r="R596">
        <v>1061623680399</v>
      </c>
      <c r="S596">
        <v>977423082587</v>
      </c>
      <c r="T596">
        <v>1525618410000</v>
      </c>
      <c r="U596">
        <v>1703955472890</v>
      </c>
      <c r="V596">
        <v>1642080637952</v>
      </c>
      <c r="W596">
        <v>1631907715647</v>
      </c>
      <c r="X596">
        <v>1787707412422</v>
      </c>
      <c r="Y596">
        <v>1672417022973</v>
      </c>
      <c r="Z596">
        <v>1644993691518</v>
      </c>
      <c r="AA596">
        <v>2207893215484</v>
      </c>
      <c r="AB596">
        <v>2520807298923</v>
      </c>
      <c r="AC596">
        <v>2421062480869</v>
      </c>
      <c r="AD596">
        <v>1999615893230</v>
      </c>
      <c r="AE596">
        <v>2422571821622</v>
      </c>
      <c r="AF596" t="s">
        <v>34</v>
      </c>
      <c r="AG596">
        <f t="shared" si="22"/>
        <v>1634617163503.353</v>
      </c>
    </row>
    <row r="597" spans="1:33" x14ac:dyDescent="0.3">
      <c r="A597" t="s">
        <v>509</v>
      </c>
      <c r="B597" s="1" t="s">
        <v>510</v>
      </c>
      <c r="C597" t="s">
        <v>342</v>
      </c>
      <c r="D597" s="1" t="s">
        <v>343</v>
      </c>
      <c r="E597">
        <v>2081950000</v>
      </c>
      <c r="F597">
        <v>2232250000</v>
      </c>
      <c r="G597">
        <v>2326600000</v>
      </c>
      <c r="H597">
        <v>2710900000</v>
      </c>
      <c r="I597">
        <v>2642350000</v>
      </c>
      <c r="J597">
        <v>2643820000</v>
      </c>
      <c r="K597">
        <v>2501080000</v>
      </c>
      <c r="L597">
        <v>2186080000</v>
      </c>
      <c r="M597">
        <v>2233160000</v>
      </c>
      <c r="N597">
        <v>2397770000</v>
      </c>
      <c r="O597">
        <v>2638500000</v>
      </c>
      <c r="P597">
        <v>2376294400.7741699</v>
      </c>
      <c r="Q597">
        <v>1598844106.64483</v>
      </c>
      <c r="R597">
        <v>1910679594.9632499</v>
      </c>
      <c r="S597">
        <v>1492839129.3199999</v>
      </c>
      <c r="T597">
        <v>1802937041.1600001</v>
      </c>
      <c r="U597">
        <v>1380348186</v>
      </c>
      <c r="V597">
        <v>1526024225.45</v>
      </c>
      <c r="W597">
        <v>1705910307.3399999</v>
      </c>
      <c r="X597">
        <v>1789803793.6600001</v>
      </c>
      <c r="Y597">
        <v>1774534430.4144499</v>
      </c>
      <c r="Z597">
        <v>1605755538.6942999</v>
      </c>
      <c r="AA597">
        <v>1447582493.0961101</v>
      </c>
      <c r="AB597">
        <v>1454516209.5885201</v>
      </c>
      <c r="AC597">
        <v>1424476630.4804699</v>
      </c>
      <c r="AD597">
        <v>1158673141.13464</v>
      </c>
      <c r="AE597">
        <v>1464137971.31475</v>
      </c>
      <c r="AF597" t="s">
        <v>34</v>
      </c>
      <c r="AG597">
        <f t="shared" si="22"/>
        <v>1944733970.3716846</v>
      </c>
    </row>
    <row r="598" spans="1:33" x14ac:dyDescent="0.3">
      <c r="A598" t="s">
        <v>509</v>
      </c>
      <c r="B598" s="1" t="s">
        <v>510</v>
      </c>
      <c r="C598" t="s">
        <v>344</v>
      </c>
      <c r="D598" s="1" t="s">
        <v>345</v>
      </c>
      <c r="E598">
        <v>97965000000</v>
      </c>
      <c r="F598">
        <v>104850000000</v>
      </c>
      <c r="G598">
        <v>95187000000</v>
      </c>
      <c r="H598">
        <v>76186000000</v>
      </c>
      <c r="I598">
        <v>86604000000</v>
      </c>
      <c r="J598">
        <v>95006000000</v>
      </c>
      <c r="K598">
        <v>99981000000</v>
      </c>
      <c r="L598">
        <v>96836000000</v>
      </c>
      <c r="M598">
        <v>106850000000</v>
      </c>
      <c r="N598">
        <v>122980000000</v>
      </c>
      <c r="O598">
        <v>142890000000</v>
      </c>
      <c r="P598">
        <v>198161000000</v>
      </c>
      <c r="Q598">
        <v>209439000000</v>
      </c>
      <c r="R598">
        <v>260248000000</v>
      </c>
      <c r="S598">
        <v>220307000000</v>
      </c>
      <c r="T598">
        <v>259241000000</v>
      </c>
      <c r="U598">
        <v>265108000000</v>
      </c>
      <c r="V598">
        <v>289866000000</v>
      </c>
      <c r="W598">
        <v>304925000000</v>
      </c>
      <c r="X598">
        <v>369277000000</v>
      </c>
      <c r="Y598">
        <v>367534000000</v>
      </c>
      <c r="Z598">
        <v>396365000000</v>
      </c>
      <c r="AA598">
        <v>458184000000</v>
      </c>
      <c r="AB598">
        <v>593111000000</v>
      </c>
      <c r="AC598">
        <v>630310000000</v>
      </c>
      <c r="AD598">
        <v>537687000000</v>
      </c>
      <c r="AE598">
        <v>643563000000</v>
      </c>
      <c r="AF598">
        <v>862420000000</v>
      </c>
      <c r="AG598">
        <f t="shared" si="22"/>
        <v>285395750000</v>
      </c>
    </row>
    <row r="599" spans="1:33" x14ac:dyDescent="0.3">
      <c r="A599" t="s">
        <v>509</v>
      </c>
      <c r="B599" s="1" t="s">
        <v>510</v>
      </c>
      <c r="C599" t="s">
        <v>346</v>
      </c>
      <c r="D599" s="1" t="s">
        <v>347</v>
      </c>
      <c r="E599">
        <v>5888000000</v>
      </c>
      <c r="F599">
        <v>6487000000</v>
      </c>
      <c r="G599">
        <v>7090000000</v>
      </c>
      <c r="H599">
        <v>5893000000</v>
      </c>
      <c r="I599">
        <v>5595000000</v>
      </c>
      <c r="J599">
        <v>5038000000</v>
      </c>
      <c r="K599">
        <v>4021000000</v>
      </c>
      <c r="L599">
        <v>3762000000</v>
      </c>
      <c r="M599">
        <v>3791000000</v>
      </c>
      <c r="N599">
        <v>1523000000</v>
      </c>
      <c r="O599" t="s">
        <v>34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  <c r="U599" t="s">
        <v>34</v>
      </c>
      <c r="V599" t="s">
        <v>34</v>
      </c>
      <c r="W599" t="s">
        <v>34</v>
      </c>
      <c r="X599" t="s">
        <v>34</v>
      </c>
      <c r="Y599" t="s">
        <v>34</v>
      </c>
      <c r="Z599" t="s">
        <v>34</v>
      </c>
      <c r="AA599" t="s">
        <v>34</v>
      </c>
      <c r="AB599" t="s">
        <v>34</v>
      </c>
      <c r="AC599" t="s">
        <v>34</v>
      </c>
      <c r="AD599" t="s">
        <v>34</v>
      </c>
      <c r="AE599" t="s">
        <v>34</v>
      </c>
      <c r="AF599" t="s">
        <v>34</v>
      </c>
      <c r="AG599">
        <f t="shared" si="22"/>
        <v>4908800000</v>
      </c>
    </row>
    <row r="600" spans="1:33" x14ac:dyDescent="0.3">
      <c r="A600" t="s">
        <v>509</v>
      </c>
      <c r="B600" s="1" t="s">
        <v>510</v>
      </c>
      <c r="C600" t="s">
        <v>348</v>
      </c>
      <c r="D600" s="1" t="s">
        <v>349</v>
      </c>
      <c r="E600">
        <v>873000</v>
      </c>
      <c r="F600">
        <v>439000</v>
      </c>
      <c r="G600">
        <v>1207000</v>
      </c>
      <c r="H600">
        <v>1965000</v>
      </c>
      <c r="I600">
        <v>160000</v>
      </c>
      <c r="J600">
        <v>265000</v>
      </c>
      <c r="K600">
        <v>46000</v>
      </c>
      <c r="L600">
        <v>120000</v>
      </c>
      <c r="M600" t="s">
        <v>34</v>
      </c>
      <c r="N600" t="s">
        <v>34</v>
      </c>
      <c r="O600" t="s">
        <v>34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  <c r="U600" t="s">
        <v>34</v>
      </c>
      <c r="V600" t="s">
        <v>34</v>
      </c>
      <c r="W600" t="s">
        <v>34</v>
      </c>
      <c r="X600" t="s">
        <v>34</v>
      </c>
      <c r="Y600" t="s">
        <v>34</v>
      </c>
      <c r="Z600" t="s">
        <v>34</v>
      </c>
      <c r="AA600" t="s">
        <v>34</v>
      </c>
      <c r="AB600" t="s">
        <v>34</v>
      </c>
      <c r="AC600" t="s">
        <v>34</v>
      </c>
      <c r="AD600" t="s">
        <v>34</v>
      </c>
      <c r="AE600" t="s">
        <v>34</v>
      </c>
      <c r="AF600" t="s">
        <v>34</v>
      </c>
      <c r="AG600">
        <f t="shared" si="22"/>
        <v>634375</v>
      </c>
    </row>
    <row r="601" spans="1:33" x14ac:dyDescent="0.3">
      <c r="A601" t="s">
        <v>509</v>
      </c>
      <c r="B601" s="1" t="s">
        <v>510</v>
      </c>
      <c r="C601" t="s">
        <v>350</v>
      </c>
      <c r="D601" s="1" t="s">
        <v>351</v>
      </c>
      <c r="E601" t="s">
        <v>34</v>
      </c>
      <c r="F601" t="s">
        <v>34</v>
      </c>
      <c r="G601" t="s">
        <v>34</v>
      </c>
      <c r="H601" t="s">
        <v>34</v>
      </c>
      <c r="I601" t="s">
        <v>34</v>
      </c>
      <c r="J601" t="s">
        <v>34</v>
      </c>
      <c r="K601" t="s">
        <v>34</v>
      </c>
      <c r="L601" t="s">
        <v>34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34</v>
      </c>
      <c r="V601" t="s">
        <v>34</v>
      </c>
      <c r="W601" t="s">
        <v>34</v>
      </c>
      <c r="X601" t="s">
        <v>34</v>
      </c>
      <c r="Y601" t="s">
        <v>34</v>
      </c>
      <c r="Z601" t="s">
        <v>34</v>
      </c>
      <c r="AA601" t="s">
        <v>34</v>
      </c>
      <c r="AB601" t="s">
        <v>34</v>
      </c>
      <c r="AC601" t="s">
        <v>34</v>
      </c>
      <c r="AD601" t="s">
        <v>34</v>
      </c>
      <c r="AE601" t="s">
        <v>34</v>
      </c>
      <c r="AF601" t="s">
        <v>34</v>
      </c>
      <c r="AG601" t="str">
        <f t="shared" si="22"/>
        <v>NA</v>
      </c>
    </row>
    <row r="602" spans="1:33" x14ac:dyDescent="0.3">
      <c r="A602" t="s">
        <v>509</v>
      </c>
      <c r="B602" s="1" t="s">
        <v>510</v>
      </c>
      <c r="C602" t="s">
        <v>352</v>
      </c>
      <c r="D602" s="1" t="s">
        <v>353</v>
      </c>
      <c r="E602" t="s">
        <v>34</v>
      </c>
      <c r="F602" t="s">
        <v>34</v>
      </c>
      <c r="G602" t="s">
        <v>34</v>
      </c>
      <c r="H602" t="s">
        <v>34</v>
      </c>
      <c r="I602" t="s">
        <v>34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34</v>
      </c>
      <c r="V602" t="s">
        <v>34</v>
      </c>
      <c r="W602" t="s">
        <v>34</v>
      </c>
      <c r="X602" t="s">
        <v>34</v>
      </c>
      <c r="Y602" t="s">
        <v>34</v>
      </c>
      <c r="Z602" t="s">
        <v>34</v>
      </c>
      <c r="AA602" t="s">
        <v>34</v>
      </c>
      <c r="AB602" t="s">
        <v>34</v>
      </c>
      <c r="AC602" t="s">
        <v>34</v>
      </c>
      <c r="AD602" t="s">
        <v>34</v>
      </c>
      <c r="AE602" t="s">
        <v>34</v>
      </c>
      <c r="AF602" t="s">
        <v>34</v>
      </c>
      <c r="AG602" t="str">
        <f t="shared" si="22"/>
        <v>NA</v>
      </c>
    </row>
    <row r="603" spans="1:33" x14ac:dyDescent="0.3">
      <c r="A603" t="s">
        <v>509</v>
      </c>
      <c r="B603" s="1" t="s">
        <v>510</v>
      </c>
      <c r="C603" t="s">
        <v>354</v>
      </c>
      <c r="D603" s="1" t="s">
        <v>355</v>
      </c>
      <c r="E603">
        <v>118900000</v>
      </c>
      <c r="F603">
        <v>185300000</v>
      </c>
      <c r="G603">
        <v>380800000</v>
      </c>
      <c r="H603">
        <v>612600000</v>
      </c>
      <c r="I603">
        <v>823600000</v>
      </c>
      <c r="J603">
        <v>912000000</v>
      </c>
      <c r="K603">
        <v>957400000</v>
      </c>
      <c r="L603">
        <v>1005300000</v>
      </c>
      <c r="M603">
        <v>1378500000</v>
      </c>
      <c r="N603">
        <v>1756200000</v>
      </c>
      <c r="O603">
        <v>2193600000</v>
      </c>
      <c r="P603">
        <v>2624700000</v>
      </c>
      <c r="Q603">
        <v>63800000</v>
      </c>
      <c r="R603">
        <v>55400000</v>
      </c>
      <c r="S603">
        <v>48700000</v>
      </c>
      <c r="T603">
        <v>25900000</v>
      </c>
      <c r="U603">
        <v>9700000</v>
      </c>
      <c r="V603">
        <v>96200000</v>
      </c>
      <c r="W603">
        <v>15900000</v>
      </c>
      <c r="X603">
        <v>900000</v>
      </c>
      <c r="Y603">
        <v>2600000</v>
      </c>
      <c r="Z603">
        <v>4400000</v>
      </c>
      <c r="AA603">
        <v>46800000</v>
      </c>
      <c r="AB603">
        <v>57100000</v>
      </c>
      <c r="AC603">
        <v>68500000</v>
      </c>
      <c r="AD603">
        <v>51500000</v>
      </c>
      <c r="AE603">
        <v>102500000</v>
      </c>
      <c r="AF603" t="s">
        <v>34</v>
      </c>
      <c r="AG603">
        <f t="shared" si="22"/>
        <v>503659259.25925928</v>
      </c>
    </row>
    <row r="604" spans="1:33" x14ac:dyDescent="0.3">
      <c r="A604" t="s">
        <v>509</v>
      </c>
      <c r="B604" s="1" t="s">
        <v>510</v>
      </c>
      <c r="C604" t="s">
        <v>356</v>
      </c>
      <c r="D604" s="1" t="s">
        <v>357</v>
      </c>
      <c r="E604" t="s">
        <v>34</v>
      </c>
      <c r="F604" t="s">
        <v>34</v>
      </c>
      <c r="G604" t="s">
        <v>34</v>
      </c>
      <c r="H604">
        <v>35264000000</v>
      </c>
      <c r="I604">
        <v>87646000000</v>
      </c>
      <c r="J604">
        <v>230808000000</v>
      </c>
      <c r="K604">
        <v>333073000000</v>
      </c>
      <c r="L604">
        <v>325604000000</v>
      </c>
      <c r="M604">
        <v>452798042900</v>
      </c>
      <c r="N604">
        <v>859734732500</v>
      </c>
      <c r="O604">
        <v>1622844600000</v>
      </c>
      <c r="P604">
        <v>2306400000000</v>
      </c>
      <c r="Q604">
        <v>2346100000000</v>
      </c>
      <c r="R604">
        <v>3555300000000</v>
      </c>
      <c r="S604">
        <v>2599200000000</v>
      </c>
      <c r="T604">
        <v>3163500000000</v>
      </c>
      <c r="U604">
        <v>4587700000000</v>
      </c>
      <c r="V604">
        <v>5032500000000</v>
      </c>
      <c r="W604">
        <v>4974300000000</v>
      </c>
      <c r="X604">
        <v>5406493442469.4004</v>
      </c>
      <c r="Y604">
        <v>3385631138101.04</v>
      </c>
      <c r="Z604">
        <v>2634634000000</v>
      </c>
      <c r="AA604">
        <v>2584703000000</v>
      </c>
      <c r="AB604">
        <v>3700444000000</v>
      </c>
      <c r="AC604">
        <v>3028571000000</v>
      </c>
      <c r="AD604">
        <v>1871756000000</v>
      </c>
      <c r="AE604">
        <v>3463319000000</v>
      </c>
      <c r="AF604" t="s">
        <v>34</v>
      </c>
      <c r="AG604">
        <f t="shared" si="22"/>
        <v>2441180164832.1016</v>
      </c>
    </row>
    <row r="605" spans="1:33" x14ac:dyDescent="0.3">
      <c r="A605" t="s">
        <v>509</v>
      </c>
      <c r="B605" s="1" t="s">
        <v>510</v>
      </c>
      <c r="C605" t="s">
        <v>358</v>
      </c>
      <c r="D605" s="1" t="s">
        <v>359</v>
      </c>
      <c r="E605" t="s">
        <v>34</v>
      </c>
      <c r="F605" t="s">
        <v>34</v>
      </c>
      <c r="G605" t="s">
        <v>34</v>
      </c>
      <c r="H605" t="s">
        <v>34</v>
      </c>
      <c r="I605" t="s">
        <v>34</v>
      </c>
      <c r="J605" t="s">
        <v>34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34</v>
      </c>
      <c r="V605" t="s">
        <v>34</v>
      </c>
      <c r="W605" t="s">
        <v>34</v>
      </c>
      <c r="X605">
        <v>56172397321</v>
      </c>
      <c r="Y605">
        <v>64284351485</v>
      </c>
      <c r="Z605">
        <v>75812149962.468094</v>
      </c>
      <c r="AA605">
        <v>80659855556.043793</v>
      </c>
      <c r="AB605">
        <v>95040279604.650604</v>
      </c>
      <c r="AC605">
        <v>111930789210.444</v>
      </c>
      <c r="AD605">
        <v>117281484121.38</v>
      </c>
      <c r="AE605" t="s">
        <v>34</v>
      </c>
      <c r="AF605" t="s">
        <v>34</v>
      </c>
      <c r="AG605">
        <f t="shared" si="22"/>
        <v>85883043894.426636</v>
      </c>
    </row>
    <row r="606" spans="1:33" x14ac:dyDescent="0.3">
      <c r="A606" t="s">
        <v>509</v>
      </c>
      <c r="B606" s="1" t="s">
        <v>510</v>
      </c>
      <c r="C606" t="s">
        <v>360</v>
      </c>
      <c r="D606" s="1" t="s">
        <v>361</v>
      </c>
      <c r="E606" t="s">
        <v>34</v>
      </c>
      <c r="F606" t="s">
        <v>34</v>
      </c>
      <c r="G606" t="s">
        <v>34</v>
      </c>
      <c r="H606" t="s">
        <v>34</v>
      </c>
      <c r="I606" t="s">
        <v>34</v>
      </c>
      <c r="J606" t="s">
        <v>34</v>
      </c>
      <c r="K606" t="s">
        <v>34</v>
      </c>
      <c r="L606" t="s">
        <v>34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34</v>
      </c>
      <c r="V606">
        <v>34969485.869999997</v>
      </c>
      <c r="W606">
        <v>44803620.259999998</v>
      </c>
      <c r="X606">
        <v>52731447.079999998</v>
      </c>
      <c r="Y606">
        <v>50076628.299999997</v>
      </c>
      <c r="Z606">
        <v>54413512.170000002</v>
      </c>
      <c r="AA606">
        <v>54907396.020000003</v>
      </c>
      <c r="AB606">
        <v>58773800.299999997</v>
      </c>
      <c r="AC606">
        <v>63441311.93</v>
      </c>
      <c r="AD606">
        <v>55373873.579999998</v>
      </c>
      <c r="AE606">
        <v>59869736.409999996</v>
      </c>
      <c r="AF606" t="s">
        <v>34</v>
      </c>
      <c r="AG606">
        <f t="shared" si="22"/>
        <v>52936081.191999994</v>
      </c>
    </row>
    <row r="607" spans="1:33" x14ac:dyDescent="0.3">
      <c r="A607" t="s">
        <v>509</v>
      </c>
      <c r="B607" s="1" t="s">
        <v>510</v>
      </c>
      <c r="C607" t="s">
        <v>362</v>
      </c>
      <c r="D607" s="1" t="s">
        <v>363</v>
      </c>
      <c r="E607">
        <v>6000000000</v>
      </c>
      <c r="F607" t="s">
        <v>34</v>
      </c>
      <c r="G607" t="s">
        <v>34</v>
      </c>
      <c r="H607" t="s">
        <v>34</v>
      </c>
      <c r="I607" t="s">
        <v>34</v>
      </c>
      <c r="J607" t="s">
        <v>34</v>
      </c>
      <c r="K607" t="s">
        <v>34</v>
      </c>
      <c r="L607">
        <v>4434883</v>
      </c>
      <c r="M607">
        <v>3785163</v>
      </c>
      <c r="N607">
        <v>5954377.1399999997</v>
      </c>
      <c r="O607">
        <v>8536640.3800000008</v>
      </c>
      <c r="P607">
        <v>10050582.859999999</v>
      </c>
      <c r="Q607">
        <v>9096039.0700000003</v>
      </c>
      <c r="R607">
        <v>9161145.1699999999</v>
      </c>
      <c r="S607">
        <v>3912368.38</v>
      </c>
      <c r="T607">
        <v>3835400</v>
      </c>
      <c r="U607">
        <v>3662735.13</v>
      </c>
      <c r="V607">
        <v>3111685</v>
      </c>
      <c r="W607">
        <v>2885725.65</v>
      </c>
      <c r="X607">
        <v>2820542.47</v>
      </c>
      <c r="Y607">
        <v>2848463.76</v>
      </c>
      <c r="Z607">
        <v>2659904.23</v>
      </c>
      <c r="AA607">
        <v>2539226</v>
      </c>
      <c r="AB607">
        <v>2173971</v>
      </c>
      <c r="AC607">
        <v>2375483</v>
      </c>
      <c r="AD607">
        <v>2181414</v>
      </c>
      <c r="AE607">
        <v>2421195</v>
      </c>
      <c r="AF607" t="s">
        <v>34</v>
      </c>
      <c r="AG607">
        <f t="shared" si="22"/>
        <v>289926044.96380949</v>
      </c>
    </row>
    <row r="608" spans="1:33" x14ac:dyDescent="0.3">
      <c r="A608" t="s">
        <v>509</v>
      </c>
      <c r="B608" s="1" t="s">
        <v>510</v>
      </c>
      <c r="C608" t="s">
        <v>364</v>
      </c>
      <c r="D608" s="1" t="s">
        <v>365</v>
      </c>
      <c r="E608" t="s">
        <v>34</v>
      </c>
      <c r="F608" t="s">
        <v>34</v>
      </c>
      <c r="G608" t="s">
        <v>34</v>
      </c>
      <c r="H608" t="s">
        <v>34</v>
      </c>
      <c r="I608" t="s">
        <v>34</v>
      </c>
      <c r="J608" t="s">
        <v>34</v>
      </c>
      <c r="K608" t="s">
        <v>34</v>
      </c>
      <c r="L608" t="s">
        <v>34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34</v>
      </c>
      <c r="V608" t="s">
        <v>34</v>
      </c>
      <c r="W608" t="s">
        <v>34</v>
      </c>
      <c r="X608" t="s">
        <v>34</v>
      </c>
      <c r="Y608" t="s">
        <v>34</v>
      </c>
      <c r="Z608" t="s">
        <v>34</v>
      </c>
      <c r="AA608" t="s">
        <v>34</v>
      </c>
      <c r="AB608" t="s">
        <v>34</v>
      </c>
      <c r="AC608" t="s">
        <v>34</v>
      </c>
      <c r="AD608" t="s">
        <v>34</v>
      </c>
      <c r="AE608" t="s">
        <v>34</v>
      </c>
      <c r="AF608" t="s">
        <v>34</v>
      </c>
      <c r="AG608" t="str">
        <f t="shared" si="22"/>
        <v>NA</v>
      </c>
    </row>
    <row r="609" spans="1:33" x14ac:dyDescent="0.3">
      <c r="A609" t="s">
        <v>509</v>
      </c>
      <c r="B609" s="1" t="s">
        <v>510</v>
      </c>
      <c r="C609" t="s">
        <v>366</v>
      </c>
      <c r="D609" s="1" t="s">
        <v>367</v>
      </c>
      <c r="E609" t="s">
        <v>34</v>
      </c>
      <c r="F609" t="s">
        <v>34</v>
      </c>
      <c r="G609" t="s">
        <v>34</v>
      </c>
      <c r="H609" t="s">
        <v>34</v>
      </c>
      <c r="I609" t="s">
        <v>34</v>
      </c>
      <c r="J609" t="s">
        <v>34</v>
      </c>
      <c r="K609" t="s">
        <v>34</v>
      </c>
      <c r="L609" t="s">
        <v>34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  <c r="R609" t="s">
        <v>34</v>
      </c>
      <c r="S609" t="s">
        <v>34</v>
      </c>
      <c r="T609">
        <v>12175000000</v>
      </c>
      <c r="U609">
        <v>14359000000</v>
      </c>
      <c r="V609">
        <v>17862000000</v>
      </c>
      <c r="W609">
        <v>17600000000</v>
      </c>
      <c r="X609">
        <v>19521000000</v>
      </c>
      <c r="Y609">
        <v>21574000000</v>
      </c>
      <c r="Z609">
        <v>25862000683.799999</v>
      </c>
      <c r="AA609">
        <v>20117854864.470001</v>
      </c>
      <c r="AB609">
        <v>16150000000</v>
      </c>
      <c r="AC609">
        <v>17375956576.009998</v>
      </c>
      <c r="AD609">
        <v>17779144842.130001</v>
      </c>
      <c r="AE609" t="s">
        <v>34</v>
      </c>
      <c r="AF609" t="s">
        <v>34</v>
      </c>
      <c r="AG609">
        <f t="shared" si="22"/>
        <v>18215996087.855457</v>
      </c>
    </row>
    <row r="610" spans="1:33" x14ac:dyDescent="0.3">
      <c r="A610" t="s">
        <v>509</v>
      </c>
      <c r="B610" s="1" t="s">
        <v>510</v>
      </c>
      <c r="C610" t="s">
        <v>368</v>
      </c>
      <c r="D610" s="1" t="s">
        <v>369</v>
      </c>
      <c r="E610" t="s">
        <v>34</v>
      </c>
      <c r="F610" t="s">
        <v>34</v>
      </c>
      <c r="G610" t="s">
        <v>34</v>
      </c>
      <c r="H610" t="s">
        <v>34</v>
      </c>
      <c r="I610" t="s">
        <v>34</v>
      </c>
      <c r="J610" t="s">
        <v>34</v>
      </c>
      <c r="K610" t="s">
        <v>34</v>
      </c>
      <c r="L610" t="s">
        <v>34</v>
      </c>
      <c r="M610" t="s">
        <v>34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34</v>
      </c>
      <c r="X610" t="s">
        <v>34</v>
      </c>
      <c r="Y610">
        <v>233938159255</v>
      </c>
      <c r="Z610">
        <v>241943116255</v>
      </c>
      <c r="AA610">
        <v>277585989774</v>
      </c>
      <c r="AB610">
        <v>326364566140</v>
      </c>
      <c r="AC610">
        <v>365538000000</v>
      </c>
      <c r="AD610">
        <v>337908415745</v>
      </c>
      <c r="AE610">
        <v>392610000000</v>
      </c>
      <c r="AF610">
        <v>501200000000</v>
      </c>
      <c r="AG610">
        <f t="shared" si="22"/>
        <v>334636030896.125</v>
      </c>
    </row>
    <row r="611" spans="1:33" x14ac:dyDescent="0.3">
      <c r="A611" t="s">
        <v>509</v>
      </c>
      <c r="B611" s="1" t="s">
        <v>510</v>
      </c>
      <c r="C611" t="s">
        <v>370</v>
      </c>
      <c r="D611" s="1" t="s">
        <v>371</v>
      </c>
      <c r="E611" t="s">
        <v>34</v>
      </c>
      <c r="F611" t="s">
        <v>34</v>
      </c>
      <c r="G611" t="s">
        <v>34</v>
      </c>
      <c r="H611" t="s">
        <v>34</v>
      </c>
      <c r="I611" t="s">
        <v>34</v>
      </c>
      <c r="J611" t="s">
        <v>34</v>
      </c>
      <c r="K611" t="s">
        <v>34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Q611">
        <v>57380900000</v>
      </c>
      <c r="R611">
        <v>64784269136.010002</v>
      </c>
      <c r="S611">
        <v>48039800000</v>
      </c>
      <c r="T611">
        <v>44285500000</v>
      </c>
      <c r="U611">
        <v>38804739000</v>
      </c>
      <c r="V611">
        <v>35782849452</v>
      </c>
      <c r="W611">
        <v>32504288667.369999</v>
      </c>
      <c r="X611">
        <v>31025757579.060001</v>
      </c>
      <c r="Y611">
        <v>33320877858.25</v>
      </c>
      <c r="Z611">
        <v>36429967168.919998</v>
      </c>
      <c r="AA611">
        <v>39707882661.870003</v>
      </c>
      <c r="AB611">
        <v>43649585090.779999</v>
      </c>
      <c r="AC611">
        <v>48093087534.25</v>
      </c>
      <c r="AD611">
        <v>51922222434.690002</v>
      </c>
      <c r="AE611">
        <v>51922222434.690002</v>
      </c>
      <c r="AF611" t="s">
        <v>34</v>
      </c>
      <c r="AG611">
        <f t="shared" si="22"/>
        <v>43843596601.192657</v>
      </c>
    </row>
    <row r="612" spans="1:33" x14ac:dyDescent="0.3">
      <c r="A612" t="s">
        <v>509</v>
      </c>
      <c r="B612" s="1" t="s">
        <v>510</v>
      </c>
      <c r="C612" t="s">
        <v>372</v>
      </c>
      <c r="D612" s="1" t="s">
        <v>373</v>
      </c>
      <c r="E612">
        <v>487700000</v>
      </c>
      <c r="F612">
        <v>462600000</v>
      </c>
      <c r="G612">
        <v>525900000</v>
      </c>
      <c r="H612">
        <v>575000000</v>
      </c>
      <c r="I612">
        <v>577300000</v>
      </c>
      <c r="J612">
        <v>578000000</v>
      </c>
      <c r="K612" t="s">
        <v>34</v>
      </c>
      <c r="L612" t="s">
        <v>34</v>
      </c>
      <c r="M612" t="s">
        <v>34</v>
      </c>
      <c r="N612" t="s">
        <v>34</v>
      </c>
      <c r="O612">
        <v>349021961.29000002</v>
      </c>
      <c r="P612">
        <v>267800000</v>
      </c>
      <c r="Q612">
        <v>323499609</v>
      </c>
      <c r="R612">
        <v>394993107</v>
      </c>
      <c r="S612">
        <v>450993715.48000002</v>
      </c>
      <c r="T612">
        <v>709425897.13999999</v>
      </c>
      <c r="U612">
        <v>1154760654.9200001</v>
      </c>
      <c r="V612">
        <v>1137792805.3900001</v>
      </c>
      <c r="W612">
        <v>430874368.10000002</v>
      </c>
      <c r="X612">
        <v>381082486.88999999</v>
      </c>
      <c r="Y612">
        <v>330806191.25999999</v>
      </c>
      <c r="Z612">
        <v>365022270.44999999</v>
      </c>
      <c r="AA612">
        <v>289275104.81999999</v>
      </c>
      <c r="AB612">
        <v>318722700</v>
      </c>
      <c r="AC612">
        <v>317603274.45999998</v>
      </c>
      <c r="AD612">
        <v>260960641.47999999</v>
      </c>
      <c r="AE612" t="s">
        <v>34</v>
      </c>
      <c r="AF612" t="s">
        <v>34</v>
      </c>
      <c r="AG612">
        <f t="shared" si="22"/>
        <v>485869763.07636362</v>
      </c>
    </row>
    <row r="613" spans="1:33" x14ac:dyDescent="0.3">
      <c r="A613" t="s">
        <v>509</v>
      </c>
      <c r="B613" s="1" t="s">
        <v>510</v>
      </c>
      <c r="C613" t="s">
        <v>374</v>
      </c>
      <c r="D613" s="1" t="s">
        <v>375</v>
      </c>
      <c r="E613" t="s">
        <v>34</v>
      </c>
      <c r="F613" t="s">
        <v>34</v>
      </c>
      <c r="G613" t="s">
        <v>34</v>
      </c>
      <c r="H613" t="s">
        <v>34</v>
      </c>
      <c r="I613" t="s">
        <v>34</v>
      </c>
      <c r="J613" t="s">
        <v>34</v>
      </c>
      <c r="K613" t="s">
        <v>34</v>
      </c>
      <c r="L613" t="s">
        <v>34</v>
      </c>
      <c r="M613" t="s">
        <v>34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  <c r="Z613" t="s">
        <v>34</v>
      </c>
      <c r="AA613" t="s">
        <v>34</v>
      </c>
      <c r="AB613" t="s">
        <v>34</v>
      </c>
      <c r="AC613" t="s">
        <v>34</v>
      </c>
      <c r="AD613" t="s">
        <v>34</v>
      </c>
      <c r="AE613" t="s">
        <v>34</v>
      </c>
      <c r="AF613" t="s">
        <v>34</v>
      </c>
      <c r="AG613" t="str">
        <f t="shared" si="22"/>
        <v>NA</v>
      </c>
    </row>
    <row r="614" spans="1:33" x14ac:dyDescent="0.3">
      <c r="A614" t="s">
        <v>509</v>
      </c>
      <c r="B614" s="1" t="s">
        <v>510</v>
      </c>
      <c r="C614" t="s">
        <v>376</v>
      </c>
      <c r="D614" s="1" t="s">
        <v>377</v>
      </c>
      <c r="E614">
        <v>389000000</v>
      </c>
      <c r="F614">
        <v>453000000</v>
      </c>
      <c r="G614">
        <v>448000000</v>
      </c>
      <c r="H614">
        <v>450000000</v>
      </c>
      <c r="I614">
        <v>510000000</v>
      </c>
      <c r="J614">
        <v>607000000</v>
      </c>
      <c r="K614">
        <v>609000000</v>
      </c>
      <c r="L614">
        <v>701000000</v>
      </c>
      <c r="M614">
        <v>17000000</v>
      </c>
      <c r="N614">
        <v>24000000</v>
      </c>
      <c r="O614">
        <v>24000000</v>
      </c>
      <c r="P614">
        <v>26000000</v>
      </c>
      <c r="Q614">
        <v>25000000</v>
      </c>
      <c r="R614" t="s">
        <v>34</v>
      </c>
      <c r="S614" t="s">
        <v>34</v>
      </c>
      <c r="T614" t="s">
        <v>34</v>
      </c>
      <c r="U614" t="s">
        <v>34</v>
      </c>
      <c r="V614" t="s">
        <v>34</v>
      </c>
      <c r="W614" t="s">
        <v>34</v>
      </c>
      <c r="X614" t="s">
        <v>34</v>
      </c>
      <c r="Y614" t="s">
        <v>34</v>
      </c>
      <c r="Z614" t="s">
        <v>34</v>
      </c>
      <c r="AA614" t="s">
        <v>34</v>
      </c>
      <c r="AB614" t="s">
        <v>34</v>
      </c>
      <c r="AC614" t="s">
        <v>34</v>
      </c>
      <c r="AD614" t="s">
        <v>34</v>
      </c>
      <c r="AE614" t="s">
        <v>34</v>
      </c>
      <c r="AF614" t="s">
        <v>34</v>
      </c>
      <c r="AG614">
        <f t="shared" si="22"/>
        <v>329461538.46153843</v>
      </c>
    </row>
    <row r="615" spans="1:33" x14ac:dyDescent="0.3">
      <c r="A615" t="s">
        <v>509</v>
      </c>
      <c r="B615" s="1" t="s">
        <v>510</v>
      </c>
      <c r="C615" t="s">
        <v>378</v>
      </c>
      <c r="D615" s="1" t="s">
        <v>379</v>
      </c>
      <c r="E615" t="s">
        <v>34</v>
      </c>
      <c r="F615" t="s">
        <v>34</v>
      </c>
      <c r="G615" t="s">
        <v>34</v>
      </c>
      <c r="H615" t="s">
        <v>34</v>
      </c>
      <c r="I615" t="s">
        <v>34</v>
      </c>
      <c r="J615" t="s">
        <v>34</v>
      </c>
      <c r="K615" t="s">
        <v>34</v>
      </c>
      <c r="L615" t="s">
        <v>34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34</v>
      </c>
      <c r="T615" t="s">
        <v>34</v>
      </c>
      <c r="U615" t="s">
        <v>34</v>
      </c>
      <c r="V615" t="s">
        <v>34</v>
      </c>
      <c r="W615" t="s">
        <v>34</v>
      </c>
      <c r="X615" t="s">
        <v>34</v>
      </c>
      <c r="Y615" t="s">
        <v>34</v>
      </c>
      <c r="Z615" t="s">
        <v>34</v>
      </c>
      <c r="AA615" t="s">
        <v>34</v>
      </c>
      <c r="AB615" t="s">
        <v>34</v>
      </c>
      <c r="AC615" t="s">
        <v>34</v>
      </c>
      <c r="AD615" t="s">
        <v>34</v>
      </c>
      <c r="AE615" t="s">
        <v>34</v>
      </c>
      <c r="AF615" t="s">
        <v>34</v>
      </c>
      <c r="AG615" t="str">
        <f t="shared" si="22"/>
        <v>NA</v>
      </c>
    </row>
    <row r="616" spans="1:33" x14ac:dyDescent="0.3">
      <c r="A616" t="s">
        <v>509</v>
      </c>
      <c r="B616" s="1" t="s">
        <v>510</v>
      </c>
      <c r="C616" t="s">
        <v>380</v>
      </c>
      <c r="D616" s="1" t="s">
        <v>381</v>
      </c>
      <c r="E616">
        <v>293169000</v>
      </c>
      <c r="F616">
        <v>328387000</v>
      </c>
      <c r="G616">
        <v>425380000</v>
      </c>
      <c r="H616">
        <v>387140000</v>
      </c>
      <c r="I616">
        <v>416053000</v>
      </c>
      <c r="J616">
        <v>437496000</v>
      </c>
      <c r="K616">
        <v>130219000</v>
      </c>
      <c r="L616">
        <v>132643000</v>
      </c>
      <c r="M616">
        <v>134934000</v>
      </c>
      <c r="N616">
        <v>53110000</v>
      </c>
      <c r="O616">
        <v>863000</v>
      </c>
      <c r="P616">
        <v>-1162000</v>
      </c>
      <c r="Q616">
        <v>731000</v>
      </c>
      <c r="R616">
        <v>33000</v>
      </c>
      <c r="S616">
        <v>28000</v>
      </c>
      <c r="T616">
        <v>30000</v>
      </c>
      <c r="U616">
        <v>59000</v>
      </c>
      <c r="V616">
        <v>89000</v>
      </c>
      <c r="W616">
        <v>92000</v>
      </c>
      <c r="X616">
        <v>4000</v>
      </c>
      <c r="Y616">
        <v>21000</v>
      </c>
      <c r="Z616">
        <v>41000</v>
      </c>
      <c r="AA616">
        <v>10000</v>
      </c>
      <c r="AB616">
        <v>19000</v>
      </c>
      <c r="AC616">
        <v>15000</v>
      </c>
      <c r="AD616">
        <v>16000</v>
      </c>
      <c r="AE616">
        <v>10000</v>
      </c>
      <c r="AF616" t="s">
        <v>34</v>
      </c>
      <c r="AG616">
        <f t="shared" si="22"/>
        <v>101460370.37037037</v>
      </c>
    </row>
    <row r="617" spans="1:33" x14ac:dyDescent="0.3">
      <c r="A617" t="s">
        <v>509</v>
      </c>
      <c r="B617" s="1" t="s">
        <v>510</v>
      </c>
      <c r="C617" t="s">
        <v>382</v>
      </c>
      <c r="D617" s="1" t="s">
        <v>383</v>
      </c>
      <c r="E617">
        <v>313172000</v>
      </c>
      <c r="F617">
        <v>317522000</v>
      </c>
      <c r="G617">
        <v>242720000</v>
      </c>
      <c r="H617">
        <v>196572000</v>
      </c>
      <c r="I617">
        <v>190181000</v>
      </c>
      <c r="J617">
        <v>157891000</v>
      </c>
      <c r="K617">
        <v>118609000</v>
      </c>
      <c r="L617">
        <v>128830000</v>
      </c>
      <c r="M617">
        <v>136506000</v>
      </c>
      <c r="N617">
        <v>46079000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34</v>
      </c>
      <c r="V617" t="s">
        <v>34</v>
      </c>
      <c r="W617" t="s">
        <v>34</v>
      </c>
      <c r="X617" t="s">
        <v>34</v>
      </c>
      <c r="Y617" t="s">
        <v>34</v>
      </c>
      <c r="Z617" t="s">
        <v>34</v>
      </c>
      <c r="AA617" t="s">
        <v>34</v>
      </c>
      <c r="AB617" t="s">
        <v>34</v>
      </c>
      <c r="AC617" t="s">
        <v>34</v>
      </c>
      <c r="AD617" t="s">
        <v>34</v>
      </c>
      <c r="AE617" t="s">
        <v>34</v>
      </c>
      <c r="AF617" t="s">
        <v>34</v>
      </c>
      <c r="AG617">
        <f t="shared" si="22"/>
        <v>184808200</v>
      </c>
    </row>
    <row r="618" spans="1:33" x14ac:dyDescent="0.3">
      <c r="A618" t="s">
        <v>509</v>
      </c>
      <c r="B618" s="1" t="s">
        <v>510</v>
      </c>
      <c r="C618" t="s">
        <v>384</v>
      </c>
      <c r="D618" s="1" t="s">
        <v>385</v>
      </c>
      <c r="E618" t="s">
        <v>34</v>
      </c>
      <c r="F618" t="s">
        <v>34</v>
      </c>
      <c r="G618" t="s">
        <v>34</v>
      </c>
      <c r="H618" t="s">
        <v>34</v>
      </c>
      <c r="I618" t="s">
        <v>34</v>
      </c>
      <c r="J618" t="s">
        <v>34</v>
      </c>
      <c r="K618" t="s">
        <v>34</v>
      </c>
      <c r="L618" t="s">
        <v>34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  <c r="U618">
        <v>802296239.17999995</v>
      </c>
      <c r="V618">
        <v>938970396.17999995</v>
      </c>
      <c r="W618">
        <v>983420706.22000003</v>
      </c>
      <c r="X618">
        <v>1020699708.64</v>
      </c>
      <c r="Y618">
        <v>1094442015.79</v>
      </c>
      <c r="Z618">
        <v>1109306386.3399999</v>
      </c>
      <c r="AA618">
        <v>871296001.74000001</v>
      </c>
      <c r="AB618">
        <v>1510836138.0699999</v>
      </c>
      <c r="AC618">
        <v>1237250759.3499999</v>
      </c>
      <c r="AD618">
        <v>1090275339.1500001</v>
      </c>
      <c r="AE618" t="s">
        <v>34</v>
      </c>
      <c r="AF618" t="s">
        <v>34</v>
      </c>
      <c r="AG618">
        <f t="shared" si="22"/>
        <v>1065879369.066</v>
      </c>
    </row>
    <row r="619" spans="1:33" x14ac:dyDescent="0.3">
      <c r="A619" t="s">
        <v>509</v>
      </c>
      <c r="B619" s="1" t="s">
        <v>510</v>
      </c>
      <c r="C619" t="s">
        <v>386</v>
      </c>
      <c r="D619" s="1" t="s">
        <v>387</v>
      </c>
      <c r="E619" t="s">
        <v>34</v>
      </c>
      <c r="F619" t="s">
        <v>34</v>
      </c>
      <c r="G619" t="s">
        <v>34</v>
      </c>
      <c r="H619" t="s">
        <v>34</v>
      </c>
      <c r="I619" t="s">
        <v>34</v>
      </c>
      <c r="J619" t="s">
        <v>34</v>
      </c>
      <c r="K619" t="s">
        <v>34</v>
      </c>
      <c r="L619" t="s">
        <v>34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34</v>
      </c>
      <c r="X619" t="s">
        <v>34</v>
      </c>
      <c r="Y619" t="s">
        <v>34</v>
      </c>
      <c r="Z619" t="s">
        <v>34</v>
      </c>
      <c r="AA619">
        <v>92786925.980000004</v>
      </c>
      <c r="AB619">
        <v>100713616.8</v>
      </c>
      <c r="AC619">
        <v>108977899.79000001</v>
      </c>
      <c r="AD619">
        <v>91054110.349999994</v>
      </c>
      <c r="AE619" t="s">
        <v>34</v>
      </c>
      <c r="AF619" t="s">
        <v>34</v>
      </c>
      <c r="AG619">
        <f t="shared" si="22"/>
        <v>98383138.229999989</v>
      </c>
    </row>
    <row r="620" spans="1:33" x14ac:dyDescent="0.3">
      <c r="A620" t="s">
        <v>509</v>
      </c>
      <c r="B620" s="1" t="s">
        <v>510</v>
      </c>
      <c r="C620" t="s">
        <v>388</v>
      </c>
      <c r="D620" s="1" t="s">
        <v>389</v>
      </c>
      <c r="E620">
        <v>5655000000</v>
      </c>
      <c r="F620">
        <v>6200000000</v>
      </c>
      <c r="G620">
        <v>4553500000</v>
      </c>
      <c r="H620">
        <v>5301200000</v>
      </c>
      <c r="I620">
        <v>5857000000</v>
      </c>
      <c r="J620">
        <v>7218500000</v>
      </c>
      <c r="K620">
        <v>7692000000</v>
      </c>
      <c r="L620">
        <v>8475000000</v>
      </c>
      <c r="M620">
        <v>7997300000</v>
      </c>
      <c r="N620">
        <v>12987000000</v>
      </c>
      <c r="O620">
        <v>18129000000</v>
      </c>
      <c r="P620">
        <v>23437000000</v>
      </c>
      <c r="Q620">
        <v>26410000000</v>
      </c>
      <c r="R620">
        <v>22220000000</v>
      </c>
      <c r="S620">
        <v>18708708364.926201</v>
      </c>
      <c r="T620">
        <v>26585764971.322601</v>
      </c>
      <c r="U620">
        <v>33645374976.342701</v>
      </c>
      <c r="V620">
        <v>38627814364.1119</v>
      </c>
      <c r="W620">
        <v>43784130342.037003</v>
      </c>
      <c r="X620">
        <v>40332098535.611504</v>
      </c>
      <c r="Y620">
        <v>45827125078.476402</v>
      </c>
      <c r="Z620">
        <v>45240269417.821999</v>
      </c>
      <c r="AA620">
        <v>49939408199.809998</v>
      </c>
      <c r="AB620">
        <v>55722905769.32</v>
      </c>
      <c r="AC620">
        <v>55223422476.273003</v>
      </c>
      <c r="AD620">
        <v>46301599998.956902</v>
      </c>
      <c r="AE620">
        <v>58907852328.968697</v>
      </c>
      <c r="AF620" t="s">
        <v>34</v>
      </c>
      <c r="AG620">
        <f t="shared" si="22"/>
        <v>26702924993.480698</v>
      </c>
    </row>
    <row r="621" spans="1:33" x14ac:dyDescent="0.3">
      <c r="A621" t="s">
        <v>509</v>
      </c>
      <c r="B621" s="1" t="s">
        <v>510</v>
      </c>
      <c r="C621" t="s">
        <v>390</v>
      </c>
      <c r="D621" s="1" t="s">
        <v>391</v>
      </c>
      <c r="E621" t="s">
        <v>34</v>
      </c>
      <c r="F621" t="s">
        <v>34</v>
      </c>
      <c r="G621" t="s">
        <v>34</v>
      </c>
      <c r="H621" t="s">
        <v>34</v>
      </c>
      <c r="I621" t="s">
        <v>34</v>
      </c>
      <c r="J621" t="s">
        <v>34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34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  <c r="Z621" t="s">
        <v>34</v>
      </c>
      <c r="AA621" t="s">
        <v>34</v>
      </c>
      <c r="AB621" t="s">
        <v>34</v>
      </c>
      <c r="AC621" t="s">
        <v>34</v>
      </c>
      <c r="AD621" t="s">
        <v>34</v>
      </c>
      <c r="AE621" t="s">
        <v>34</v>
      </c>
      <c r="AF621" t="s">
        <v>34</v>
      </c>
      <c r="AG621" t="str">
        <f t="shared" si="22"/>
        <v>NA</v>
      </c>
    </row>
    <row r="622" spans="1:33" x14ac:dyDescent="0.3">
      <c r="A622" t="s">
        <v>509</v>
      </c>
      <c r="B622" s="1" t="s">
        <v>510</v>
      </c>
      <c r="C622" t="s">
        <v>392</v>
      </c>
      <c r="D622" s="1" t="s">
        <v>393</v>
      </c>
      <c r="E622" t="s">
        <v>34</v>
      </c>
      <c r="F622" t="s">
        <v>34</v>
      </c>
      <c r="G622" t="s">
        <v>34</v>
      </c>
      <c r="H622" t="s">
        <v>34</v>
      </c>
      <c r="I622" t="s">
        <v>34</v>
      </c>
      <c r="J622" t="s">
        <v>34</v>
      </c>
      <c r="K622" t="s">
        <v>34</v>
      </c>
      <c r="L622" t="s">
        <v>34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  <c r="Z622" t="s">
        <v>34</v>
      </c>
      <c r="AA622" t="s">
        <v>34</v>
      </c>
      <c r="AB622" t="s">
        <v>34</v>
      </c>
      <c r="AC622" t="s">
        <v>34</v>
      </c>
      <c r="AD622" t="s">
        <v>34</v>
      </c>
      <c r="AE622" t="s">
        <v>34</v>
      </c>
      <c r="AF622" t="s">
        <v>34</v>
      </c>
      <c r="AG622" t="str">
        <f t="shared" si="22"/>
        <v>NA</v>
      </c>
    </row>
    <row r="623" spans="1:33" x14ac:dyDescent="0.3">
      <c r="A623" t="s">
        <v>509</v>
      </c>
      <c r="B623" s="1" t="s">
        <v>510</v>
      </c>
      <c r="C623" t="s">
        <v>394</v>
      </c>
      <c r="D623" s="1" t="s">
        <v>395</v>
      </c>
      <c r="E623">
        <v>24373000000</v>
      </c>
      <c r="F623">
        <v>25464000000</v>
      </c>
      <c r="G623">
        <v>26743000000</v>
      </c>
      <c r="H623">
        <v>28154000000</v>
      </c>
      <c r="I623">
        <v>27720000000</v>
      </c>
      <c r="J623">
        <v>23970000000</v>
      </c>
      <c r="K623">
        <v>26156000000</v>
      </c>
      <c r="L623">
        <v>31804000000</v>
      </c>
      <c r="M623">
        <v>39667000000</v>
      </c>
      <c r="N623">
        <v>48655000000</v>
      </c>
      <c r="O623">
        <v>56359000000</v>
      </c>
      <c r="P623">
        <v>73807000000</v>
      </c>
      <c r="Q623">
        <v>84406000000</v>
      </c>
      <c r="R623">
        <v>98234000000</v>
      </c>
      <c r="S623">
        <v>137260000000</v>
      </c>
      <c r="T623">
        <v>130749000000</v>
      </c>
      <c r="U623">
        <v>158080000000</v>
      </c>
      <c r="V623">
        <v>216672000000</v>
      </c>
      <c r="W623">
        <v>191815000000</v>
      </c>
      <c r="X623">
        <v>198482979423.03</v>
      </c>
      <c r="Y623">
        <v>244231077113.01999</v>
      </c>
      <c r="Z623">
        <v>364268154738.35999</v>
      </c>
      <c r="AA623">
        <v>371336120431.78003</v>
      </c>
      <c r="AB623">
        <v>341710101333.15997</v>
      </c>
      <c r="AC623">
        <v>333381552647.78003</v>
      </c>
      <c r="AD623">
        <v>361643099057.28003</v>
      </c>
      <c r="AE623">
        <v>352818039887.76001</v>
      </c>
      <c r="AF623" t="s">
        <v>34</v>
      </c>
      <c r="AG623">
        <f t="shared" si="22"/>
        <v>148813300912.30261</v>
      </c>
    </row>
    <row r="624" spans="1:33" x14ac:dyDescent="0.3">
      <c r="A624" t="s">
        <v>509</v>
      </c>
      <c r="B624" s="1" t="s">
        <v>510</v>
      </c>
      <c r="C624" t="s">
        <v>396</v>
      </c>
      <c r="D624" s="1" t="s">
        <v>397</v>
      </c>
      <c r="E624" t="s">
        <v>34</v>
      </c>
      <c r="F624" t="s">
        <v>34</v>
      </c>
      <c r="G624" t="s">
        <v>34</v>
      </c>
      <c r="H624" t="s">
        <v>34</v>
      </c>
      <c r="I624" t="s">
        <v>34</v>
      </c>
      <c r="J624">
        <v>93900000</v>
      </c>
      <c r="K624">
        <v>94300000</v>
      </c>
      <c r="L624">
        <v>126686000</v>
      </c>
      <c r="M624">
        <v>132931000</v>
      </c>
      <c r="N624">
        <v>138061000</v>
      </c>
      <c r="O624">
        <v>141869861</v>
      </c>
      <c r="P624">
        <v>163212711</v>
      </c>
      <c r="Q624">
        <v>111134274</v>
      </c>
      <c r="R624">
        <v>195755234.24000001</v>
      </c>
      <c r="S624">
        <v>168298967.91</v>
      </c>
      <c r="T624">
        <v>156610000</v>
      </c>
      <c r="U624">
        <v>104370000</v>
      </c>
      <c r="V624">
        <v>101450000</v>
      </c>
      <c r="W624">
        <v>108140000</v>
      </c>
      <c r="X624">
        <v>125740000</v>
      </c>
      <c r="Y624">
        <v>143230000</v>
      </c>
      <c r="Z624">
        <v>148500000</v>
      </c>
      <c r="AA624">
        <v>144370000</v>
      </c>
      <c r="AB624" t="s">
        <v>34</v>
      </c>
      <c r="AC624" t="s">
        <v>34</v>
      </c>
      <c r="AD624">
        <v>91600000</v>
      </c>
      <c r="AE624" t="s">
        <v>34</v>
      </c>
      <c r="AF624" t="s">
        <v>34</v>
      </c>
      <c r="AG624">
        <f t="shared" si="22"/>
        <v>131061002.53421053</v>
      </c>
    </row>
    <row r="625" spans="1:33" x14ac:dyDescent="0.3">
      <c r="A625" t="s">
        <v>509</v>
      </c>
      <c r="B625" s="1" t="s">
        <v>510</v>
      </c>
      <c r="C625" t="s">
        <v>398</v>
      </c>
      <c r="D625" s="1" t="s">
        <v>399</v>
      </c>
      <c r="E625" t="s">
        <v>34</v>
      </c>
      <c r="F625" t="s">
        <v>34</v>
      </c>
      <c r="G625" t="s">
        <v>34</v>
      </c>
      <c r="H625" t="s">
        <v>34</v>
      </c>
      <c r="I625" t="s">
        <v>34</v>
      </c>
      <c r="J625">
        <v>234917325</v>
      </c>
      <c r="K625">
        <v>207945150</v>
      </c>
      <c r="L625">
        <v>221952000</v>
      </c>
      <c r="M625">
        <v>256351000</v>
      </c>
      <c r="N625">
        <v>280976698</v>
      </c>
      <c r="O625">
        <v>307672698</v>
      </c>
      <c r="P625">
        <v>345160633</v>
      </c>
      <c r="Q625">
        <v>357858781</v>
      </c>
      <c r="R625">
        <v>365092989</v>
      </c>
      <c r="S625">
        <v>386127360</v>
      </c>
      <c r="T625">
        <v>377435644</v>
      </c>
      <c r="U625">
        <v>389430133</v>
      </c>
      <c r="V625">
        <v>326997421</v>
      </c>
      <c r="W625">
        <v>220032839</v>
      </c>
      <c r="X625">
        <v>245408664</v>
      </c>
      <c r="Y625">
        <v>260690000</v>
      </c>
      <c r="Z625">
        <v>278110000</v>
      </c>
      <c r="AA625">
        <v>326820000</v>
      </c>
      <c r="AB625" t="s">
        <v>34</v>
      </c>
      <c r="AC625" t="s">
        <v>34</v>
      </c>
      <c r="AD625" t="s">
        <v>34</v>
      </c>
      <c r="AE625" t="s">
        <v>34</v>
      </c>
      <c r="AF625" t="s">
        <v>34</v>
      </c>
      <c r="AG625">
        <f t="shared" si="22"/>
        <v>299387740.83333331</v>
      </c>
    </row>
    <row r="626" spans="1:33" x14ac:dyDescent="0.3">
      <c r="A626" t="s">
        <v>509</v>
      </c>
      <c r="B626" s="1" t="s">
        <v>510</v>
      </c>
      <c r="C626" t="s">
        <v>400</v>
      </c>
      <c r="D626" s="1" t="s">
        <v>401</v>
      </c>
      <c r="E626" t="s">
        <v>34</v>
      </c>
      <c r="F626" t="s">
        <v>34</v>
      </c>
      <c r="G626" t="s">
        <v>34</v>
      </c>
      <c r="H626" t="s">
        <v>34</v>
      </c>
      <c r="I626" t="s">
        <v>34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34</v>
      </c>
      <c r="V626" t="s">
        <v>34</v>
      </c>
      <c r="W626" t="s">
        <v>34</v>
      </c>
      <c r="X626" t="s">
        <v>34</v>
      </c>
      <c r="Y626" t="s">
        <v>34</v>
      </c>
      <c r="Z626" t="s">
        <v>34</v>
      </c>
      <c r="AA626" t="s">
        <v>34</v>
      </c>
      <c r="AB626" t="s">
        <v>34</v>
      </c>
      <c r="AC626" t="s">
        <v>34</v>
      </c>
      <c r="AD626" t="s">
        <v>34</v>
      </c>
      <c r="AE626" t="s">
        <v>34</v>
      </c>
      <c r="AF626" t="s">
        <v>34</v>
      </c>
      <c r="AG626" t="str">
        <f t="shared" si="22"/>
        <v>NA</v>
      </c>
    </row>
    <row r="627" spans="1:33" x14ac:dyDescent="0.3">
      <c r="A627" t="s">
        <v>509</v>
      </c>
      <c r="B627" s="1" t="s">
        <v>510</v>
      </c>
      <c r="C627" t="s">
        <v>402</v>
      </c>
      <c r="D627" s="1" t="s">
        <v>403</v>
      </c>
      <c r="E627">
        <v>85100000</v>
      </c>
      <c r="F627">
        <v>86600000</v>
      </c>
      <c r="G627">
        <v>98300000</v>
      </c>
      <c r="H627">
        <v>104500000</v>
      </c>
      <c r="I627">
        <v>107700000</v>
      </c>
      <c r="J627">
        <v>102390000</v>
      </c>
      <c r="K627">
        <v>111850000</v>
      </c>
      <c r="L627">
        <v>126690000</v>
      </c>
      <c r="M627">
        <v>132930000</v>
      </c>
      <c r="N627">
        <v>138060000</v>
      </c>
      <c r="O627">
        <v>142760000</v>
      </c>
      <c r="P627">
        <v>162110000</v>
      </c>
      <c r="Q627">
        <v>111130000</v>
      </c>
      <c r="R627">
        <v>89540000</v>
      </c>
      <c r="S627">
        <v>82755491</v>
      </c>
      <c r="T627">
        <v>81796935</v>
      </c>
      <c r="U627">
        <v>81196211</v>
      </c>
      <c r="V627">
        <v>81120287</v>
      </c>
      <c r="W627">
        <v>81998365</v>
      </c>
      <c r="X627">
        <v>112250000</v>
      </c>
      <c r="Y627">
        <v>121480000</v>
      </c>
      <c r="Z627">
        <v>100230000</v>
      </c>
      <c r="AA627">
        <v>107790000</v>
      </c>
      <c r="AB627" t="s">
        <v>34</v>
      </c>
      <c r="AC627" t="s">
        <v>34</v>
      </c>
      <c r="AD627" t="s">
        <v>34</v>
      </c>
      <c r="AE627" t="s">
        <v>34</v>
      </c>
      <c r="AF627" t="s">
        <v>34</v>
      </c>
      <c r="AG627">
        <f t="shared" si="22"/>
        <v>106533795.17391305</v>
      </c>
    </row>
    <row r="628" spans="1:33" x14ac:dyDescent="0.3">
      <c r="A628" t="s">
        <v>509</v>
      </c>
      <c r="B628" s="1" t="s">
        <v>510</v>
      </c>
      <c r="C628" t="s">
        <v>404</v>
      </c>
      <c r="D628" s="1" t="s">
        <v>405</v>
      </c>
      <c r="E628" t="s">
        <v>34</v>
      </c>
      <c r="F628" t="s">
        <v>34</v>
      </c>
      <c r="G628" t="s">
        <v>34</v>
      </c>
      <c r="H628">
        <v>443430000</v>
      </c>
      <c r="I628">
        <v>625570000</v>
      </c>
      <c r="J628" t="s">
        <v>34</v>
      </c>
      <c r="K628" t="s">
        <v>34</v>
      </c>
      <c r="L628" t="s">
        <v>34</v>
      </c>
      <c r="M628" t="s">
        <v>34</v>
      </c>
      <c r="N628" t="s">
        <v>34</v>
      </c>
      <c r="O628" t="s">
        <v>34</v>
      </c>
      <c r="P628" t="s">
        <v>34</v>
      </c>
      <c r="Q628" t="s">
        <v>34</v>
      </c>
      <c r="R628" t="s">
        <v>34</v>
      </c>
      <c r="S628">
        <v>2553400000</v>
      </c>
      <c r="T628">
        <v>2882300000</v>
      </c>
      <c r="U628">
        <v>1968300000</v>
      </c>
      <c r="V628">
        <v>4688200000</v>
      </c>
      <c r="W628">
        <v>6824500000</v>
      </c>
      <c r="X628">
        <v>7913600000</v>
      </c>
      <c r="Y628">
        <v>9063300000</v>
      </c>
      <c r="Z628">
        <v>9057700000</v>
      </c>
      <c r="AA628" t="s">
        <v>34</v>
      </c>
      <c r="AB628" t="s">
        <v>34</v>
      </c>
      <c r="AC628" t="s">
        <v>34</v>
      </c>
      <c r="AD628" t="s">
        <v>34</v>
      </c>
      <c r="AE628" t="s">
        <v>34</v>
      </c>
      <c r="AF628" t="s">
        <v>34</v>
      </c>
      <c r="AG628">
        <f t="shared" si="22"/>
        <v>4602030000</v>
      </c>
    </row>
    <row r="629" spans="1:33" x14ac:dyDescent="0.3">
      <c r="A629" t="s">
        <v>509</v>
      </c>
      <c r="B629" s="1" t="s">
        <v>510</v>
      </c>
      <c r="C629" t="s">
        <v>406</v>
      </c>
      <c r="D629" s="1" t="s">
        <v>407</v>
      </c>
      <c r="E629" t="s">
        <v>34</v>
      </c>
      <c r="F629" t="s">
        <v>34</v>
      </c>
      <c r="G629" t="s">
        <v>34</v>
      </c>
      <c r="H629" t="s">
        <v>34</v>
      </c>
      <c r="I629" t="s">
        <v>34</v>
      </c>
      <c r="J629" t="s">
        <v>34</v>
      </c>
      <c r="K629" t="s">
        <v>34</v>
      </c>
      <c r="L629" t="s">
        <v>34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  <c r="U629" t="s">
        <v>34</v>
      </c>
      <c r="V629" t="s">
        <v>34</v>
      </c>
      <c r="W629" t="s">
        <v>34</v>
      </c>
      <c r="X629" t="s">
        <v>34</v>
      </c>
      <c r="Y629" t="s">
        <v>34</v>
      </c>
      <c r="Z629" t="s">
        <v>34</v>
      </c>
      <c r="AA629" t="s">
        <v>34</v>
      </c>
      <c r="AB629" t="s">
        <v>34</v>
      </c>
      <c r="AC629" t="s">
        <v>34</v>
      </c>
      <c r="AD629" t="s">
        <v>34</v>
      </c>
      <c r="AE629" t="s">
        <v>34</v>
      </c>
      <c r="AF629" t="s">
        <v>34</v>
      </c>
      <c r="AG629" t="str">
        <f t="shared" si="22"/>
        <v>NA</v>
      </c>
    </row>
    <row r="630" spans="1:33" x14ac:dyDescent="0.3">
      <c r="A630" t="s">
        <v>509</v>
      </c>
      <c r="B630" s="1" t="s">
        <v>510</v>
      </c>
      <c r="C630" t="s">
        <v>408</v>
      </c>
      <c r="D630" s="1" t="s">
        <v>409</v>
      </c>
      <c r="E630" t="s">
        <v>34</v>
      </c>
      <c r="F630" t="s">
        <v>34</v>
      </c>
      <c r="G630" t="s">
        <v>34</v>
      </c>
      <c r="H630" t="s">
        <v>34</v>
      </c>
      <c r="I630" t="s">
        <v>34</v>
      </c>
      <c r="J630" t="s">
        <v>34</v>
      </c>
      <c r="K630" t="s">
        <v>34</v>
      </c>
      <c r="L630" t="s">
        <v>34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34</v>
      </c>
      <c r="V630" t="s">
        <v>34</v>
      </c>
      <c r="W630" t="s">
        <v>34</v>
      </c>
      <c r="X630" t="s">
        <v>34</v>
      </c>
      <c r="Y630" t="s">
        <v>34</v>
      </c>
      <c r="Z630" t="s">
        <v>34</v>
      </c>
      <c r="AA630" t="s">
        <v>34</v>
      </c>
      <c r="AB630" t="s">
        <v>34</v>
      </c>
      <c r="AC630" t="s">
        <v>34</v>
      </c>
      <c r="AD630" t="s">
        <v>34</v>
      </c>
      <c r="AE630" t="s">
        <v>34</v>
      </c>
      <c r="AF630" t="s">
        <v>34</v>
      </c>
      <c r="AG630" t="str">
        <f t="shared" si="22"/>
        <v>NA</v>
      </c>
    </row>
    <row r="631" spans="1:33" x14ac:dyDescent="0.3">
      <c r="A631" t="s">
        <v>509</v>
      </c>
      <c r="B631" s="1" t="s">
        <v>510</v>
      </c>
      <c r="C631" t="s">
        <v>410</v>
      </c>
      <c r="D631" s="1" t="s">
        <v>411</v>
      </c>
      <c r="E631">
        <v>1197155773.45</v>
      </c>
      <c r="F631">
        <v>1358424105</v>
      </c>
      <c r="G631">
        <v>1093455632</v>
      </c>
      <c r="H631">
        <v>1034115236</v>
      </c>
      <c r="I631">
        <v>1098891338.01</v>
      </c>
      <c r="J631">
        <v>1096077885</v>
      </c>
      <c r="K631">
        <v>1066670873</v>
      </c>
      <c r="L631">
        <v>1091451233</v>
      </c>
      <c r="M631">
        <v>1089804286</v>
      </c>
      <c r="N631">
        <v>1054211980</v>
      </c>
      <c r="O631">
        <v>974058189</v>
      </c>
      <c r="P631">
        <v>1027449594</v>
      </c>
      <c r="Q631">
        <v>1040330743</v>
      </c>
      <c r="R631">
        <v>1017108007</v>
      </c>
      <c r="S631">
        <v>1033402040.11</v>
      </c>
      <c r="T631">
        <v>1079416235.9200001</v>
      </c>
      <c r="U631">
        <v>1046326040.58</v>
      </c>
      <c r="V631">
        <v>1043845066.37</v>
      </c>
      <c r="W631">
        <v>1059339198.9</v>
      </c>
      <c r="X631">
        <v>1068410877.25</v>
      </c>
      <c r="Y631">
        <v>1055710601.95</v>
      </c>
      <c r="Z631">
        <v>1134339485.1600001</v>
      </c>
      <c r="AA631">
        <v>1102681685.3299999</v>
      </c>
      <c r="AB631">
        <v>1103429699.22</v>
      </c>
      <c r="AC631">
        <v>1142771849.5699999</v>
      </c>
      <c r="AD631">
        <v>1186807361.3299999</v>
      </c>
      <c r="AE631">
        <v>1276965272.5999999</v>
      </c>
      <c r="AF631" t="s">
        <v>34</v>
      </c>
      <c r="AG631">
        <f t="shared" si="22"/>
        <v>1095283344.0277777</v>
      </c>
    </row>
    <row r="632" spans="1:33" x14ac:dyDescent="0.3">
      <c r="A632" t="s">
        <v>509</v>
      </c>
      <c r="B632" s="1" t="s">
        <v>510</v>
      </c>
      <c r="C632" t="s">
        <v>412</v>
      </c>
      <c r="D632" s="1" t="s">
        <v>413</v>
      </c>
      <c r="E632" t="s">
        <v>34</v>
      </c>
      <c r="F632" t="s">
        <v>34</v>
      </c>
      <c r="G632" t="s">
        <v>34</v>
      </c>
      <c r="H632" t="s">
        <v>34</v>
      </c>
      <c r="I632" t="s">
        <v>34</v>
      </c>
      <c r="J632" t="s">
        <v>34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34</v>
      </c>
      <c r="Z632" t="s">
        <v>34</v>
      </c>
      <c r="AA632" t="s">
        <v>34</v>
      </c>
      <c r="AB632" t="s">
        <v>34</v>
      </c>
      <c r="AC632" t="s">
        <v>34</v>
      </c>
      <c r="AD632" t="s">
        <v>34</v>
      </c>
      <c r="AE632" t="s">
        <v>34</v>
      </c>
      <c r="AF632" t="s">
        <v>34</v>
      </c>
      <c r="AG632" t="str">
        <f t="shared" si="22"/>
        <v>NA</v>
      </c>
    </row>
    <row r="633" spans="1:33" x14ac:dyDescent="0.3">
      <c r="A633" t="s">
        <v>509</v>
      </c>
      <c r="B633" s="1" t="s">
        <v>510</v>
      </c>
      <c r="C633" t="s">
        <v>414</v>
      </c>
      <c r="D633" s="1" t="s">
        <v>415</v>
      </c>
      <c r="E633" t="s">
        <v>34</v>
      </c>
      <c r="F633" t="s">
        <v>34</v>
      </c>
      <c r="G633" t="s">
        <v>34</v>
      </c>
      <c r="H633">
        <v>11599000</v>
      </c>
      <c r="I633">
        <v>18024000</v>
      </c>
      <c r="J633">
        <v>25904000</v>
      </c>
      <c r="K633">
        <v>46012000</v>
      </c>
      <c r="L633" t="s">
        <v>34</v>
      </c>
      <c r="M633">
        <v>72486000</v>
      </c>
      <c r="N633">
        <v>96570000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34</v>
      </c>
      <c r="V633" t="s">
        <v>34</v>
      </c>
      <c r="W633" t="s">
        <v>34</v>
      </c>
      <c r="X633" t="s">
        <v>34</v>
      </c>
      <c r="Y633" t="s">
        <v>34</v>
      </c>
      <c r="Z633" t="s">
        <v>34</v>
      </c>
      <c r="AA633" t="s">
        <v>34</v>
      </c>
      <c r="AB633" t="s">
        <v>34</v>
      </c>
      <c r="AC633" t="s">
        <v>34</v>
      </c>
      <c r="AD633" t="s">
        <v>34</v>
      </c>
      <c r="AE633">
        <v>907491454</v>
      </c>
      <c r="AF633" t="s">
        <v>34</v>
      </c>
      <c r="AG633">
        <f t="shared" si="22"/>
        <v>168298064.85714287</v>
      </c>
    </row>
    <row r="634" spans="1:33" x14ac:dyDescent="0.3">
      <c r="A634" t="s">
        <v>509</v>
      </c>
      <c r="B634" s="1" t="s">
        <v>510</v>
      </c>
      <c r="C634" t="s">
        <v>416</v>
      </c>
      <c r="D634" s="1" t="s">
        <v>417</v>
      </c>
      <c r="E634" t="s">
        <v>34</v>
      </c>
      <c r="F634" t="s">
        <v>34</v>
      </c>
      <c r="G634" t="s">
        <v>34</v>
      </c>
      <c r="H634" t="s">
        <v>34</v>
      </c>
      <c r="I634" t="s">
        <v>34</v>
      </c>
      <c r="J634" t="s">
        <v>34</v>
      </c>
      <c r="K634" t="s">
        <v>34</v>
      </c>
      <c r="L634" t="s">
        <v>34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34</v>
      </c>
      <c r="S634">
        <v>367070000000</v>
      </c>
      <c r="T634">
        <v>367070000000</v>
      </c>
      <c r="U634">
        <v>448650000000</v>
      </c>
      <c r="V634">
        <v>535001900000</v>
      </c>
      <c r="W634">
        <v>614237300000</v>
      </c>
      <c r="X634">
        <v>748587300000</v>
      </c>
      <c r="Y634">
        <v>846177400000</v>
      </c>
      <c r="Z634">
        <v>1242466000000</v>
      </c>
      <c r="AA634">
        <v>1497941100000</v>
      </c>
      <c r="AB634">
        <v>1296098010000</v>
      </c>
      <c r="AC634" t="s">
        <v>34</v>
      </c>
      <c r="AD634" t="s">
        <v>34</v>
      </c>
      <c r="AE634" t="s">
        <v>34</v>
      </c>
      <c r="AF634" t="s">
        <v>34</v>
      </c>
      <c r="AG634">
        <f t="shared" si="22"/>
        <v>796329901000</v>
      </c>
    </row>
    <row r="635" spans="1:33" x14ac:dyDescent="0.3">
      <c r="A635" t="s">
        <v>509</v>
      </c>
      <c r="B635" s="1" t="s">
        <v>510</v>
      </c>
      <c r="C635" t="s">
        <v>418</v>
      </c>
      <c r="D635" s="1" t="s">
        <v>419</v>
      </c>
      <c r="E635">
        <v>128163000000</v>
      </c>
      <c r="F635">
        <v>127693000000</v>
      </c>
      <c r="G635">
        <v>105216000000</v>
      </c>
      <c r="H635">
        <v>67757000000</v>
      </c>
      <c r="I635">
        <v>68100000000</v>
      </c>
      <c r="J635">
        <v>87231000000</v>
      </c>
      <c r="K635">
        <v>92886300000</v>
      </c>
      <c r="L635">
        <v>97487158452.039993</v>
      </c>
      <c r="M635">
        <v>112696861467.69</v>
      </c>
      <c r="N635">
        <v>107120986536.39</v>
      </c>
      <c r="O635">
        <v>111491208211.62</v>
      </c>
      <c r="P635">
        <v>97844690000</v>
      </c>
      <c r="Q635">
        <v>91604530000</v>
      </c>
      <c r="R635">
        <v>96500000000</v>
      </c>
      <c r="S635">
        <v>76882230000</v>
      </c>
      <c r="T635">
        <v>92842530000</v>
      </c>
      <c r="U635">
        <v>99350140000</v>
      </c>
      <c r="V635">
        <v>115648177913.104</v>
      </c>
      <c r="W635">
        <v>110049701949.40199</v>
      </c>
      <c r="X635">
        <v>105537156776.256</v>
      </c>
      <c r="Y635">
        <v>100358250675.536</v>
      </c>
      <c r="Z635">
        <v>97503089787.152603</v>
      </c>
      <c r="AA635">
        <v>90566627374.623993</v>
      </c>
      <c r="AB635">
        <v>93808354269.617706</v>
      </c>
      <c r="AC635">
        <v>98045442926.809097</v>
      </c>
      <c r="AD635">
        <v>84205607065.211197</v>
      </c>
      <c r="AE635">
        <v>92985079567.162598</v>
      </c>
      <c r="AF635" t="s">
        <v>34</v>
      </c>
      <c r="AG635">
        <f t="shared" si="22"/>
        <v>98132374924.911682</v>
      </c>
    </row>
    <row r="636" spans="1:33" x14ac:dyDescent="0.3">
      <c r="A636" t="s">
        <v>509</v>
      </c>
      <c r="B636" s="1" t="s">
        <v>510</v>
      </c>
      <c r="C636" t="s">
        <v>420</v>
      </c>
      <c r="D636" s="1" t="s">
        <v>421</v>
      </c>
      <c r="E636" t="s">
        <v>34</v>
      </c>
      <c r="F636" t="s">
        <v>34</v>
      </c>
      <c r="G636" t="s">
        <v>34</v>
      </c>
      <c r="H636" t="s">
        <v>34</v>
      </c>
      <c r="I636" t="s">
        <v>34</v>
      </c>
      <c r="J636" t="s">
        <v>34</v>
      </c>
      <c r="K636" t="s">
        <v>34</v>
      </c>
      <c r="L636" t="s">
        <v>34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>
        <v>5482186.4500000002</v>
      </c>
      <c r="U636">
        <v>15243911.74</v>
      </c>
      <c r="V636">
        <v>13444787.800000001</v>
      </c>
      <c r="W636">
        <v>12600000</v>
      </c>
      <c r="X636">
        <v>13363994</v>
      </c>
      <c r="Y636">
        <v>12465123</v>
      </c>
      <c r="Z636">
        <v>14210363.75</v>
      </c>
      <c r="AA636">
        <v>15324298.9</v>
      </c>
      <c r="AB636">
        <v>20036945.350000001</v>
      </c>
      <c r="AC636">
        <v>13963682.77</v>
      </c>
      <c r="AD636">
        <v>13351856.810000001</v>
      </c>
      <c r="AE636">
        <v>14653117.92</v>
      </c>
      <c r="AF636" t="s">
        <v>34</v>
      </c>
      <c r="AG636">
        <f t="shared" ref="AG636:AG659" si="23">IFERROR(AVERAGE(E636:AF636),"NA")</f>
        <v>13678355.707500001</v>
      </c>
    </row>
    <row r="637" spans="1:33" x14ac:dyDescent="0.3">
      <c r="A637" t="s">
        <v>509</v>
      </c>
      <c r="B637" s="1" t="s">
        <v>510</v>
      </c>
      <c r="C637" t="s">
        <v>422</v>
      </c>
      <c r="D637" s="1" t="s">
        <v>423</v>
      </c>
      <c r="E637" t="s">
        <v>34</v>
      </c>
      <c r="F637" t="s">
        <v>34</v>
      </c>
      <c r="G637" t="s">
        <v>34</v>
      </c>
      <c r="H637" t="s">
        <v>34</v>
      </c>
      <c r="I637" t="s">
        <v>34</v>
      </c>
      <c r="J637" t="s">
        <v>34</v>
      </c>
      <c r="K637" t="s">
        <v>34</v>
      </c>
      <c r="L637" t="s">
        <v>34</v>
      </c>
      <c r="M637" t="s">
        <v>34</v>
      </c>
      <c r="N637">
        <v>34110000000</v>
      </c>
      <c r="O637">
        <v>35455754627</v>
      </c>
      <c r="P637">
        <v>38191881593</v>
      </c>
      <c r="Q637">
        <v>43792066727</v>
      </c>
      <c r="R637">
        <v>53200000000</v>
      </c>
      <c r="S637">
        <v>58178876520</v>
      </c>
      <c r="T637">
        <v>63371555475</v>
      </c>
      <c r="U637">
        <v>73510000000</v>
      </c>
      <c r="V637">
        <v>78678113051</v>
      </c>
      <c r="W637">
        <v>95976299370</v>
      </c>
      <c r="X637">
        <v>99193994857</v>
      </c>
      <c r="Y637">
        <v>103924367398</v>
      </c>
      <c r="Z637">
        <v>101895049762</v>
      </c>
      <c r="AA637">
        <v>101685626480</v>
      </c>
      <c r="AB637">
        <v>110659836004.60001</v>
      </c>
      <c r="AC637">
        <v>119082971319</v>
      </c>
      <c r="AD637" t="s">
        <v>34</v>
      </c>
      <c r="AE637" t="s">
        <v>34</v>
      </c>
      <c r="AF637" t="s">
        <v>34</v>
      </c>
      <c r="AG637">
        <f t="shared" si="23"/>
        <v>75681649573.975006</v>
      </c>
    </row>
    <row r="638" spans="1:33" x14ac:dyDescent="0.3">
      <c r="A638" t="s">
        <v>509</v>
      </c>
      <c r="B638" s="1" t="s">
        <v>510</v>
      </c>
      <c r="C638" t="s">
        <v>424</v>
      </c>
      <c r="D638" s="1" t="s">
        <v>425</v>
      </c>
      <c r="E638" t="s">
        <v>34</v>
      </c>
      <c r="F638" t="s">
        <v>34</v>
      </c>
      <c r="G638" t="s">
        <v>34</v>
      </c>
      <c r="H638" t="s">
        <v>34</v>
      </c>
      <c r="I638" t="s">
        <v>34</v>
      </c>
      <c r="J638" t="s">
        <v>34</v>
      </c>
      <c r="K638" t="s">
        <v>34</v>
      </c>
      <c r="L638" t="s">
        <v>34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  <c r="U638" t="s">
        <v>34</v>
      </c>
      <c r="V638" t="s">
        <v>34</v>
      </c>
      <c r="W638" t="s">
        <v>34</v>
      </c>
      <c r="X638" t="s">
        <v>34</v>
      </c>
      <c r="Y638" t="s">
        <v>34</v>
      </c>
      <c r="Z638" t="s">
        <v>34</v>
      </c>
      <c r="AA638" t="s">
        <v>34</v>
      </c>
      <c r="AB638" t="s">
        <v>34</v>
      </c>
      <c r="AC638" t="s">
        <v>34</v>
      </c>
      <c r="AD638" t="s">
        <v>34</v>
      </c>
      <c r="AE638" t="s">
        <v>34</v>
      </c>
      <c r="AF638" t="s">
        <v>34</v>
      </c>
      <c r="AG638" t="str">
        <f t="shared" si="23"/>
        <v>NA</v>
      </c>
    </row>
    <row r="639" spans="1:33" x14ac:dyDescent="0.3">
      <c r="A639" t="s">
        <v>509</v>
      </c>
      <c r="B639" s="1" t="s">
        <v>510</v>
      </c>
      <c r="C639" t="s">
        <v>426</v>
      </c>
      <c r="D639" s="1" t="s">
        <v>427</v>
      </c>
      <c r="E639" t="s">
        <v>34</v>
      </c>
      <c r="F639" t="s">
        <v>34</v>
      </c>
      <c r="G639" t="s">
        <v>34</v>
      </c>
      <c r="H639" t="s">
        <v>34</v>
      </c>
      <c r="I639" t="s">
        <v>34</v>
      </c>
      <c r="J639" t="s">
        <v>34</v>
      </c>
      <c r="K639">
        <v>812500000</v>
      </c>
      <c r="L639">
        <v>855400000</v>
      </c>
      <c r="M639">
        <v>1022300000</v>
      </c>
      <c r="N639">
        <v>1239900000</v>
      </c>
      <c r="O639">
        <v>1473500000</v>
      </c>
      <c r="P639">
        <v>1836300000</v>
      </c>
      <c r="Q639">
        <v>2006500000</v>
      </c>
      <c r="R639">
        <v>2194600000</v>
      </c>
      <c r="S639">
        <v>1828600000</v>
      </c>
      <c r="T639">
        <v>1905500000</v>
      </c>
      <c r="U639">
        <v>2167800000</v>
      </c>
      <c r="V639">
        <v>2319400000</v>
      </c>
      <c r="W639">
        <v>2587700000</v>
      </c>
      <c r="X639">
        <v>2861500000</v>
      </c>
      <c r="Y639">
        <v>3014200000</v>
      </c>
      <c r="Z639">
        <v>2672300000</v>
      </c>
      <c r="AA639">
        <v>3016400000</v>
      </c>
      <c r="AB639">
        <v>2732500000</v>
      </c>
      <c r="AC639">
        <v>2301200000</v>
      </c>
      <c r="AD639" t="s">
        <v>34</v>
      </c>
      <c r="AE639" t="s">
        <v>34</v>
      </c>
      <c r="AF639" t="s">
        <v>34</v>
      </c>
      <c r="AG639">
        <f t="shared" si="23"/>
        <v>2044636842.1052632</v>
      </c>
    </row>
    <row r="640" spans="1:33" x14ac:dyDescent="0.3">
      <c r="A640" t="s">
        <v>509</v>
      </c>
      <c r="B640" s="1" t="s">
        <v>510</v>
      </c>
      <c r="C640" t="s">
        <v>428</v>
      </c>
      <c r="D640" s="1" t="s">
        <v>429</v>
      </c>
      <c r="E640">
        <v>1427300000</v>
      </c>
      <c r="F640">
        <v>1449900000</v>
      </c>
      <c r="G640">
        <v>872700000</v>
      </c>
      <c r="H640">
        <v>901500000</v>
      </c>
      <c r="I640">
        <v>867700000</v>
      </c>
      <c r="J640">
        <v>833600000</v>
      </c>
      <c r="K640">
        <v>875500000</v>
      </c>
      <c r="L640">
        <v>790800000</v>
      </c>
      <c r="M640">
        <v>725900000</v>
      </c>
      <c r="N640">
        <v>752300000</v>
      </c>
      <c r="O640">
        <v>735100000</v>
      </c>
      <c r="P640">
        <v>758000000</v>
      </c>
      <c r="Q640">
        <v>825700000</v>
      </c>
      <c r="R640">
        <v>965000000</v>
      </c>
      <c r="S640">
        <v>987600000</v>
      </c>
      <c r="T640">
        <v>1142700000</v>
      </c>
      <c r="U640">
        <v>1077000000</v>
      </c>
      <c r="V640">
        <v>1333500000</v>
      </c>
      <c r="W640" t="s">
        <v>34</v>
      </c>
      <c r="X640" t="s">
        <v>34</v>
      </c>
      <c r="Y640" t="s">
        <v>34</v>
      </c>
      <c r="Z640" t="s">
        <v>34</v>
      </c>
      <c r="AA640" t="s">
        <v>34</v>
      </c>
      <c r="AB640" t="s">
        <v>34</v>
      </c>
      <c r="AC640" t="s">
        <v>34</v>
      </c>
      <c r="AD640" t="s">
        <v>34</v>
      </c>
      <c r="AE640" t="s">
        <v>34</v>
      </c>
      <c r="AF640" t="s">
        <v>34</v>
      </c>
      <c r="AG640">
        <f t="shared" si="23"/>
        <v>962322222.22222221</v>
      </c>
    </row>
    <row r="641" spans="1:33" x14ac:dyDescent="0.3">
      <c r="A641" t="s">
        <v>509</v>
      </c>
      <c r="B641" s="1" t="s">
        <v>510</v>
      </c>
      <c r="C641" t="s">
        <v>430</v>
      </c>
      <c r="D641" s="1" t="s">
        <v>431</v>
      </c>
      <c r="E641">
        <v>51783000</v>
      </c>
      <c r="F641">
        <v>63286000</v>
      </c>
      <c r="G641">
        <v>146916000</v>
      </c>
      <c r="H641">
        <v>211100000</v>
      </c>
      <c r="I641" t="s">
        <v>34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>
        <v>2873788621.6900001</v>
      </c>
      <c r="S641">
        <v>2555292175.8600001</v>
      </c>
      <c r="T641">
        <v>3356702665.6799998</v>
      </c>
      <c r="U641">
        <v>4820999162.6099997</v>
      </c>
      <c r="V641">
        <v>5367912775.6400003</v>
      </c>
      <c r="W641">
        <v>6845132080.6999998</v>
      </c>
      <c r="X641">
        <v>6929469170.1700001</v>
      </c>
      <c r="Y641">
        <v>8712710681.7099991</v>
      </c>
      <c r="Z641">
        <v>9830799437.8099995</v>
      </c>
      <c r="AA641">
        <v>13426896075.719999</v>
      </c>
      <c r="AB641">
        <v>16647600445.450001</v>
      </c>
      <c r="AC641">
        <v>18299390703.990002</v>
      </c>
      <c r="AD641">
        <v>26815813561.75</v>
      </c>
      <c r="AE641">
        <v>36850664483.900002</v>
      </c>
      <c r="AF641">
        <v>81865639761.5</v>
      </c>
      <c r="AG641">
        <f t="shared" si="23"/>
        <v>12930099831.798946</v>
      </c>
    </row>
    <row r="642" spans="1:33" x14ac:dyDescent="0.3">
      <c r="A642" t="s">
        <v>509</v>
      </c>
      <c r="B642" s="1" t="s">
        <v>510</v>
      </c>
      <c r="C642" t="s">
        <v>432</v>
      </c>
      <c r="D642" s="1" t="s">
        <v>433</v>
      </c>
      <c r="E642" t="s">
        <v>34</v>
      </c>
      <c r="F642" t="s">
        <v>34</v>
      </c>
      <c r="G642" t="s">
        <v>34</v>
      </c>
      <c r="H642" t="s">
        <v>34</v>
      </c>
      <c r="I642" t="s">
        <v>34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  <c r="U642" t="s">
        <v>34</v>
      </c>
      <c r="V642" t="s">
        <v>34</v>
      </c>
      <c r="W642" t="s">
        <v>34</v>
      </c>
      <c r="X642" t="s">
        <v>34</v>
      </c>
      <c r="Y642" t="s">
        <v>34</v>
      </c>
      <c r="Z642" t="s">
        <v>34</v>
      </c>
      <c r="AA642" t="s">
        <v>34</v>
      </c>
      <c r="AB642" t="s">
        <v>34</v>
      </c>
      <c r="AC642" t="s">
        <v>34</v>
      </c>
      <c r="AD642" t="s">
        <v>34</v>
      </c>
      <c r="AE642" t="s">
        <v>34</v>
      </c>
      <c r="AF642" t="s">
        <v>34</v>
      </c>
      <c r="AG642" t="str">
        <f t="shared" si="23"/>
        <v>NA</v>
      </c>
    </row>
    <row r="643" spans="1:33" x14ac:dyDescent="0.3">
      <c r="A643" t="s">
        <v>509</v>
      </c>
      <c r="B643" s="1" t="s">
        <v>510</v>
      </c>
      <c r="C643" t="s">
        <v>434</v>
      </c>
      <c r="D643" s="1" t="s">
        <v>435</v>
      </c>
      <c r="E643" t="s">
        <v>34</v>
      </c>
      <c r="F643" t="s">
        <v>34</v>
      </c>
      <c r="G643" t="s">
        <v>34</v>
      </c>
      <c r="H643" t="s">
        <v>34</v>
      </c>
      <c r="I643" t="s">
        <v>34</v>
      </c>
      <c r="J643" t="s">
        <v>34</v>
      </c>
      <c r="K643" t="s">
        <v>34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  <c r="Z643" t="s">
        <v>34</v>
      </c>
      <c r="AA643" t="s">
        <v>34</v>
      </c>
      <c r="AB643" t="s">
        <v>34</v>
      </c>
      <c r="AC643" t="s">
        <v>34</v>
      </c>
      <c r="AD643" t="s">
        <v>34</v>
      </c>
      <c r="AE643" t="s">
        <v>34</v>
      </c>
      <c r="AF643" t="s">
        <v>34</v>
      </c>
      <c r="AG643" t="str">
        <f t="shared" si="23"/>
        <v>NA</v>
      </c>
    </row>
    <row r="644" spans="1:33" x14ac:dyDescent="0.3">
      <c r="A644" t="s">
        <v>509</v>
      </c>
      <c r="B644" s="1" t="s">
        <v>510</v>
      </c>
      <c r="C644" t="s">
        <v>436</v>
      </c>
      <c r="D644" s="1" t="s">
        <v>437</v>
      </c>
      <c r="E644" t="s">
        <v>34</v>
      </c>
      <c r="F644" t="s">
        <v>34</v>
      </c>
      <c r="G644" t="s">
        <v>34</v>
      </c>
      <c r="H644" t="s">
        <v>34</v>
      </c>
      <c r="I644" t="s">
        <v>34</v>
      </c>
      <c r="J644" t="s">
        <v>34</v>
      </c>
      <c r="K644" t="s">
        <v>34</v>
      </c>
      <c r="L644" t="s">
        <v>34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34</v>
      </c>
      <c r="V644" t="s">
        <v>34</v>
      </c>
      <c r="W644" t="s">
        <v>34</v>
      </c>
      <c r="X644" t="s">
        <v>34</v>
      </c>
      <c r="Y644" t="s">
        <v>34</v>
      </c>
      <c r="Z644" t="s">
        <v>34</v>
      </c>
      <c r="AA644" t="s">
        <v>34</v>
      </c>
      <c r="AB644" t="s">
        <v>34</v>
      </c>
      <c r="AC644" t="s">
        <v>34</v>
      </c>
      <c r="AD644" t="s">
        <v>34</v>
      </c>
      <c r="AE644" t="s">
        <v>34</v>
      </c>
      <c r="AF644" t="s">
        <v>34</v>
      </c>
      <c r="AG644" t="str">
        <f t="shared" si="23"/>
        <v>NA</v>
      </c>
    </row>
    <row r="645" spans="1:33" x14ac:dyDescent="0.3">
      <c r="A645" t="s">
        <v>509</v>
      </c>
      <c r="B645" s="1" t="s">
        <v>510</v>
      </c>
      <c r="C645" t="s">
        <v>438</v>
      </c>
      <c r="D645" s="1" t="s">
        <v>439</v>
      </c>
      <c r="E645" t="s">
        <v>34</v>
      </c>
      <c r="F645" t="s">
        <v>34</v>
      </c>
      <c r="G645" t="s">
        <v>34</v>
      </c>
      <c r="H645" t="s">
        <v>34</v>
      </c>
      <c r="I645" t="s">
        <v>34</v>
      </c>
      <c r="J645" t="s">
        <v>34</v>
      </c>
      <c r="K645" t="s">
        <v>34</v>
      </c>
      <c r="L645" t="s">
        <v>34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34</v>
      </c>
      <c r="V645" t="s">
        <v>34</v>
      </c>
      <c r="W645" t="s">
        <v>34</v>
      </c>
      <c r="X645" t="s">
        <v>34</v>
      </c>
      <c r="Y645">
        <v>1061652128029.12</v>
      </c>
      <c r="Z645">
        <v>1320304706210.96</v>
      </c>
      <c r="AA645">
        <v>1446292928603.7</v>
      </c>
      <c r="AB645">
        <v>1713289043805.8201</v>
      </c>
      <c r="AC645">
        <v>1888585100058.0701</v>
      </c>
      <c r="AD645">
        <v>1678308158837.4199</v>
      </c>
      <c r="AE645">
        <v>1952336553504.21</v>
      </c>
      <c r="AF645" t="s">
        <v>34</v>
      </c>
      <c r="AG645">
        <f t="shared" si="23"/>
        <v>1580109802721.3286</v>
      </c>
    </row>
    <row r="646" spans="1:33" x14ac:dyDescent="0.3">
      <c r="A646" t="s">
        <v>509</v>
      </c>
      <c r="B646" s="1" t="s">
        <v>510</v>
      </c>
      <c r="C646" t="s">
        <v>440</v>
      </c>
      <c r="D646" s="1" t="s">
        <v>441</v>
      </c>
      <c r="E646" t="s">
        <v>34</v>
      </c>
      <c r="F646" t="s">
        <v>34</v>
      </c>
      <c r="G646" t="s">
        <v>34</v>
      </c>
      <c r="H646" t="s">
        <v>34</v>
      </c>
      <c r="I646">
        <v>1262700000</v>
      </c>
      <c r="J646">
        <v>1947000000</v>
      </c>
      <c r="K646">
        <v>2422000000</v>
      </c>
      <c r="L646">
        <v>2880546260</v>
      </c>
      <c r="M646">
        <v>4462720425.2299995</v>
      </c>
      <c r="N646">
        <v>5892300000</v>
      </c>
      <c r="O646">
        <v>7671300000</v>
      </c>
      <c r="P646">
        <v>8459600000</v>
      </c>
      <c r="Q646">
        <v>11210100000</v>
      </c>
      <c r="R646">
        <v>12998873000</v>
      </c>
      <c r="S646">
        <v>7138000000</v>
      </c>
      <c r="T646">
        <v>9289040000</v>
      </c>
      <c r="U646">
        <v>12008600000</v>
      </c>
      <c r="V646">
        <v>13401100000</v>
      </c>
      <c r="W646">
        <v>13561407200</v>
      </c>
      <c r="X646">
        <v>12855300000</v>
      </c>
      <c r="Y646">
        <v>40908300000</v>
      </c>
      <c r="Z646">
        <v>21098000000</v>
      </c>
      <c r="AA646">
        <v>24975800000</v>
      </c>
      <c r="AB646">
        <v>27996100000</v>
      </c>
      <c r="AC646">
        <v>30815700000</v>
      </c>
      <c r="AD646">
        <v>30754500000</v>
      </c>
      <c r="AE646">
        <v>38528800000</v>
      </c>
      <c r="AF646">
        <v>26422000000</v>
      </c>
      <c r="AG646">
        <f t="shared" si="23"/>
        <v>15373324453.551249</v>
      </c>
    </row>
    <row r="647" spans="1:33" x14ac:dyDescent="0.3">
      <c r="A647" t="s">
        <v>509</v>
      </c>
      <c r="B647" s="1" t="s">
        <v>510</v>
      </c>
      <c r="C647" t="s">
        <v>442</v>
      </c>
      <c r="D647" s="1" t="s">
        <v>443</v>
      </c>
      <c r="E647" t="s">
        <v>34</v>
      </c>
      <c r="F647" t="s">
        <v>34</v>
      </c>
      <c r="G647" t="s">
        <v>34</v>
      </c>
      <c r="H647" t="s">
        <v>34</v>
      </c>
      <c r="I647" t="s">
        <v>34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>
        <v>5250348</v>
      </c>
      <c r="V647">
        <v>4842645</v>
      </c>
      <c r="W647">
        <v>134163262.09999999</v>
      </c>
      <c r="X647">
        <v>157796383.88999999</v>
      </c>
      <c r="Y647">
        <v>128503345.31999999</v>
      </c>
      <c r="Z647">
        <v>126328240.3</v>
      </c>
      <c r="AA647">
        <v>52982493.710000001</v>
      </c>
      <c r="AB647">
        <v>28001138.879999999</v>
      </c>
      <c r="AC647">
        <v>44687377</v>
      </c>
      <c r="AD647">
        <v>14284945.880000001</v>
      </c>
      <c r="AE647">
        <v>12442997.929999599</v>
      </c>
      <c r="AF647" t="s">
        <v>34</v>
      </c>
      <c r="AG647">
        <f t="shared" si="23"/>
        <v>64480288.909999967</v>
      </c>
    </row>
    <row r="648" spans="1:33" x14ac:dyDescent="0.3">
      <c r="A648" t="s">
        <v>509</v>
      </c>
      <c r="B648" s="1" t="s">
        <v>510</v>
      </c>
      <c r="C648" t="s">
        <v>444</v>
      </c>
      <c r="D648" s="1" t="s">
        <v>445</v>
      </c>
      <c r="E648" t="s">
        <v>34</v>
      </c>
      <c r="F648" t="s">
        <v>34</v>
      </c>
      <c r="G648" t="s">
        <v>34</v>
      </c>
      <c r="H648" t="s">
        <v>34</v>
      </c>
      <c r="I648" t="s">
        <v>34</v>
      </c>
      <c r="J648" t="s">
        <v>34</v>
      </c>
      <c r="K648" t="s">
        <v>34</v>
      </c>
      <c r="L648" t="s">
        <v>34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34</v>
      </c>
      <c r="V648" t="s">
        <v>34</v>
      </c>
      <c r="W648" t="s">
        <v>34</v>
      </c>
      <c r="X648" t="s">
        <v>34</v>
      </c>
      <c r="Y648" t="s">
        <v>34</v>
      </c>
      <c r="Z648" t="s">
        <v>34</v>
      </c>
      <c r="AA648" t="s">
        <v>34</v>
      </c>
      <c r="AB648" t="s">
        <v>34</v>
      </c>
      <c r="AC648">
        <v>28000000</v>
      </c>
      <c r="AD648">
        <v>256000000</v>
      </c>
      <c r="AE648">
        <v>5025000000</v>
      </c>
      <c r="AF648" t="s">
        <v>34</v>
      </c>
      <c r="AG648">
        <f t="shared" si="23"/>
        <v>1769666666.6666667</v>
      </c>
    </row>
    <row r="649" spans="1:33" x14ac:dyDescent="0.3">
      <c r="A649" t="s">
        <v>509</v>
      </c>
      <c r="B649" s="1" t="s">
        <v>510</v>
      </c>
      <c r="C649" t="s">
        <v>446</v>
      </c>
      <c r="D649" s="1" t="s">
        <v>447</v>
      </c>
      <c r="E649">
        <v>19810000000</v>
      </c>
      <c r="F649">
        <v>19060000000</v>
      </c>
      <c r="G649">
        <v>18410000000</v>
      </c>
      <c r="H649">
        <v>19650000000</v>
      </c>
      <c r="I649">
        <v>19830000000</v>
      </c>
      <c r="J649">
        <v>21460000000</v>
      </c>
      <c r="K649">
        <v>20636000000</v>
      </c>
      <c r="L649">
        <v>19938000000</v>
      </c>
      <c r="M649">
        <v>21458100000</v>
      </c>
      <c r="N649">
        <v>23282900000</v>
      </c>
      <c r="O649">
        <v>25334900000</v>
      </c>
      <c r="P649">
        <v>26687000000</v>
      </c>
      <c r="Q649">
        <v>28793000000</v>
      </c>
      <c r="R649">
        <v>29243100000</v>
      </c>
      <c r="S649">
        <v>23081000000</v>
      </c>
      <c r="T649">
        <v>28603000000</v>
      </c>
      <c r="U649">
        <v>31891000000</v>
      </c>
      <c r="V649">
        <v>33503000000</v>
      </c>
      <c r="W649">
        <v>35468000000</v>
      </c>
      <c r="X649">
        <v>37363100000</v>
      </c>
      <c r="Y649">
        <v>38123000000</v>
      </c>
      <c r="Z649">
        <v>37534000000</v>
      </c>
      <c r="AA649">
        <v>38513000000</v>
      </c>
      <c r="AB649">
        <v>53284000000</v>
      </c>
      <c r="AC649">
        <v>77751600000</v>
      </c>
      <c r="AD649">
        <v>68626700000</v>
      </c>
      <c r="AE649">
        <v>89101500000</v>
      </c>
      <c r="AF649">
        <v>102332700000</v>
      </c>
      <c r="AG649">
        <f t="shared" si="23"/>
        <v>36027450000</v>
      </c>
    </row>
    <row r="650" spans="1:33" x14ac:dyDescent="0.3">
      <c r="A650" t="s">
        <v>509</v>
      </c>
      <c r="B650" s="1" t="s">
        <v>510</v>
      </c>
      <c r="C650" t="s">
        <v>448</v>
      </c>
      <c r="D650" s="1" t="s">
        <v>449</v>
      </c>
      <c r="E650">
        <v>1196000000</v>
      </c>
      <c r="F650">
        <v>1583000000</v>
      </c>
      <c r="G650">
        <v>2159000000</v>
      </c>
      <c r="H650">
        <v>2604000000</v>
      </c>
      <c r="I650">
        <v>2353000000</v>
      </c>
      <c r="J650">
        <v>1894000000</v>
      </c>
      <c r="K650">
        <v>2679833888</v>
      </c>
      <c r="L650">
        <v>3008010170.2360001</v>
      </c>
      <c r="M650">
        <v>4147692711.0700002</v>
      </c>
      <c r="N650">
        <v>5422398310</v>
      </c>
      <c r="O650">
        <v>5684498259</v>
      </c>
      <c r="P650">
        <v>6602328833.45191</v>
      </c>
      <c r="Q650">
        <v>7597880881.9259996</v>
      </c>
      <c r="R650">
        <v>7103176000</v>
      </c>
      <c r="S650">
        <v>7042427900</v>
      </c>
      <c r="T650">
        <v>8477525000</v>
      </c>
      <c r="U650">
        <v>10543347000</v>
      </c>
      <c r="V650">
        <v>11669645000</v>
      </c>
      <c r="W650">
        <v>13020168000</v>
      </c>
      <c r="X650">
        <v>15166700000</v>
      </c>
      <c r="Y650">
        <v>15440300000</v>
      </c>
      <c r="Z650">
        <v>15384000000</v>
      </c>
      <c r="AA650">
        <v>17198300000</v>
      </c>
      <c r="AB650">
        <v>20877800000</v>
      </c>
      <c r="AC650">
        <v>22124274000</v>
      </c>
      <c r="AD650">
        <v>23099272000</v>
      </c>
      <c r="AE650" t="s">
        <v>34</v>
      </c>
      <c r="AF650" t="s">
        <v>34</v>
      </c>
      <c r="AG650">
        <f t="shared" si="23"/>
        <v>9003022228.9878426</v>
      </c>
    </row>
    <row r="651" spans="1:33" x14ac:dyDescent="0.3">
      <c r="A651" t="s">
        <v>509</v>
      </c>
      <c r="B651" s="1" t="s">
        <v>510</v>
      </c>
      <c r="C651" t="s">
        <v>450</v>
      </c>
      <c r="D651" s="1" t="s">
        <v>451</v>
      </c>
      <c r="E651" t="s">
        <v>34</v>
      </c>
      <c r="F651" t="s">
        <v>34</v>
      </c>
      <c r="G651" t="s">
        <v>34</v>
      </c>
      <c r="H651" t="s">
        <v>34</v>
      </c>
      <c r="I651" t="s">
        <v>34</v>
      </c>
      <c r="J651" t="s">
        <v>34</v>
      </c>
      <c r="K651" t="s">
        <v>34</v>
      </c>
      <c r="L651" t="s">
        <v>34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>
        <v>1585518400000</v>
      </c>
      <c r="V651">
        <v>2512668300000</v>
      </c>
      <c r="W651">
        <v>3637560000000</v>
      </c>
      <c r="X651">
        <v>4030556297000</v>
      </c>
      <c r="Y651">
        <v>6633308348514.2598</v>
      </c>
      <c r="Z651">
        <v>7670288414164.4902</v>
      </c>
      <c r="AA651">
        <v>2699826919790</v>
      </c>
      <c r="AB651">
        <v>3240817016000</v>
      </c>
      <c r="AC651">
        <v>2901851213070</v>
      </c>
      <c r="AD651">
        <v>4030733416770</v>
      </c>
      <c r="AE651" t="s">
        <v>34</v>
      </c>
      <c r="AF651" t="s">
        <v>34</v>
      </c>
      <c r="AG651">
        <f t="shared" si="23"/>
        <v>3894312832530.875</v>
      </c>
    </row>
    <row r="652" spans="1:33" x14ac:dyDescent="0.3">
      <c r="A652" t="s">
        <v>509</v>
      </c>
      <c r="B652" s="1" t="s">
        <v>510</v>
      </c>
      <c r="C652" t="s">
        <v>452</v>
      </c>
      <c r="D652" s="1" t="s">
        <v>453</v>
      </c>
      <c r="E652">
        <v>2874000000</v>
      </c>
      <c r="F652">
        <v>3144000000</v>
      </c>
      <c r="G652">
        <v>3301000000</v>
      </c>
      <c r="H652">
        <v>3100000000</v>
      </c>
      <c r="I652">
        <v>2436000000</v>
      </c>
      <c r="J652" t="s">
        <v>34</v>
      </c>
      <c r="K652" t="s">
        <v>34</v>
      </c>
      <c r="L652" t="s">
        <v>34</v>
      </c>
      <c r="M652" t="s">
        <v>34</v>
      </c>
      <c r="N652" t="s">
        <v>34</v>
      </c>
      <c r="O652" t="s">
        <v>34</v>
      </c>
      <c r="P652" t="s">
        <v>34</v>
      </c>
      <c r="Q652" t="s">
        <v>34</v>
      </c>
      <c r="R652" t="s">
        <v>34</v>
      </c>
      <c r="S652">
        <v>3896600000</v>
      </c>
      <c r="T652">
        <v>2645900000</v>
      </c>
      <c r="U652">
        <v>2633400000</v>
      </c>
      <c r="V652">
        <v>2580193700</v>
      </c>
      <c r="W652">
        <v>2637668000</v>
      </c>
      <c r="X652">
        <v>2663515000</v>
      </c>
      <c r="Y652">
        <v>2949650000</v>
      </c>
      <c r="Z652">
        <v>3158386000</v>
      </c>
      <c r="AA652">
        <v>3534000000</v>
      </c>
      <c r="AB652">
        <v>3688292000</v>
      </c>
      <c r="AC652">
        <v>3634672924</v>
      </c>
      <c r="AD652">
        <v>3139700000</v>
      </c>
      <c r="AE652" t="s">
        <v>34</v>
      </c>
      <c r="AF652" t="s">
        <v>34</v>
      </c>
      <c r="AG652">
        <f t="shared" si="23"/>
        <v>3059822213.1764708</v>
      </c>
    </row>
    <row r="653" spans="1:33" x14ac:dyDescent="0.3">
      <c r="A653" t="s">
        <v>509</v>
      </c>
      <c r="B653" s="1" t="s">
        <v>510</v>
      </c>
      <c r="C653" t="s">
        <v>454</v>
      </c>
      <c r="D653" s="1" t="s">
        <v>455</v>
      </c>
      <c r="E653" t="s">
        <v>34</v>
      </c>
      <c r="F653" t="s">
        <v>34</v>
      </c>
      <c r="G653" t="s">
        <v>34</v>
      </c>
      <c r="H653" t="s">
        <v>34</v>
      </c>
      <c r="I653" t="s">
        <v>34</v>
      </c>
      <c r="J653" t="s">
        <v>34</v>
      </c>
      <c r="K653" t="s">
        <v>34</v>
      </c>
      <c r="L653" t="s">
        <v>34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34</v>
      </c>
      <c r="V653" t="s">
        <v>34</v>
      </c>
      <c r="W653" t="s">
        <v>34</v>
      </c>
      <c r="X653" t="s">
        <v>34</v>
      </c>
      <c r="Y653" t="s">
        <v>34</v>
      </c>
      <c r="Z653" t="s">
        <v>34</v>
      </c>
      <c r="AA653" t="s">
        <v>34</v>
      </c>
      <c r="AB653" t="s">
        <v>34</v>
      </c>
      <c r="AC653" t="s">
        <v>34</v>
      </c>
      <c r="AD653" t="s">
        <v>34</v>
      </c>
      <c r="AE653" t="s">
        <v>34</v>
      </c>
      <c r="AF653" t="s">
        <v>34</v>
      </c>
      <c r="AG653" t="str">
        <f t="shared" si="23"/>
        <v>NA</v>
      </c>
    </row>
    <row r="654" spans="1:33" x14ac:dyDescent="0.3">
      <c r="A654" t="s">
        <v>509</v>
      </c>
      <c r="B654" s="1" t="s">
        <v>510</v>
      </c>
      <c r="C654" t="s">
        <v>456</v>
      </c>
      <c r="D654" s="1" t="s">
        <v>457</v>
      </c>
      <c r="E654" t="s">
        <v>34</v>
      </c>
      <c r="F654" t="s">
        <v>34</v>
      </c>
      <c r="G654" t="s">
        <v>34</v>
      </c>
      <c r="H654" t="s">
        <v>34</v>
      </c>
      <c r="I654" t="s">
        <v>34</v>
      </c>
      <c r="J654" t="s">
        <v>34</v>
      </c>
      <c r="K654" t="s">
        <v>34</v>
      </c>
      <c r="L654" t="s">
        <v>34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  <c r="U654" t="s">
        <v>34</v>
      </c>
      <c r="V654" t="s">
        <v>34</v>
      </c>
      <c r="W654" t="s">
        <v>34</v>
      </c>
      <c r="X654" t="s">
        <v>34</v>
      </c>
      <c r="Y654" t="s">
        <v>34</v>
      </c>
      <c r="Z654" t="s">
        <v>34</v>
      </c>
      <c r="AA654" t="s">
        <v>34</v>
      </c>
      <c r="AB654" t="s">
        <v>34</v>
      </c>
      <c r="AC654" t="s">
        <v>34</v>
      </c>
      <c r="AD654" t="s">
        <v>34</v>
      </c>
      <c r="AE654" t="s">
        <v>34</v>
      </c>
      <c r="AF654" t="s">
        <v>34</v>
      </c>
      <c r="AG654" t="str">
        <f t="shared" si="23"/>
        <v>NA</v>
      </c>
    </row>
    <row r="655" spans="1:33" x14ac:dyDescent="0.3">
      <c r="A655" t="s">
        <v>509</v>
      </c>
      <c r="B655" s="1" t="s">
        <v>510</v>
      </c>
      <c r="C655" t="s">
        <v>458</v>
      </c>
      <c r="D655" s="1" t="s">
        <v>459</v>
      </c>
      <c r="E655" t="s">
        <v>34</v>
      </c>
      <c r="F655" t="s">
        <v>34</v>
      </c>
      <c r="G655" t="s">
        <v>34</v>
      </c>
      <c r="H655" t="s">
        <v>34</v>
      </c>
      <c r="I655" t="s">
        <v>34</v>
      </c>
      <c r="J655" t="s">
        <v>34</v>
      </c>
      <c r="K655" t="s">
        <v>34</v>
      </c>
      <c r="L655" t="s">
        <v>34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34</v>
      </c>
      <c r="T655" t="s">
        <v>34</v>
      </c>
      <c r="U655" t="s">
        <v>34</v>
      </c>
      <c r="V655" t="s">
        <v>34</v>
      </c>
      <c r="W655" t="s">
        <v>34</v>
      </c>
      <c r="X655" t="s">
        <v>34</v>
      </c>
      <c r="Y655" t="s">
        <v>34</v>
      </c>
      <c r="Z655" t="s">
        <v>34</v>
      </c>
      <c r="AA655" t="s">
        <v>34</v>
      </c>
      <c r="AB655" t="s">
        <v>34</v>
      </c>
      <c r="AC655" t="s">
        <v>34</v>
      </c>
      <c r="AD655" t="s">
        <v>34</v>
      </c>
      <c r="AE655" t="s">
        <v>34</v>
      </c>
      <c r="AF655" t="s">
        <v>34</v>
      </c>
      <c r="AG655" t="str">
        <f t="shared" si="23"/>
        <v>NA</v>
      </c>
    </row>
    <row r="656" spans="1:33" x14ac:dyDescent="0.3">
      <c r="A656" t="s">
        <v>509</v>
      </c>
      <c r="B656" s="1" t="s">
        <v>510</v>
      </c>
      <c r="C656" t="s">
        <v>460</v>
      </c>
      <c r="D656" s="1" t="s">
        <v>461</v>
      </c>
      <c r="E656" t="s">
        <v>34</v>
      </c>
      <c r="F656" t="s">
        <v>34</v>
      </c>
      <c r="G656" t="s">
        <v>34</v>
      </c>
      <c r="H656" t="s">
        <v>34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>
        <v>85883498.273057461</v>
      </c>
      <c r="P656">
        <v>61492885.677095026</v>
      </c>
      <c r="Q656">
        <v>71322509.189162865</v>
      </c>
      <c r="R656">
        <v>105433283.9632107</v>
      </c>
      <c r="S656">
        <v>5305925.8881570585</v>
      </c>
      <c r="T656">
        <v>133947317.06606044</v>
      </c>
      <c r="U656">
        <v>160415557.73175707</v>
      </c>
      <c r="V656">
        <v>143646736.22241241</v>
      </c>
      <c r="W656">
        <v>173794017.80768806</v>
      </c>
      <c r="X656">
        <v>216891314.13957909</v>
      </c>
      <c r="Y656">
        <v>224677481.52979314</v>
      </c>
      <c r="Z656">
        <v>256741897.0004687</v>
      </c>
      <c r="AA656">
        <v>319523222.30606467</v>
      </c>
      <c r="AB656">
        <v>1154096857.21117</v>
      </c>
      <c r="AC656">
        <v>1144595298.7723</v>
      </c>
      <c r="AD656">
        <v>1313725595.47192</v>
      </c>
      <c r="AE656">
        <v>1711542259.2414501</v>
      </c>
      <c r="AF656" t="s">
        <v>34</v>
      </c>
      <c r="AG656">
        <f t="shared" si="23"/>
        <v>428413862.20537329</v>
      </c>
    </row>
    <row r="657" spans="1:33" x14ac:dyDescent="0.3">
      <c r="A657" t="s">
        <v>509</v>
      </c>
      <c r="B657" s="1" t="s">
        <v>510</v>
      </c>
      <c r="C657" t="s">
        <v>462</v>
      </c>
      <c r="D657" s="1" t="s">
        <v>463</v>
      </c>
      <c r="E657" t="s">
        <v>34</v>
      </c>
      <c r="F657" t="s">
        <v>34</v>
      </c>
      <c r="G657" t="s">
        <v>34</v>
      </c>
      <c r="H657" t="s">
        <v>34</v>
      </c>
      <c r="I657" t="s">
        <v>34</v>
      </c>
      <c r="J657" t="s">
        <v>34</v>
      </c>
      <c r="K657" t="s">
        <v>34</v>
      </c>
      <c r="L657" t="s">
        <v>34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34</v>
      </c>
      <c r="V657" t="s">
        <v>34</v>
      </c>
      <c r="W657" t="s">
        <v>34</v>
      </c>
      <c r="X657" t="s">
        <v>34</v>
      </c>
      <c r="Y657" t="s">
        <v>34</v>
      </c>
      <c r="Z657" t="s">
        <v>34</v>
      </c>
      <c r="AA657" t="s">
        <v>34</v>
      </c>
      <c r="AB657" t="s">
        <v>34</v>
      </c>
      <c r="AC657" t="s">
        <v>34</v>
      </c>
      <c r="AD657" t="s">
        <v>34</v>
      </c>
      <c r="AE657" t="s">
        <v>34</v>
      </c>
      <c r="AF657" t="s">
        <v>34</v>
      </c>
      <c r="AG657" t="str">
        <f t="shared" si="23"/>
        <v>NA</v>
      </c>
    </row>
    <row r="658" spans="1:33" x14ac:dyDescent="0.3">
      <c r="A658" t="s">
        <v>509</v>
      </c>
      <c r="B658" s="1" t="s">
        <v>510</v>
      </c>
      <c r="C658" t="s">
        <v>464</v>
      </c>
      <c r="D658" s="1" t="s">
        <v>465</v>
      </c>
      <c r="E658">
        <v>216900000</v>
      </c>
      <c r="F658">
        <v>90000000</v>
      </c>
      <c r="G658">
        <v>123700000</v>
      </c>
      <c r="H658">
        <v>183900000</v>
      </c>
      <c r="I658">
        <v>236000000</v>
      </c>
      <c r="J658" t="s">
        <v>34</v>
      </c>
      <c r="K658">
        <v>338074599.917</v>
      </c>
      <c r="L658">
        <v>359119556.40100002</v>
      </c>
      <c r="M658">
        <v>425505731.98900002</v>
      </c>
      <c r="N658">
        <v>539810649.03799999</v>
      </c>
      <c r="O658">
        <v>745997148.35399997</v>
      </c>
      <c r="P658">
        <v>744700000</v>
      </c>
      <c r="Q658">
        <v>910578028.17499995</v>
      </c>
      <c r="R658">
        <v>1182502010.497</v>
      </c>
      <c r="S658">
        <v>1023459832.839</v>
      </c>
      <c r="T658">
        <v>1249233063.898</v>
      </c>
      <c r="U658">
        <v>1700413000</v>
      </c>
      <c r="V658">
        <v>2018521000</v>
      </c>
      <c r="W658">
        <v>1792875000</v>
      </c>
      <c r="X658">
        <v>1860869000</v>
      </c>
      <c r="Y658">
        <v>1919376000</v>
      </c>
      <c r="Z658">
        <v>1879749000</v>
      </c>
      <c r="AA658">
        <v>2651039584.6700001</v>
      </c>
      <c r="AB658">
        <v>3163501558</v>
      </c>
      <c r="AC658">
        <v>3658335154</v>
      </c>
      <c r="AD658">
        <v>3518172655</v>
      </c>
      <c r="AE658">
        <v>5302607558</v>
      </c>
      <c r="AF658" t="s">
        <v>34</v>
      </c>
      <c r="AG658">
        <f t="shared" si="23"/>
        <v>1455190005.029923</v>
      </c>
    </row>
    <row r="659" spans="1:33" x14ac:dyDescent="0.3">
      <c r="A659" t="s">
        <v>509</v>
      </c>
      <c r="B659" s="1" t="s">
        <v>510</v>
      </c>
      <c r="C659" t="s">
        <v>466</v>
      </c>
      <c r="D659" s="1" t="s">
        <v>467</v>
      </c>
      <c r="E659" t="s">
        <v>34</v>
      </c>
      <c r="F659" t="s">
        <v>34</v>
      </c>
      <c r="G659" t="s">
        <v>34</v>
      </c>
      <c r="H659" t="s">
        <v>34</v>
      </c>
      <c r="I659" t="s">
        <v>34</v>
      </c>
      <c r="J659" t="s">
        <v>34</v>
      </c>
      <c r="K659" t="s">
        <v>34</v>
      </c>
      <c r="L659" t="s">
        <v>34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>
        <v>394132646.63</v>
      </c>
      <c r="T659">
        <v>722006674.14999998</v>
      </c>
      <c r="U659">
        <v>649588069.28999996</v>
      </c>
      <c r="V659">
        <v>680401708.79999995</v>
      </c>
      <c r="W659" t="s">
        <v>34</v>
      </c>
      <c r="X659" t="s">
        <v>34</v>
      </c>
      <c r="Y659">
        <v>344897172.88999999</v>
      </c>
      <c r="Z659">
        <v>272855002</v>
      </c>
      <c r="AA659">
        <v>295088115</v>
      </c>
      <c r="AB659">
        <v>432769378</v>
      </c>
      <c r="AC659" t="s">
        <v>34</v>
      </c>
      <c r="AD659" t="s">
        <v>34</v>
      </c>
      <c r="AE659" t="s">
        <v>34</v>
      </c>
      <c r="AF659" t="s">
        <v>34</v>
      </c>
      <c r="AG659">
        <f t="shared" si="23"/>
        <v>473967345.84499997</v>
      </c>
    </row>
    <row r="663" spans="1:33" x14ac:dyDescent="0.3">
      <c r="A663" t="s">
        <v>2</v>
      </c>
      <c r="B663" s="1" t="s">
        <v>495</v>
      </c>
      <c r="C663" t="s">
        <v>0</v>
      </c>
      <c r="D663" s="1" t="s">
        <v>1</v>
      </c>
      <c r="E663" t="s">
        <v>3</v>
      </c>
      <c r="F663" t="s">
        <v>4</v>
      </c>
      <c r="G663" t="s">
        <v>5</v>
      </c>
      <c r="H663" t="s">
        <v>6</v>
      </c>
      <c r="I663" t="s">
        <v>7</v>
      </c>
      <c r="J663" t="s">
        <v>8</v>
      </c>
      <c r="K663" t="s">
        <v>9</v>
      </c>
      <c r="L663" t="s">
        <v>10</v>
      </c>
      <c r="M663" t="s">
        <v>11</v>
      </c>
      <c r="N663" t="s">
        <v>12</v>
      </c>
      <c r="O663" t="s">
        <v>13</v>
      </c>
      <c r="P663" t="s">
        <v>14</v>
      </c>
      <c r="Q663" t="s">
        <v>15</v>
      </c>
      <c r="R663" t="s">
        <v>16</v>
      </c>
      <c r="S663" t="s">
        <v>17</v>
      </c>
      <c r="T663" t="s">
        <v>18</v>
      </c>
      <c r="U663" t="s">
        <v>19</v>
      </c>
      <c r="V663" t="s">
        <v>20</v>
      </c>
      <c r="W663" t="s">
        <v>21</v>
      </c>
      <c r="X663" t="s">
        <v>22</v>
      </c>
      <c r="Y663" t="s">
        <v>23</v>
      </c>
      <c r="Z663" t="s">
        <v>24</v>
      </c>
      <c r="AA663" t="s">
        <v>25</v>
      </c>
      <c r="AB663" t="s">
        <v>26</v>
      </c>
      <c r="AC663" t="s">
        <v>27</v>
      </c>
      <c r="AD663" t="s">
        <v>28</v>
      </c>
      <c r="AE663" t="s">
        <v>29</v>
      </c>
      <c r="AF663" t="s">
        <v>30</v>
      </c>
    </row>
    <row r="664" spans="1:33" x14ac:dyDescent="0.3">
      <c r="A664" t="s">
        <v>513</v>
      </c>
      <c r="B664" s="1" t="s">
        <v>514</v>
      </c>
      <c r="C664" t="s">
        <v>31</v>
      </c>
      <c r="D664" s="1" t="s">
        <v>32</v>
      </c>
      <c r="E664" t="s">
        <v>34</v>
      </c>
      <c r="F664" t="s">
        <v>34</v>
      </c>
      <c r="G664" t="s">
        <v>34</v>
      </c>
      <c r="H664" t="s">
        <v>34</v>
      </c>
      <c r="I664" t="s">
        <v>34</v>
      </c>
      <c r="J664" t="s">
        <v>34</v>
      </c>
      <c r="K664" t="s">
        <v>34</v>
      </c>
      <c r="L664" t="s">
        <v>34</v>
      </c>
      <c r="M664" t="s">
        <v>34</v>
      </c>
      <c r="N664" t="s">
        <v>34</v>
      </c>
      <c r="O664" t="s">
        <v>34</v>
      </c>
      <c r="P664">
        <v>4361376969.5500002</v>
      </c>
      <c r="Q664">
        <v>5644579908.75</v>
      </c>
      <c r="R664">
        <v>8615069861.25</v>
      </c>
      <c r="S664">
        <v>15840312929.059999</v>
      </c>
      <c r="T664">
        <v>18245323987.150002</v>
      </c>
      <c r="U664">
        <v>21516806132.02</v>
      </c>
      <c r="V664">
        <v>25610320670.005001</v>
      </c>
      <c r="W664">
        <v>27653398808</v>
      </c>
      <c r="X664">
        <v>33099262219.066799</v>
      </c>
      <c r="Y664">
        <v>39794987704.389999</v>
      </c>
      <c r="Z664">
        <v>25170226474.709999</v>
      </c>
      <c r="AA664">
        <v>28026389585.450001</v>
      </c>
      <c r="AB664" t="s">
        <v>34</v>
      </c>
      <c r="AC664" t="s">
        <v>34</v>
      </c>
      <c r="AD664" t="s">
        <v>34</v>
      </c>
      <c r="AE664" t="s">
        <v>34</v>
      </c>
      <c r="AF664" t="s">
        <v>34</v>
      </c>
      <c r="AG664">
        <f>IFERROR(AVERAGE(E664:AF664),"NA")</f>
        <v>21131504604.116817</v>
      </c>
    </row>
    <row r="665" spans="1:33" x14ac:dyDescent="0.3">
      <c r="A665" t="s">
        <v>513</v>
      </c>
      <c r="B665" s="1" t="s">
        <v>514</v>
      </c>
      <c r="C665" t="s">
        <v>35</v>
      </c>
      <c r="D665" s="1" t="s">
        <v>36</v>
      </c>
      <c r="E665">
        <v>4014000000</v>
      </c>
      <c r="F665">
        <v>4808340000</v>
      </c>
      <c r="G665">
        <v>3592253000</v>
      </c>
      <c r="H665">
        <v>6399875000</v>
      </c>
      <c r="I665" t="s">
        <v>34</v>
      </c>
      <c r="J665" t="s">
        <v>34</v>
      </c>
      <c r="K665" t="s">
        <v>34</v>
      </c>
      <c r="L665">
        <v>20894170000</v>
      </c>
      <c r="M665">
        <v>22504710000</v>
      </c>
      <c r="N665">
        <v>27220340000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  <c r="U665">
        <v>46423500000</v>
      </c>
      <c r="V665">
        <v>44484930000</v>
      </c>
      <c r="W665">
        <v>44012200000</v>
      </c>
      <c r="X665">
        <v>48711520000</v>
      </c>
      <c r="Y665">
        <v>54624180000</v>
      </c>
      <c r="Z665">
        <v>42779830000</v>
      </c>
      <c r="AA665">
        <v>63746660000</v>
      </c>
      <c r="AB665">
        <v>70977490000</v>
      </c>
      <c r="AC665">
        <v>79835840000</v>
      </c>
      <c r="AD665">
        <v>61674930000</v>
      </c>
      <c r="AE665">
        <v>74656850000</v>
      </c>
      <c r="AF665" t="s">
        <v>34</v>
      </c>
      <c r="AG665">
        <f t="shared" ref="AG665:AG728" si="24">IFERROR(AVERAGE(E665:AF665),"NA")</f>
        <v>40075645444.444443</v>
      </c>
    </row>
    <row r="666" spans="1:33" x14ac:dyDescent="0.3">
      <c r="A666" t="s">
        <v>513</v>
      </c>
      <c r="B666" s="1" t="s">
        <v>514</v>
      </c>
      <c r="C666" t="s">
        <v>38</v>
      </c>
      <c r="D666" s="1" t="s">
        <v>39</v>
      </c>
      <c r="E666" t="s">
        <v>34</v>
      </c>
      <c r="F666" t="s">
        <v>34</v>
      </c>
      <c r="G666" t="s">
        <v>34</v>
      </c>
      <c r="H666" t="s">
        <v>34</v>
      </c>
      <c r="I666" t="s">
        <v>34</v>
      </c>
      <c r="J666" t="s">
        <v>34</v>
      </c>
      <c r="K666" t="s">
        <v>34</v>
      </c>
      <c r="L666" t="s">
        <v>34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34</v>
      </c>
      <c r="V666" t="s">
        <v>34</v>
      </c>
      <c r="W666" t="s">
        <v>34</v>
      </c>
      <c r="X666" t="s">
        <v>34</v>
      </c>
      <c r="Y666" t="s">
        <v>34</v>
      </c>
      <c r="Z666" t="s">
        <v>34</v>
      </c>
      <c r="AA666" t="s">
        <v>34</v>
      </c>
      <c r="AB666" t="s">
        <v>34</v>
      </c>
      <c r="AC666" t="s">
        <v>34</v>
      </c>
      <c r="AD666" t="s">
        <v>34</v>
      </c>
      <c r="AE666" t="s">
        <v>34</v>
      </c>
      <c r="AF666" t="s">
        <v>34</v>
      </c>
      <c r="AG666" t="str">
        <f t="shared" si="24"/>
        <v>NA</v>
      </c>
    </row>
    <row r="667" spans="1:33" x14ac:dyDescent="0.3">
      <c r="A667" t="s">
        <v>513</v>
      </c>
      <c r="B667" s="1" t="s">
        <v>514</v>
      </c>
      <c r="C667" t="s">
        <v>40</v>
      </c>
      <c r="D667" s="1" t="s">
        <v>41</v>
      </c>
      <c r="E667" t="s">
        <v>34</v>
      </c>
      <c r="F667" t="s">
        <v>34</v>
      </c>
      <c r="G667" t="s">
        <v>34</v>
      </c>
      <c r="H667" t="s">
        <v>34</v>
      </c>
      <c r="I667" t="s">
        <v>34</v>
      </c>
      <c r="J667" t="s">
        <v>34</v>
      </c>
      <c r="K667" t="s">
        <v>34</v>
      </c>
      <c r="L667" t="s">
        <v>34</v>
      </c>
      <c r="M667" t="s">
        <v>34</v>
      </c>
      <c r="N667" t="s">
        <v>34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34</v>
      </c>
      <c r="U667" t="s">
        <v>34</v>
      </c>
      <c r="V667" t="s">
        <v>34</v>
      </c>
      <c r="W667" t="s">
        <v>34</v>
      </c>
      <c r="X667" t="s">
        <v>34</v>
      </c>
      <c r="Y667" t="s">
        <v>34</v>
      </c>
      <c r="Z667" t="s">
        <v>34</v>
      </c>
      <c r="AA667" t="s">
        <v>34</v>
      </c>
      <c r="AB667" t="s">
        <v>34</v>
      </c>
      <c r="AC667" t="s">
        <v>34</v>
      </c>
      <c r="AD667" t="s">
        <v>34</v>
      </c>
      <c r="AE667" t="s">
        <v>34</v>
      </c>
      <c r="AF667" t="s">
        <v>34</v>
      </c>
      <c r="AG667" t="str">
        <f t="shared" si="24"/>
        <v>NA</v>
      </c>
    </row>
    <row r="668" spans="1:33" x14ac:dyDescent="0.3">
      <c r="A668" t="s">
        <v>513</v>
      </c>
      <c r="B668" s="1" t="s">
        <v>514</v>
      </c>
      <c r="C668" t="s">
        <v>42</v>
      </c>
      <c r="D668" s="1" t="s">
        <v>43</v>
      </c>
      <c r="E668" t="s">
        <v>34</v>
      </c>
      <c r="F668" t="s">
        <v>34</v>
      </c>
      <c r="G668" t="s">
        <v>34</v>
      </c>
      <c r="H668" t="s">
        <v>34</v>
      </c>
      <c r="I668" t="s">
        <v>34</v>
      </c>
      <c r="J668" t="s">
        <v>34</v>
      </c>
      <c r="K668" t="s">
        <v>34</v>
      </c>
      <c r="L668" t="s">
        <v>34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  <c r="U668" t="s">
        <v>34</v>
      </c>
      <c r="V668" t="s">
        <v>34</v>
      </c>
      <c r="W668" t="s">
        <v>34</v>
      </c>
      <c r="X668" t="s">
        <v>34</v>
      </c>
      <c r="Y668" t="s">
        <v>34</v>
      </c>
      <c r="Z668" t="s">
        <v>34</v>
      </c>
      <c r="AA668" t="s">
        <v>34</v>
      </c>
      <c r="AB668" t="s">
        <v>34</v>
      </c>
      <c r="AC668" t="s">
        <v>34</v>
      </c>
      <c r="AD668" t="s">
        <v>34</v>
      </c>
      <c r="AE668" t="s">
        <v>34</v>
      </c>
      <c r="AF668" t="s">
        <v>34</v>
      </c>
      <c r="AG668" t="str">
        <f t="shared" si="24"/>
        <v>NA</v>
      </c>
    </row>
    <row r="669" spans="1:33" x14ac:dyDescent="0.3">
      <c r="A669" t="s">
        <v>513</v>
      </c>
      <c r="B669" s="1" t="s">
        <v>514</v>
      </c>
      <c r="C669" t="s">
        <v>44</v>
      </c>
      <c r="D669" s="1" t="s">
        <v>45</v>
      </c>
      <c r="E669" t="s">
        <v>34</v>
      </c>
      <c r="F669" t="s">
        <v>34</v>
      </c>
      <c r="G669" t="s">
        <v>34</v>
      </c>
      <c r="H669" t="s">
        <v>34</v>
      </c>
      <c r="I669">
        <v>2218511047</v>
      </c>
      <c r="J669">
        <v>23521887574</v>
      </c>
      <c r="K669">
        <v>35587683336</v>
      </c>
      <c r="L669">
        <v>77439702088</v>
      </c>
      <c r="M669">
        <v>167772000000</v>
      </c>
      <c r="N669">
        <v>272013000000</v>
      </c>
      <c r="O669">
        <v>440617000000</v>
      </c>
      <c r="P669">
        <v>838209000000</v>
      </c>
      <c r="Q669">
        <v>880727000000</v>
      </c>
      <c r="R669">
        <v>1381600000000</v>
      </c>
      <c r="S669">
        <v>679586000000</v>
      </c>
      <c r="T669">
        <v>920379000000</v>
      </c>
      <c r="U669">
        <v>1292900000000</v>
      </c>
      <c r="V669">
        <v>1413540000000</v>
      </c>
      <c r="W669">
        <v>1401100000000</v>
      </c>
      <c r="X669">
        <v>1356426466256.25</v>
      </c>
      <c r="Y669">
        <v>1054233866328.62</v>
      </c>
      <c r="Z669">
        <v>1103411896918.5601</v>
      </c>
      <c r="AA669">
        <v>1306581620098.53</v>
      </c>
      <c r="AB669">
        <v>1847024725088.29</v>
      </c>
      <c r="AC669">
        <v>2297181715418.21</v>
      </c>
      <c r="AD669" t="s">
        <v>34</v>
      </c>
      <c r="AE669" t="s">
        <v>34</v>
      </c>
      <c r="AF669" t="s">
        <v>34</v>
      </c>
      <c r="AG669">
        <f t="shared" si="24"/>
        <v>894860527340.64099</v>
      </c>
    </row>
    <row r="670" spans="1:33" x14ac:dyDescent="0.3">
      <c r="A670" t="s">
        <v>513</v>
      </c>
      <c r="B670" s="1" t="s">
        <v>514</v>
      </c>
      <c r="C670" t="s">
        <v>46</v>
      </c>
      <c r="D670" s="1" t="s">
        <v>47</v>
      </c>
      <c r="E670" t="s">
        <v>34</v>
      </c>
      <c r="F670" t="s">
        <v>34</v>
      </c>
      <c r="G670" t="s">
        <v>34</v>
      </c>
      <c r="H670" t="s">
        <v>34</v>
      </c>
      <c r="I670" t="s">
        <v>34</v>
      </c>
      <c r="J670" t="s">
        <v>34</v>
      </c>
      <c r="K670" t="s">
        <v>34</v>
      </c>
      <c r="L670" t="s">
        <v>34</v>
      </c>
      <c r="M670" t="s">
        <v>34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34</v>
      </c>
      <c r="X670" t="s">
        <v>34</v>
      </c>
      <c r="Y670" t="s">
        <v>34</v>
      </c>
      <c r="Z670" t="s">
        <v>34</v>
      </c>
      <c r="AA670" t="s">
        <v>34</v>
      </c>
      <c r="AB670" t="s">
        <v>34</v>
      </c>
      <c r="AC670" t="s">
        <v>34</v>
      </c>
      <c r="AD670" t="s">
        <v>34</v>
      </c>
      <c r="AE670" t="s">
        <v>34</v>
      </c>
      <c r="AF670" t="s">
        <v>34</v>
      </c>
      <c r="AG670" t="str">
        <f t="shared" si="24"/>
        <v>NA</v>
      </c>
    </row>
    <row r="671" spans="1:33" x14ac:dyDescent="0.3">
      <c r="A671" t="s">
        <v>513</v>
      </c>
      <c r="B671" s="1" t="s">
        <v>514</v>
      </c>
      <c r="C671" t="s">
        <v>48</v>
      </c>
      <c r="D671" s="1" t="s">
        <v>49</v>
      </c>
      <c r="E671">
        <v>3730600000</v>
      </c>
      <c r="F671">
        <v>4689800000</v>
      </c>
      <c r="G671">
        <v>5426900000</v>
      </c>
      <c r="H671">
        <v>6519700000</v>
      </c>
      <c r="I671">
        <v>6434500000</v>
      </c>
      <c r="J671">
        <v>6866200000</v>
      </c>
      <c r="K671">
        <v>6655200000</v>
      </c>
      <c r="L671">
        <v>5740400000</v>
      </c>
      <c r="M671">
        <v>10374253526.43</v>
      </c>
      <c r="N671">
        <v>15381533675.540001</v>
      </c>
      <c r="O671">
        <v>19271300000</v>
      </c>
      <c r="P671">
        <v>23073800000</v>
      </c>
      <c r="Q671">
        <v>22960000000</v>
      </c>
      <c r="R671">
        <v>28584400000</v>
      </c>
      <c r="S671">
        <v>29674400000</v>
      </c>
      <c r="T671">
        <v>40930900000</v>
      </c>
      <c r="U671">
        <v>57335400000</v>
      </c>
      <c r="V671">
        <v>73374200000</v>
      </c>
      <c r="W671">
        <v>97290900000</v>
      </c>
      <c r="X671">
        <v>141679100000</v>
      </c>
      <c r="Y671">
        <v>199986500000</v>
      </c>
      <c r="Z671">
        <v>217639400000</v>
      </c>
      <c r="AA671">
        <v>267036900000</v>
      </c>
      <c r="AB671">
        <v>272779800000</v>
      </c>
      <c r="AC671">
        <v>340512746662.73999</v>
      </c>
      <c r="AD671">
        <v>448818461996.02002</v>
      </c>
      <c r="AE671">
        <v>767410986997.42004</v>
      </c>
      <c r="AF671" t="s">
        <v>34</v>
      </c>
      <c r="AG671">
        <f t="shared" si="24"/>
        <v>115562158624.37592</v>
      </c>
    </row>
    <row r="672" spans="1:33" x14ac:dyDescent="0.3">
      <c r="A672" t="s">
        <v>513</v>
      </c>
      <c r="B672" s="1" t="s">
        <v>514</v>
      </c>
      <c r="C672" t="s">
        <v>50</v>
      </c>
      <c r="D672" s="1" t="s">
        <v>51</v>
      </c>
      <c r="E672" t="s">
        <v>34</v>
      </c>
      <c r="F672" t="s">
        <v>34</v>
      </c>
      <c r="G672" t="s">
        <v>34</v>
      </c>
      <c r="H672" t="s">
        <v>34</v>
      </c>
      <c r="I672" t="s">
        <v>34</v>
      </c>
      <c r="J672" t="s">
        <v>34</v>
      </c>
      <c r="K672" t="s">
        <v>34</v>
      </c>
      <c r="L672" t="s">
        <v>34</v>
      </c>
      <c r="M672" t="s">
        <v>34</v>
      </c>
      <c r="N672">
        <v>52424200300</v>
      </c>
      <c r="O672">
        <v>73172304416.800003</v>
      </c>
      <c r="P672">
        <v>100797800000</v>
      </c>
      <c r="Q672">
        <v>122332040782.60001</v>
      </c>
      <c r="R672">
        <v>139960814153</v>
      </c>
      <c r="S672">
        <v>142025528422</v>
      </c>
      <c r="T672">
        <v>151753625090</v>
      </c>
      <c r="U672">
        <v>179052957519</v>
      </c>
      <c r="V672">
        <v>210321000000</v>
      </c>
      <c r="W672">
        <v>394858264388</v>
      </c>
      <c r="X672">
        <v>408579270700</v>
      </c>
      <c r="Y672">
        <v>427211147743</v>
      </c>
      <c r="Z672">
        <v>475150492660</v>
      </c>
      <c r="AA672">
        <v>469577057759</v>
      </c>
      <c r="AB672">
        <v>548011494210</v>
      </c>
      <c r="AC672">
        <v>591217918053</v>
      </c>
      <c r="AD672">
        <v>560053564842</v>
      </c>
      <c r="AE672">
        <v>582403546686</v>
      </c>
      <c r="AF672" t="s">
        <v>34</v>
      </c>
      <c r="AG672">
        <f t="shared" si="24"/>
        <v>312716834873.57782</v>
      </c>
    </row>
    <row r="673" spans="1:33" x14ac:dyDescent="0.3">
      <c r="A673" t="s">
        <v>513</v>
      </c>
      <c r="B673" s="1" t="s">
        <v>514</v>
      </c>
      <c r="C673" t="s">
        <v>52</v>
      </c>
      <c r="D673" s="1" t="s">
        <v>53</v>
      </c>
      <c r="E673" t="s">
        <v>34</v>
      </c>
      <c r="F673" t="s">
        <v>34</v>
      </c>
      <c r="G673" t="s">
        <v>34</v>
      </c>
      <c r="H673" t="s">
        <v>34</v>
      </c>
      <c r="I673" t="s">
        <v>34</v>
      </c>
      <c r="J673" t="s">
        <v>34</v>
      </c>
      <c r="K673" t="s">
        <v>34</v>
      </c>
      <c r="L673" t="s">
        <v>34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34</v>
      </c>
      <c r="U673" t="s">
        <v>34</v>
      </c>
      <c r="V673" t="s">
        <v>34</v>
      </c>
      <c r="W673" t="s">
        <v>34</v>
      </c>
      <c r="X673" t="s">
        <v>34</v>
      </c>
      <c r="Y673" t="s">
        <v>34</v>
      </c>
      <c r="Z673" t="s">
        <v>34</v>
      </c>
      <c r="AA673" t="s">
        <v>34</v>
      </c>
      <c r="AB673" t="s">
        <v>34</v>
      </c>
      <c r="AC673" t="s">
        <v>34</v>
      </c>
      <c r="AD673" t="s">
        <v>34</v>
      </c>
      <c r="AE673" t="s">
        <v>34</v>
      </c>
      <c r="AF673" t="s">
        <v>34</v>
      </c>
      <c r="AG673" t="str">
        <f t="shared" si="24"/>
        <v>NA</v>
      </c>
    </row>
    <row r="674" spans="1:33" x14ac:dyDescent="0.3">
      <c r="A674" t="s">
        <v>513</v>
      </c>
      <c r="B674" s="1" t="s">
        <v>514</v>
      </c>
      <c r="C674" t="s">
        <v>54</v>
      </c>
      <c r="D674" s="1" t="s">
        <v>55</v>
      </c>
      <c r="E674">
        <v>73895000000</v>
      </c>
      <c r="F674">
        <v>82614000000</v>
      </c>
      <c r="G674">
        <v>90436000000</v>
      </c>
      <c r="H674">
        <v>95365000000</v>
      </c>
      <c r="I674">
        <v>102309000000</v>
      </c>
      <c r="J674">
        <v>114519000000</v>
      </c>
      <c r="K674">
        <v>124602000000</v>
      </c>
      <c r="L674">
        <v>122722000000</v>
      </c>
      <c r="M674">
        <v>134115000000</v>
      </c>
      <c r="N674">
        <v>145425000000</v>
      </c>
      <c r="O674">
        <v>162714000000</v>
      </c>
      <c r="P674">
        <v>175923000000</v>
      </c>
      <c r="Q674">
        <v>189057000000</v>
      </c>
      <c r="R674">
        <v>208220000000</v>
      </c>
      <c r="S674">
        <v>200995000000</v>
      </c>
      <c r="T674">
        <v>186648000000</v>
      </c>
      <c r="U674">
        <v>204537000000</v>
      </c>
      <c r="V674">
        <v>230845000000</v>
      </c>
      <c r="W674">
        <v>241802000000</v>
      </c>
      <c r="X674">
        <v>248425000000</v>
      </c>
      <c r="Y674">
        <v>258649000000</v>
      </c>
      <c r="Z674">
        <v>265169000000</v>
      </c>
      <c r="AA674">
        <v>281205000000</v>
      </c>
      <c r="AB674">
        <v>312539000000</v>
      </c>
      <c r="AC674">
        <v>338732000000</v>
      </c>
      <c r="AD674">
        <v>328658000000</v>
      </c>
      <c r="AE674">
        <v>351860000000</v>
      </c>
      <c r="AF674">
        <v>422000000000</v>
      </c>
      <c r="AG674">
        <f t="shared" si="24"/>
        <v>203356428571.42856</v>
      </c>
    </row>
    <row r="675" spans="1:33" x14ac:dyDescent="0.3">
      <c r="A675" t="s">
        <v>513</v>
      </c>
      <c r="B675" s="1" t="s">
        <v>514</v>
      </c>
      <c r="C675" t="s">
        <v>56</v>
      </c>
      <c r="D675" s="1" t="s">
        <v>57</v>
      </c>
      <c r="E675">
        <v>19525350000</v>
      </c>
      <c r="F675">
        <v>22008630000</v>
      </c>
      <c r="G675">
        <v>23883590000</v>
      </c>
      <c r="H675">
        <v>25060380000</v>
      </c>
      <c r="I675">
        <v>25258510000</v>
      </c>
      <c r="J675">
        <v>26053970000</v>
      </c>
      <c r="K675">
        <v>30412120000</v>
      </c>
      <c r="L675">
        <v>28771890000</v>
      </c>
      <c r="M675">
        <v>29028770000</v>
      </c>
      <c r="N675">
        <v>29795840000</v>
      </c>
      <c r="O675">
        <v>29943280000</v>
      </c>
      <c r="P675">
        <v>31431450000</v>
      </c>
      <c r="Q675">
        <v>34634990000</v>
      </c>
      <c r="R675">
        <v>37492670000</v>
      </c>
      <c r="S675">
        <v>33075090000</v>
      </c>
      <c r="T675">
        <v>34250130000</v>
      </c>
      <c r="U675">
        <v>36236600000</v>
      </c>
      <c r="V675">
        <v>38221490000</v>
      </c>
      <c r="W675">
        <v>39960420000</v>
      </c>
      <c r="X675">
        <v>41841060000</v>
      </c>
      <c r="Y675">
        <v>44904610000</v>
      </c>
      <c r="Z675">
        <v>41802750000</v>
      </c>
      <c r="AA675">
        <v>43796310000</v>
      </c>
      <c r="AB675">
        <v>46663350000</v>
      </c>
      <c r="AC675">
        <v>48742410000</v>
      </c>
      <c r="AD675">
        <v>43429600000</v>
      </c>
      <c r="AE675">
        <v>50619560000</v>
      </c>
      <c r="AF675" t="s">
        <v>34</v>
      </c>
      <c r="AG675">
        <f t="shared" si="24"/>
        <v>34697956296.296295</v>
      </c>
    </row>
    <row r="676" spans="1:33" x14ac:dyDescent="0.3">
      <c r="A676" t="s">
        <v>513</v>
      </c>
      <c r="B676" s="1" t="s">
        <v>514</v>
      </c>
      <c r="C676" t="s">
        <v>58</v>
      </c>
      <c r="D676" s="1" t="s">
        <v>59</v>
      </c>
      <c r="E676">
        <v>118214600</v>
      </c>
      <c r="F676">
        <v>76490400</v>
      </c>
      <c r="G676">
        <v>95980800</v>
      </c>
      <c r="H676">
        <v>129093800</v>
      </c>
      <c r="I676">
        <v>145083000</v>
      </c>
      <c r="J676" t="s">
        <v>34</v>
      </c>
      <c r="K676" t="s">
        <v>34</v>
      </c>
      <c r="L676" t="s">
        <v>34</v>
      </c>
      <c r="M676" t="s">
        <v>34</v>
      </c>
      <c r="N676" t="s">
        <v>34</v>
      </c>
      <c r="O676" t="s">
        <v>34</v>
      </c>
      <c r="P676" t="s">
        <v>34</v>
      </c>
      <c r="Q676" t="s">
        <v>34</v>
      </c>
      <c r="R676">
        <v>3498400000</v>
      </c>
      <c r="S676">
        <v>1920500000</v>
      </c>
      <c r="T676">
        <v>2026500000</v>
      </c>
      <c r="U676">
        <v>2861600000</v>
      </c>
      <c r="V676">
        <v>3072800000</v>
      </c>
      <c r="W676">
        <v>3247200000</v>
      </c>
      <c r="X676">
        <v>3292400000</v>
      </c>
      <c r="Y676">
        <v>3217200000</v>
      </c>
      <c r="Z676">
        <v>3128900000</v>
      </c>
      <c r="AA676">
        <v>3326100000</v>
      </c>
      <c r="AB676">
        <v>3495500000</v>
      </c>
      <c r="AC676">
        <v>3498100000</v>
      </c>
      <c r="AD676">
        <v>3503000000</v>
      </c>
      <c r="AE676">
        <v>4153000000</v>
      </c>
      <c r="AF676" t="s">
        <v>34</v>
      </c>
      <c r="AG676">
        <f t="shared" si="24"/>
        <v>2358213821.0526314</v>
      </c>
    </row>
    <row r="677" spans="1:33" x14ac:dyDescent="0.3">
      <c r="A677" t="s">
        <v>513</v>
      </c>
      <c r="B677" s="1" t="s">
        <v>514</v>
      </c>
      <c r="C677" t="s">
        <v>60</v>
      </c>
      <c r="D677" s="1" t="s">
        <v>61</v>
      </c>
      <c r="E677" t="s">
        <v>34</v>
      </c>
      <c r="F677" t="s">
        <v>34</v>
      </c>
      <c r="G677" t="s">
        <v>34</v>
      </c>
      <c r="H677" t="s">
        <v>34</v>
      </c>
      <c r="I677" t="s">
        <v>34</v>
      </c>
      <c r="J677" t="s">
        <v>34</v>
      </c>
      <c r="K677" t="s">
        <v>34</v>
      </c>
      <c r="L677" t="s">
        <v>34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34</v>
      </c>
      <c r="X677" t="s">
        <v>34</v>
      </c>
      <c r="Y677" t="s">
        <v>34</v>
      </c>
      <c r="Z677" t="s">
        <v>34</v>
      </c>
      <c r="AA677" t="s">
        <v>34</v>
      </c>
      <c r="AB677" t="s">
        <v>34</v>
      </c>
      <c r="AC677" t="s">
        <v>34</v>
      </c>
      <c r="AD677" t="s">
        <v>34</v>
      </c>
      <c r="AE677" t="s">
        <v>34</v>
      </c>
      <c r="AF677" t="s">
        <v>34</v>
      </c>
      <c r="AG677" t="str">
        <f t="shared" si="24"/>
        <v>NA</v>
      </c>
    </row>
    <row r="678" spans="1:33" x14ac:dyDescent="0.3">
      <c r="A678" t="s">
        <v>513</v>
      </c>
      <c r="B678" s="1" t="s">
        <v>514</v>
      </c>
      <c r="C678" t="s">
        <v>62</v>
      </c>
      <c r="D678" s="1" t="s">
        <v>63</v>
      </c>
      <c r="E678">
        <v>23300000</v>
      </c>
      <c r="F678">
        <v>31200000</v>
      </c>
      <c r="G678">
        <v>31900000</v>
      </c>
      <c r="H678">
        <v>34400000</v>
      </c>
      <c r="I678">
        <v>32000000</v>
      </c>
      <c r="J678">
        <v>34100000</v>
      </c>
      <c r="K678">
        <v>44400000</v>
      </c>
      <c r="L678">
        <v>40800000</v>
      </c>
      <c r="M678">
        <v>40900000</v>
      </c>
      <c r="N678">
        <v>54700000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34</v>
      </c>
      <c r="V678" t="s">
        <v>34</v>
      </c>
      <c r="W678" t="s">
        <v>34</v>
      </c>
      <c r="X678" t="s">
        <v>34</v>
      </c>
      <c r="Y678" t="s">
        <v>34</v>
      </c>
      <c r="Z678" t="s">
        <v>34</v>
      </c>
      <c r="AA678" t="s">
        <v>34</v>
      </c>
      <c r="AB678" t="s">
        <v>34</v>
      </c>
      <c r="AC678" t="s">
        <v>34</v>
      </c>
      <c r="AD678" t="s">
        <v>34</v>
      </c>
      <c r="AE678" t="s">
        <v>34</v>
      </c>
      <c r="AF678" t="s">
        <v>34</v>
      </c>
      <c r="AG678">
        <f t="shared" si="24"/>
        <v>36770000</v>
      </c>
    </row>
    <row r="679" spans="1:33" x14ac:dyDescent="0.3">
      <c r="A679" t="s">
        <v>513</v>
      </c>
      <c r="B679" s="1" t="s">
        <v>514</v>
      </c>
      <c r="C679" t="s">
        <v>64</v>
      </c>
      <c r="D679" s="1" t="s">
        <v>65</v>
      </c>
      <c r="E679" t="s">
        <v>34</v>
      </c>
      <c r="F679" t="s">
        <v>34</v>
      </c>
      <c r="G679" t="s">
        <v>34</v>
      </c>
      <c r="H679" t="s">
        <v>34</v>
      </c>
      <c r="I679" t="s">
        <v>34</v>
      </c>
      <c r="J679" t="s">
        <v>34</v>
      </c>
      <c r="K679">
        <v>30749390000</v>
      </c>
      <c r="L679">
        <v>35152230000</v>
      </c>
      <c r="M679">
        <v>38064300000</v>
      </c>
      <c r="N679">
        <v>42808910000</v>
      </c>
      <c r="O679">
        <v>49365686000</v>
      </c>
      <c r="P679">
        <v>64007913000</v>
      </c>
      <c r="Q679">
        <v>86220381000</v>
      </c>
      <c r="R679">
        <v>116684050000</v>
      </c>
      <c r="S679">
        <v>134332992000</v>
      </c>
      <c r="T679">
        <v>162347076000</v>
      </c>
      <c r="U679">
        <v>219557300000</v>
      </c>
      <c r="V679">
        <v>281592700000</v>
      </c>
      <c r="W679">
        <v>344029800000</v>
      </c>
      <c r="X679">
        <v>378289600000</v>
      </c>
      <c r="Y679">
        <v>407226900000</v>
      </c>
      <c r="Z679">
        <v>450780000000</v>
      </c>
      <c r="AA679">
        <v>459667000000</v>
      </c>
      <c r="AB679">
        <v>601607800000</v>
      </c>
      <c r="AC679">
        <v>669399384200</v>
      </c>
      <c r="AD679">
        <v>754201100000</v>
      </c>
      <c r="AE679">
        <v>873398822793.97998</v>
      </c>
      <c r="AF679" t="s">
        <v>34</v>
      </c>
      <c r="AG679">
        <f t="shared" si="24"/>
        <v>295213492142.5705</v>
      </c>
    </row>
    <row r="680" spans="1:33" x14ac:dyDescent="0.3">
      <c r="A680" t="s">
        <v>513</v>
      </c>
      <c r="B680" s="1" t="s">
        <v>514</v>
      </c>
      <c r="C680" t="s">
        <v>66</v>
      </c>
      <c r="D680" s="1" t="s">
        <v>67</v>
      </c>
      <c r="E680" t="s">
        <v>34</v>
      </c>
      <c r="F680" t="s">
        <v>34</v>
      </c>
      <c r="G680" t="s">
        <v>34</v>
      </c>
      <c r="H680" t="s">
        <v>34</v>
      </c>
      <c r="I680" t="s">
        <v>34</v>
      </c>
      <c r="J680" t="s">
        <v>34</v>
      </c>
      <c r="K680" t="s">
        <v>34</v>
      </c>
      <c r="L680" t="s">
        <v>34</v>
      </c>
      <c r="M680">
        <v>604735000</v>
      </c>
      <c r="N680">
        <v>596500000</v>
      </c>
      <c r="O680">
        <v>721842000</v>
      </c>
      <c r="P680">
        <v>817876638.26999998</v>
      </c>
      <c r="Q680">
        <v>936265621</v>
      </c>
      <c r="R680">
        <v>897374602</v>
      </c>
      <c r="S680">
        <v>816792471</v>
      </c>
      <c r="T680">
        <v>762703518</v>
      </c>
      <c r="U680">
        <v>772269044</v>
      </c>
      <c r="V680">
        <v>746267224</v>
      </c>
      <c r="W680">
        <v>639267340</v>
      </c>
      <c r="X680">
        <v>693041070</v>
      </c>
      <c r="Y680">
        <v>752577289</v>
      </c>
      <c r="Z680">
        <v>861069604</v>
      </c>
      <c r="AA680" t="s">
        <v>34</v>
      </c>
      <c r="AB680" t="s">
        <v>34</v>
      </c>
      <c r="AC680" t="s">
        <v>34</v>
      </c>
      <c r="AD680" t="s">
        <v>34</v>
      </c>
      <c r="AE680" t="s">
        <v>34</v>
      </c>
      <c r="AF680" t="s">
        <v>34</v>
      </c>
      <c r="AG680">
        <f t="shared" si="24"/>
        <v>758470101.5192858</v>
      </c>
    </row>
    <row r="681" spans="1:33" x14ac:dyDescent="0.3">
      <c r="A681" t="s">
        <v>513</v>
      </c>
      <c r="B681" s="1" t="s">
        <v>514</v>
      </c>
      <c r="C681" t="s">
        <v>68</v>
      </c>
      <c r="D681" s="1" t="s">
        <v>69</v>
      </c>
      <c r="E681">
        <v>593380</v>
      </c>
      <c r="F681">
        <v>452320</v>
      </c>
      <c r="G681">
        <v>1124150</v>
      </c>
      <c r="H681">
        <v>2113720</v>
      </c>
      <c r="I681">
        <v>9315280</v>
      </c>
      <c r="J681">
        <v>28701000</v>
      </c>
      <c r="K681">
        <v>46862000</v>
      </c>
      <c r="L681">
        <v>45717000</v>
      </c>
      <c r="M681">
        <v>68784400</v>
      </c>
      <c r="N681">
        <v>115331000</v>
      </c>
      <c r="O681">
        <v>175651900</v>
      </c>
      <c r="P681">
        <v>186746800</v>
      </c>
      <c r="Q681">
        <v>228394600</v>
      </c>
      <c r="R681">
        <v>353865789</v>
      </c>
      <c r="S681">
        <v>288143500</v>
      </c>
      <c r="T681">
        <v>353532210.31999999</v>
      </c>
      <c r="U681">
        <v>281950000</v>
      </c>
      <c r="V681">
        <v>549160000</v>
      </c>
      <c r="W681">
        <v>524682000</v>
      </c>
      <c r="X681">
        <v>658420200</v>
      </c>
      <c r="Y681">
        <v>819184492.75999999</v>
      </c>
      <c r="Z681">
        <v>729034078.70000005</v>
      </c>
      <c r="AA681">
        <v>1022212211</v>
      </c>
      <c r="AB681">
        <v>1289276509.2</v>
      </c>
      <c r="AC681">
        <v>1287986369.2</v>
      </c>
      <c r="AD681">
        <v>623807754.60000002</v>
      </c>
      <c r="AE681">
        <v>1755932963.23</v>
      </c>
      <c r="AF681" t="s">
        <v>34</v>
      </c>
      <c r="AG681">
        <f t="shared" si="24"/>
        <v>423962060.29666668</v>
      </c>
    </row>
    <row r="682" spans="1:33" x14ac:dyDescent="0.3">
      <c r="A682" t="s">
        <v>513</v>
      </c>
      <c r="B682" s="1" t="s">
        <v>514</v>
      </c>
      <c r="C682" t="s">
        <v>70</v>
      </c>
      <c r="D682" s="1" t="s">
        <v>71</v>
      </c>
      <c r="E682">
        <v>31233700000</v>
      </c>
      <c r="F682">
        <v>31764900000</v>
      </c>
      <c r="G682">
        <v>34050200000</v>
      </c>
      <c r="H682">
        <v>36796000000</v>
      </c>
      <c r="I682">
        <v>37042100000</v>
      </c>
      <c r="J682">
        <v>40195100000</v>
      </c>
      <c r="K682">
        <v>41436100000</v>
      </c>
      <c r="L682">
        <v>42242400000</v>
      </c>
      <c r="M682">
        <v>41891400000</v>
      </c>
      <c r="N682">
        <v>44449200000</v>
      </c>
      <c r="O682">
        <v>46694500000</v>
      </c>
      <c r="P682">
        <v>48367500000</v>
      </c>
      <c r="Q682">
        <v>49991800000</v>
      </c>
      <c r="R682">
        <v>53145200000</v>
      </c>
      <c r="S682">
        <v>47163100000</v>
      </c>
      <c r="T682">
        <v>50963200000</v>
      </c>
      <c r="U682">
        <v>54741700000</v>
      </c>
      <c r="V682">
        <v>57909200000</v>
      </c>
      <c r="W682">
        <v>60919600000</v>
      </c>
      <c r="X682">
        <v>62725100000</v>
      </c>
      <c r="Y682">
        <v>58589300000</v>
      </c>
      <c r="Z682">
        <v>53485700000</v>
      </c>
      <c r="AA682">
        <v>58388700000</v>
      </c>
      <c r="AB682">
        <v>62018800000</v>
      </c>
      <c r="AC682">
        <v>58820100000</v>
      </c>
      <c r="AD682">
        <v>55521000000</v>
      </c>
      <c r="AE682">
        <v>64429800000</v>
      </c>
      <c r="AF682" t="s">
        <v>34</v>
      </c>
      <c r="AG682">
        <f t="shared" si="24"/>
        <v>49073162962.962959</v>
      </c>
    </row>
    <row r="683" spans="1:33" x14ac:dyDescent="0.3">
      <c r="A683" t="s">
        <v>513</v>
      </c>
      <c r="B683" s="1" t="s">
        <v>514</v>
      </c>
      <c r="C683" t="s">
        <v>72</v>
      </c>
      <c r="D683" s="1" t="s">
        <v>73</v>
      </c>
      <c r="E683">
        <v>45362000</v>
      </c>
      <c r="F683">
        <v>51883000</v>
      </c>
      <c r="G683">
        <v>55767000</v>
      </c>
      <c r="H683">
        <v>64093000</v>
      </c>
      <c r="I683">
        <v>64541000</v>
      </c>
      <c r="J683">
        <v>76320000</v>
      </c>
      <c r="K683">
        <v>76987000</v>
      </c>
      <c r="L683">
        <v>78947000</v>
      </c>
      <c r="M683">
        <v>89113000</v>
      </c>
      <c r="N683">
        <v>99811000</v>
      </c>
      <c r="O683">
        <v>129458000</v>
      </c>
      <c r="P683">
        <v>138203000</v>
      </c>
      <c r="Q683">
        <v>180093000</v>
      </c>
      <c r="R683">
        <v>196674000</v>
      </c>
      <c r="S683">
        <v>213356000</v>
      </c>
      <c r="T683">
        <v>240125000</v>
      </c>
      <c r="U683">
        <v>238218000</v>
      </c>
      <c r="V683">
        <v>233125333.55000001</v>
      </c>
      <c r="W683">
        <v>246798576.69999999</v>
      </c>
      <c r="X683">
        <v>273830247.69999999</v>
      </c>
      <c r="Y683">
        <v>255587002.84</v>
      </c>
      <c r="Z683">
        <v>261707011.22999999</v>
      </c>
      <c r="AA683">
        <v>270222938.61000001</v>
      </c>
      <c r="AB683" t="s">
        <v>34</v>
      </c>
      <c r="AC683" t="s">
        <v>34</v>
      </c>
      <c r="AD683" t="s">
        <v>34</v>
      </c>
      <c r="AE683" t="s">
        <v>34</v>
      </c>
      <c r="AF683" t="s">
        <v>34</v>
      </c>
      <c r="AG683">
        <f t="shared" si="24"/>
        <v>155661830.89695653</v>
      </c>
    </row>
    <row r="684" spans="1:33" x14ac:dyDescent="0.3">
      <c r="A684" t="s">
        <v>513</v>
      </c>
      <c r="B684" s="1" t="s">
        <v>514</v>
      </c>
      <c r="C684" t="s">
        <v>74</v>
      </c>
      <c r="D684" s="1" t="s">
        <v>75</v>
      </c>
      <c r="E684" t="s">
        <v>34</v>
      </c>
      <c r="F684" t="s">
        <v>34</v>
      </c>
      <c r="G684" t="s">
        <v>34</v>
      </c>
      <c r="H684" t="s">
        <v>34</v>
      </c>
      <c r="I684" t="s">
        <v>34</v>
      </c>
      <c r="J684" t="s">
        <v>34</v>
      </c>
      <c r="K684" t="s">
        <v>34</v>
      </c>
      <c r="L684" t="s">
        <v>34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34</v>
      </c>
      <c r="V684" t="s">
        <v>34</v>
      </c>
      <c r="W684" t="s">
        <v>34</v>
      </c>
      <c r="X684" t="s">
        <v>34</v>
      </c>
      <c r="Y684" t="s">
        <v>34</v>
      </c>
      <c r="Z684" t="s">
        <v>34</v>
      </c>
      <c r="AA684" t="s">
        <v>34</v>
      </c>
      <c r="AB684" t="s">
        <v>34</v>
      </c>
      <c r="AC684" t="s">
        <v>34</v>
      </c>
      <c r="AD684" t="s">
        <v>34</v>
      </c>
      <c r="AE684" t="s">
        <v>34</v>
      </c>
      <c r="AF684" t="s">
        <v>34</v>
      </c>
      <c r="AG684" t="str">
        <f t="shared" si="24"/>
        <v>NA</v>
      </c>
    </row>
    <row r="685" spans="1:33" x14ac:dyDescent="0.3">
      <c r="A685" t="s">
        <v>513</v>
      </c>
      <c r="B685" s="1" t="s">
        <v>514</v>
      </c>
      <c r="C685" t="s">
        <v>76</v>
      </c>
      <c r="D685" s="1" t="s">
        <v>77</v>
      </c>
      <c r="E685" t="s">
        <v>34</v>
      </c>
      <c r="F685" t="s">
        <v>34</v>
      </c>
      <c r="G685" t="s">
        <v>34</v>
      </c>
      <c r="H685" t="s">
        <v>34</v>
      </c>
      <c r="I685" t="s">
        <v>34</v>
      </c>
      <c r="J685" t="s">
        <v>34</v>
      </c>
      <c r="K685" t="s">
        <v>34</v>
      </c>
      <c r="L685" t="s">
        <v>34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34</v>
      </c>
      <c r="V685" t="s">
        <v>34</v>
      </c>
      <c r="W685" t="s">
        <v>34</v>
      </c>
      <c r="X685" t="s">
        <v>34</v>
      </c>
      <c r="Y685" t="s">
        <v>34</v>
      </c>
      <c r="Z685" t="s">
        <v>34</v>
      </c>
      <c r="AA685" t="s">
        <v>34</v>
      </c>
      <c r="AB685" t="s">
        <v>34</v>
      </c>
      <c r="AC685" t="s">
        <v>34</v>
      </c>
      <c r="AD685" t="s">
        <v>34</v>
      </c>
      <c r="AE685" t="s">
        <v>34</v>
      </c>
      <c r="AF685" t="s">
        <v>34</v>
      </c>
      <c r="AG685" t="str">
        <f t="shared" si="24"/>
        <v>NA</v>
      </c>
    </row>
    <row r="686" spans="1:33" x14ac:dyDescent="0.3">
      <c r="A686" t="s">
        <v>513</v>
      </c>
      <c r="B686" s="1" t="s">
        <v>514</v>
      </c>
      <c r="C686" t="s">
        <v>78</v>
      </c>
      <c r="D686" s="1" t="s">
        <v>79</v>
      </c>
      <c r="E686">
        <v>263500000</v>
      </c>
      <c r="F686">
        <v>426100000</v>
      </c>
      <c r="G686">
        <v>492000000</v>
      </c>
      <c r="H686">
        <v>667684000</v>
      </c>
      <c r="I686">
        <v>725000000</v>
      </c>
      <c r="J686">
        <v>1056700000</v>
      </c>
      <c r="K686">
        <v>1191774000</v>
      </c>
      <c r="L686">
        <v>1305038000</v>
      </c>
      <c r="M686">
        <v>1272687000</v>
      </c>
      <c r="N686">
        <v>1419442000</v>
      </c>
      <c r="O686">
        <v>1529843000</v>
      </c>
      <c r="P686">
        <v>1833190000</v>
      </c>
      <c r="Q686">
        <v>2109058000</v>
      </c>
      <c r="R686">
        <v>2546872000</v>
      </c>
      <c r="S686">
        <v>3281840000</v>
      </c>
      <c r="T686">
        <v>6077176108</v>
      </c>
      <c r="U686">
        <v>7029869657</v>
      </c>
      <c r="V686">
        <v>7541906481</v>
      </c>
      <c r="W686">
        <v>7812792278</v>
      </c>
      <c r="X686">
        <v>9349707000</v>
      </c>
      <c r="Y686">
        <v>9609952654.9599991</v>
      </c>
      <c r="Z686">
        <v>10405238519.73</v>
      </c>
      <c r="AA686">
        <v>10404514000</v>
      </c>
      <c r="AB686">
        <v>13149883572.780001</v>
      </c>
      <c r="AC686">
        <v>13504616000</v>
      </c>
      <c r="AD686">
        <v>10941288000</v>
      </c>
      <c r="AE686" t="s">
        <v>34</v>
      </c>
      <c r="AF686" t="s">
        <v>34</v>
      </c>
      <c r="AG686">
        <f t="shared" si="24"/>
        <v>4844141241.2103844</v>
      </c>
    </row>
    <row r="687" spans="1:33" x14ac:dyDescent="0.3">
      <c r="A687" t="s">
        <v>513</v>
      </c>
      <c r="B687" s="1" t="s">
        <v>514</v>
      </c>
      <c r="C687" t="s">
        <v>80</v>
      </c>
      <c r="D687" s="1" t="s">
        <v>81</v>
      </c>
      <c r="E687">
        <v>132100000</v>
      </c>
      <c r="F687">
        <v>416600000</v>
      </c>
      <c r="G687">
        <v>524200000</v>
      </c>
      <c r="H687">
        <v>617800000</v>
      </c>
      <c r="I687">
        <v>710900000</v>
      </c>
      <c r="J687">
        <v>723500000</v>
      </c>
      <c r="K687">
        <v>635030000</v>
      </c>
      <c r="L687">
        <v>841371815.09000003</v>
      </c>
      <c r="M687">
        <v>893363390.12</v>
      </c>
      <c r="N687">
        <v>1192900000</v>
      </c>
      <c r="O687">
        <v>1750428079.22</v>
      </c>
      <c r="P687">
        <v>2350468759.0599999</v>
      </c>
      <c r="Q687">
        <v>2583552386.1199999</v>
      </c>
      <c r="R687" t="s">
        <v>34</v>
      </c>
      <c r="S687" t="s">
        <v>34</v>
      </c>
      <c r="T687" t="s">
        <v>34</v>
      </c>
      <c r="U687" t="s">
        <v>34</v>
      </c>
      <c r="V687" t="s">
        <v>34</v>
      </c>
      <c r="W687" t="s">
        <v>34</v>
      </c>
      <c r="X687" t="s">
        <v>34</v>
      </c>
      <c r="Y687" t="s">
        <v>34</v>
      </c>
      <c r="Z687" t="s">
        <v>34</v>
      </c>
      <c r="AA687" t="s">
        <v>34</v>
      </c>
      <c r="AB687" t="s">
        <v>34</v>
      </c>
      <c r="AC687" t="s">
        <v>34</v>
      </c>
      <c r="AD687" t="s">
        <v>34</v>
      </c>
      <c r="AE687" t="s">
        <v>34</v>
      </c>
      <c r="AF687" t="s">
        <v>34</v>
      </c>
      <c r="AG687">
        <f t="shared" si="24"/>
        <v>1028631879.2007693</v>
      </c>
    </row>
    <row r="688" spans="1:33" x14ac:dyDescent="0.3">
      <c r="A688" t="s">
        <v>513</v>
      </c>
      <c r="B688" s="1" t="s">
        <v>514</v>
      </c>
      <c r="C688" t="s">
        <v>82</v>
      </c>
      <c r="D688" s="1" t="s">
        <v>83</v>
      </c>
      <c r="E688" t="s">
        <v>34</v>
      </c>
      <c r="F688" t="s">
        <v>34</v>
      </c>
      <c r="G688" t="s">
        <v>34</v>
      </c>
      <c r="H688" t="s">
        <v>34</v>
      </c>
      <c r="I688" t="s">
        <v>34</v>
      </c>
      <c r="J688" t="s">
        <v>34</v>
      </c>
      <c r="K688" t="s">
        <v>34</v>
      </c>
      <c r="L688" t="s">
        <v>34</v>
      </c>
      <c r="M688" t="s">
        <v>34</v>
      </c>
      <c r="N688" t="s">
        <v>34</v>
      </c>
      <c r="O688">
        <v>126803840.19</v>
      </c>
      <c r="P688">
        <v>168072010.46000001</v>
      </c>
      <c r="Q688">
        <v>289056150.43000001</v>
      </c>
      <c r="R688">
        <v>257984452.59999999</v>
      </c>
      <c r="S688">
        <v>493320248.44999999</v>
      </c>
      <c r="T688">
        <v>625354603.55999994</v>
      </c>
      <c r="U688">
        <v>678187869.20000005</v>
      </c>
      <c r="V688">
        <v>698438348.20000005</v>
      </c>
      <c r="W688">
        <v>710823815.60000002</v>
      </c>
      <c r="X688">
        <v>704010442.10000002</v>
      </c>
      <c r="Y688">
        <v>753240090.59000003</v>
      </c>
      <c r="Z688">
        <v>854078720.83000004</v>
      </c>
      <c r="AA688">
        <v>1001947734.41</v>
      </c>
      <c r="AB688">
        <v>1101538460.74</v>
      </c>
      <c r="AC688">
        <v>1116183171.27</v>
      </c>
      <c r="AD688">
        <v>1063678673.23</v>
      </c>
      <c r="AE688">
        <v>1166515490.5599999</v>
      </c>
      <c r="AF688">
        <v>1529968192.0899999</v>
      </c>
      <c r="AG688">
        <f t="shared" si="24"/>
        <v>741066795.25055552</v>
      </c>
    </row>
    <row r="689" spans="1:33" x14ac:dyDescent="0.3">
      <c r="A689" t="s">
        <v>513</v>
      </c>
      <c r="B689" s="1" t="s">
        <v>514</v>
      </c>
      <c r="C689" t="s">
        <v>84</v>
      </c>
      <c r="D689" s="1" t="s">
        <v>85</v>
      </c>
      <c r="E689">
        <v>1127100000</v>
      </c>
      <c r="F689">
        <v>1233800000</v>
      </c>
      <c r="G689" t="s">
        <v>34</v>
      </c>
      <c r="H689" t="s">
        <v>34</v>
      </c>
      <c r="I689" t="s">
        <v>34</v>
      </c>
      <c r="J689" t="s">
        <v>34</v>
      </c>
      <c r="K689" t="s">
        <v>34</v>
      </c>
      <c r="L689" t="s">
        <v>34</v>
      </c>
      <c r="M689" t="s">
        <v>34</v>
      </c>
      <c r="N689" t="s">
        <v>34</v>
      </c>
      <c r="O689" t="s">
        <v>34</v>
      </c>
      <c r="P689">
        <v>6875100000</v>
      </c>
      <c r="Q689">
        <v>6342120000</v>
      </c>
      <c r="R689">
        <v>8059700000</v>
      </c>
      <c r="S689">
        <v>7920130000</v>
      </c>
      <c r="T689">
        <v>9362100000</v>
      </c>
      <c r="U689">
        <v>11248670000</v>
      </c>
      <c r="V689">
        <v>9986980000</v>
      </c>
      <c r="W689">
        <v>13660830000</v>
      </c>
      <c r="X689">
        <v>15882170000</v>
      </c>
      <c r="Y689">
        <v>13807910000</v>
      </c>
      <c r="Z689">
        <v>16784710000</v>
      </c>
      <c r="AA689">
        <v>13778750000</v>
      </c>
      <c r="AB689">
        <v>15079400000</v>
      </c>
      <c r="AC689">
        <v>15344580000</v>
      </c>
      <c r="AD689">
        <v>13423020000</v>
      </c>
      <c r="AE689">
        <v>20406980000</v>
      </c>
      <c r="AF689" t="s">
        <v>34</v>
      </c>
      <c r="AG689">
        <f t="shared" si="24"/>
        <v>11129113888.888889</v>
      </c>
    </row>
    <row r="690" spans="1:33" x14ac:dyDescent="0.3">
      <c r="A690" t="s">
        <v>513</v>
      </c>
      <c r="B690" s="1" t="s">
        <v>514</v>
      </c>
      <c r="C690" t="s">
        <v>86</v>
      </c>
      <c r="D690" s="1" t="s">
        <v>87</v>
      </c>
      <c r="E690" t="s">
        <v>34</v>
      </c>
      <c r="F690" t="s">
        <v>34</v>
      </c>
      <c r="G690" t="s">
        <v>34</v>
      </c>
      <c r="H690" t="s">
        <v>34</v>
      </c>
      <c r="I690" t="s">
        <v>34</v>
      </c>
      <c r="J690" t="s">
        <v>34</v>
      </c>
      <c r="K690" t="s">
        <v>34</v>
      </c>
      <c r="L690" t="s">
        <v>34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>
        <v>258484606429.483</v>
      </c>
      <c r="U690">
        <v>313998097748.82599</v>
      </c>
      <c r="V690">
        <v>324935454751.45001</v>
      </c>
      <c r="W690">
        <v>360760046001.28998</v>
      </c>
      <c r="X690">
        <v>382153068509.10602</v>
      </c>
      <c r="Y690">
        <v>401121486034.06702</v>
      </c>
      <c r="Z690">
        <v>453196679140.45203</v>
      </c>
      <c r="AA690">
        <v>458681477235.13098</v>
      </c>
      <c r="AB690">
        <v>490739863272.33002</v>
      </c>
      <c r="AC690">
        <v>535577118332.30402</v>
      </c>
      <c r="AD690">
        <v>526575940804.24597</v>
      </c>
      <c r="AE690">
        <v>698121463189.89001</v>
      </c>
      <c r="AF690">
        <v>909048874012.55103</v>
      </c>
      <c r="AG690">
        <f t="shared" si="24"/>
        <v>470261090420.08661</v>
      </c>
    </row>
    <row r="691" spans="1:33" x14ac:dyDescent="0.3">
      <c r="A691" t="s">
        <v>513</v>
      </c>
      <c r="B691" s="1" t="s">
        <v>514</v>
      </c>
      <c r="C691" t="s">
        <v>88</v>
      </c>
      <c r="D691" s="1" t="s">
        <v>89</v>
      </c>
      <c r="E691" t="s">
        <v>34</v>
      </c>
      <c r="F691" t="s">
        <v>34</v>
      </c>
      <c r="G691" t="s">
        <v>34</v>
      </c>
      <c r="H691" t="s">
        <v>34</v>
      </c>
      <c r="I691" t="s">
        <v>34</v>
      </c>
      <c r="J691" t="s">
        <v>34</v>
      </c>
      <c r="K691" t="s">
        <v>34</v>
      </c>
      <c r="L691" t="s">
        <v>34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34</v>
      </c>
      <c r="U691" t="s">
        <v>34</v>
      </c>
      <c r="V691" t="s">
        <v>34</v>
      </c>
      <c r="W691" t="s">
        <v>34</v>
      </c>
      <c r="X691" t="s">
        <v>34</v>
      </c>
      <c r="Y691" t="s">
        <v>34</v>
      </c>
      <c r="Z691" t="s">
        <v>34</v>
      </c>
      <c r="AA691" t="s">
        <v>34</v>
      </c>
      <c r="AB691" t="s">
        <v>34</v>
      </c>
      <c r="AC691" t="s">
        <v>34</v>
      </c>
      <c r="AD691" t="s">
        <v>34</v>
      </c>
      <c r="AE691" t="s">
        <v>34</v>
      </c>
      <c r="AF691" t="s">
        <v>34</v>
      </c>
      <c r="AG691" t="str">
        <f t="shared" si="24"/>
        <v>NA</v>
      </c>
    </row>
    <row r="692" spans="1:33" x14ac:dyDescent="0.3">
      <c r="A692" t="s">
        <v>513</v>
      </c>
      <c r="B692" s="1" t="s">
        <v>514</v>
      </c>
      <c r="C692" t="s">
        <v>90</v>
      </c>
      <c r="D692" s="1" t="s">
        <v>91</v>
      </c>
      <c r="E692" t="s">
        <v>34</v>
      </c>
      <c r="F692" t="s">
        <v>34</v>
      </c>
      <c r="G692" t="s">
        <v>34</v>
      </c>
      <c r="H692" t="s">
        <v>34</v>
      </c>
      <c r="I692" t="s">
        <v>34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Q692" t="s">
        <v>34</v>
      </c>
      <c r="R692" t="s">
        <v>34</v>
      </c>
      <c r="S692" t="s">
        <v>34</v>
      </c>
      <c r="T692" t="s">
        <v>34</v>
      </c>
      <c r="U692" t="s">
        <v>34</v>
      </c>
      <c r="V692" t="s">
        <v>34</v>
      </c>
      <c r="W692" t="s">
        <v>34</v>
      </c>
      <c r="X692" t="s">
        <v>34</v>
      </c>
      <c r="Y692" t="s">
        <v>34</v>
      </c>
      <c r="Z692" t="s">
        <v>34</v>
      </c>
      <c r="AA692" t="s">
        <v>34</v>
      </c>
      <c r="AB692" t="s">
        <v>34</v>
      </c>
      <c r="AC692" t="s">
        <v>34</v>
      </c>
      <c r="AD692" t="s">
        <v>34</v>
      </c>
      <c r="AE692" t="s">
        <v>34</v>
      </c>
      <c r="AF692" t="s">
        <v>34</v>
      </c>
      <c r="AG692" t="str">
        <f t="shared" si="24"/>
        <v>NA</v>
      </c>
    </row>
    <row r="693" spans="1:33" x14ac:dyDescent="0.3">
      <c r="A693" t="s">
        <v>513</v>
      </c>
      <c r="B693" s="1" t="s">
        <v>514</v>
      </c>
      <c r="C693" t="s">
        <v>92</v>
      </c>
      <c r="D693" s="1" t="s">
        <v>93</v>
      </c>
      <c r="E693">
        <v>36575000</v>
      </c>
      <c r="F693">
        <v>70341000</v>
      </c>
      <c r="G693">
        <v>1725271000</v>
      </c>
      <c r="H693">
        <v>1847698000</v>
      </c>
      <c r="I693">
        <v>1801113000</v>
      </c>
      <c r="J693">
        <v>1968277000</v>
      </c>
      <c r="K693">
        <v>2113637000</v>
      </c>
      <c r="L693">
        <v>2045980000</v>
      </c>
      <c r="M693">
        <v>2272547000</v>
      </c>
      <c r="N693">
        <v>2276504000</v>
      </c>
      <c r="O693">
        <v>2369041000</v>
      </c>
      <c r="P693">
        <v>2919519000</v>
      </c>
      <c r="Q693">
        <v>3877589000</v>
      </c>
      <c r="R693">
        <v>4077573000</v>
      </c>
      <c r="S693">
        <v>3551803000</v>
      </c>
      <c r="T693">
        <v>3388334000</v>
      </c>
      <c r="U693">
        <v>3627981000</v>
      </c>
      <c r="V693">
        <v>3691100000</v>
      </c>
      <c r="W693">
        <v>3982159000</v>
      </c>
      <c r="X693">
        <v>4269737000</v>
      </c>
      <c r="Y693">
        <v>4702708000</v>
      </c>
      <c r="Z693">
        <v>5131304000</v>
      </c>
      <c r="AA693">
        <v>5812687000</v>
      </c>
      <c r="AB693">
        <v>6158316000</v>
      </c>
      <c r="AC693">
        <v>6779826000</v>
      </c>
      <c r="AD693">
        <v>6800339000</v>
      </c>
      <c r="AE693">
        <v>8593316000</v>
      </c>
      <c r="AF693" t="s">
        <v>34</v>
      </c>
      <c r="AG693">
        <f t="shared" si="24"/>
        <v>3551528703.7037039</v>
      </c>
    </row>
    <row r="694" spans="1:33" x14ac:dyDescent="0.3">
      <c r="A694" t="s">
        <v>513</v>
      </c>
      <c r="B694" s="1" t="s">
        <v>514</v>
      </c>
      <c r="C694" t="s">
        <v>94</v>
      </c>
      <c r="D694" s="1" t="s">
        <v>95</v>
      </c>
      <c r="E694" t="s">
        <v>34</v>
      </c>
      <c r="F694" t="s">
        <v>34</v>
      </c>
      <c r="G694" t="s">
        <v>34</v>
      </c>
      <c r="H694" t="s">
        <v>34</v>
      </c>
      <c r="I694" t="s">
        <v>34</v>
      </c>
      <c r="J694" t="s">
        <v>34</v>
      </c>
      <c r="K694" t="s">
        <v>34</v>
      </c>
      <c r="L694">
        <v>61680853970</v>
      </c>
      <c r="M694">
        <v>67243940286</v>
      </c>
      <c r="N694">
        <v>72840053413.699997</v>
      </c>
      <c r="O694">
        <v>79692212330</v>
      </c>
      <c r="P694">
        <v>85737288056</v>
      </c>
      <c r="Q694">
        <v>98150925410</v>
      </c>
      <c r="R694">
        <v>103469343798</v>
      </c>
      <c r="S694">
        <v>106686379778</v>
      </c>
      <c r="T694">
        <v>133581000000</v>
      </c>
      <c r="U694">
        <v>201024000000</v>
      </c>
      <c r="V694">
        <v>256029000000</v>
      </c>
      <c r="W694">
        <v>277195000000</v>
      </c>
      <c r="X694">
        <v>262613984564</v>
      </c>
      <c r="Y694">
        <v>234438093844</v>
      </c>
      <c r="Z694">
        <v>285800000000</v>
      </c>
      <c r="AA694">
        <v>317967999120</v>
      </c>
      <c r="AB694">
        <v>370127503737.13098</v>
      </c>
      <c r="AC694">
        <v>442962025017.23102</v>
      </c>
      <c r="AD694">
        <v>449496481886.802</v>
      </c>
      <c r="AE694">
        <v>565225296480</v>
      </c>
      <c r="AF694" t="s">
        <v>34</v>
      </c>
      <c r="AG694">
        <f t="shared" si="24"/>
        <v>223598069084.54321</v>
      </c>
    </row>
    <row r="695" spans="1:33" x14ac:dyDescent="0.3">
      <c r="A695" t="s">
        <v>513</v>
      </c>
      <c r="B695" s="1" t="s">
        <v>514</v>
      </c>
      <c r="C695" t="s">
        <v>96</v>
      </c>
      <c r="D695" s="1" t="s">
        <v>97</v>
      </c>
      <c r="E695">
        <v>9039000000</v>
      </c>
      <c r="F695">
        <v>9712000000</v>
      </c>
      <c r="G695">
        <v>10322000000</v>
      </c>
      <c r="H695">
        <v>13139220000</v>
      </c>
      <c r="I695">
        <v>15121500000</v>
      </c>
      <c r="J695" t="s">
        <v>34</v>
      </c>
      <c r="K695" t="s">
        <v>34</v>
      </c>
      <c r="L695" t="s">
        <v>34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34</v>
      </c>
      <c r="V695" t="s">
        <v>34</v>
      </c>
      <c r="W695" t="s">
        <v>34</v>
      </c>
      <c r="X695" t="s">
        <v>34</v>
      </c>
      <c r="Y695" t="s">
        <v>34</v>
      </c>
      <c r="Z695" t="s">
        <v>34</v>
      </c>
      <c r="AA695" t="s">
        <v>34</v>
      </c>
      <c r="AB695" t="s">
        <v>34</v>
      </c>
      <c r="AC695" t="s">
        <v>34</v>
      </c>
      <c r="AD695" t="s">
        <v>34</v>
      </c>
      <c r="AE695" t="s">
        <v>34</v>
      </c>
      <c r="AF695" t="s">
        <v>34</v>
      </c>
      <c r="AG695">
        <f t="shared" si="24"/>
        <v>11466744000</v>
      </c>
    </row>
    <row r="696" spans="1:33" x14ac:dyDescent="0.3">
      <c r="A696" t="s">
        <v>513</v>
      </c>
      <c r="B696" s="1" t="s">
        <v>514</v>
      </c>
      <c r="C696" t="s">
        <v>98</v>
      </c>
      <c r="D696" s="1" t="s">
        <v>99</v>
      </c>
      <c r="E696" t="s">
        <v>34</v>
      </c>
      <c r="F696" t="s">
        <v>34</v>
      </c>
      <c r="G696" t="s">
        <v>34</v>
      </c>
      <c r="H696" t="s">
        <v>34</v>
      </c>
      <c r="I696" t="s">
        <v>34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>
        <v>5596687891</v>
      </c>
      <c r="P696">
        <v>6648644812</v>
      </c>
      <c r="Q696">
        <v>7455483553</v>
      </c>
      <c r="R696">
        <v>8380415470</v>
      </c>
      <c r="S696">
        <v>7910099718</v>
      </c>
      <c r="T696">
        <v>7697397150</v>
      </c>
      <c r="U696">
        <v>8678347848</v>
      </c>
      <c r="V696">
        <v>8602980464</v>
      </c>
      <c r="W696">
        <v>8446349551</v>
      </c>
      <c r="X696">
        <v>7735040858</v>
      </c>
      <c r="Y696">
        <v>9482180262</v>
      </c>
      <c r="Z696">
        <v>9648466646.7399998</v>
      </c>
      <c r="AA696">
        <v>10953689100</v>
      </c>
      <c r="AB696" t="s">
        <v>34</v>
      </c>
      <c r="AC696" t="s">
        <v>34</v>
      </c>
      <c r="AD696" t="s">
        <v>34</v>
      </c>
      <c r="AE696" t="s">
        <v>34</v>
      </c>
      <c r="AF696" t="s">
        <v>34</v>
      </c>
      <c r="AG696">
        <f t="shared" si="24"/>
        <v>8248906409.5184622</v>
      </c>
    </row>
    <row r="697" spans="1:33" x14ac:dyDescent="0.3">
      <c r="A697" t="s">
        <v>513</v>
      </c>
      <c r="B697" s="1" t="s">
        <v>514</v>
      </c>
      <c r="C697" t="s">
        <v>100</v>
      </c>
      <c r="D697" s="1" t="s">
        <v>101</v>
      </c>
      <c r="E697" t="s">
        <v>34</v>
      </c>
      <c r="F697" t="s">
        <v>34</v>
      </c>
      <c r="G697" t="s">
        <v>34</v>
      </c>
      <c r="H697" t="s">
        <v>34</v>
      </c>
      <c r="I697" t="s">
        <v>34</v>
      </c>
      <c r="J697" t="s">
        <v>34</v>
      </c>
      <c r="K697" t="s">
        <v>34</v>
      </c>
      <c r="L697">
        <v>134171970000</v>
      </c>
      <c r="M697">
        <v>150419385199</v>
      </c>
      <c r="N697">
        <v>157920645935</v>
      </c>
      <c r="O697">
        <v>222383946271</v>
      </c>
      <c r="P697">
        <v>331386497945</v>
      </c>
      <c r="Q697">
        <v>480287258365</v>
      </c>
      <c r="R697">
        <v>653875876883</v>
      </c>
      <c r="S697">
        <v>743672967490</v>
      </c>
      <c r="T697">
        <v>800395654196</v>
      </c>
      <c r="U697">
        <v>959642720291</v>
      </c>
      <c r="V697">
        <v>1265718000000</v>
      </c>
      <c r="W697">
        <v>1561450300000</v>
      </c>
      <c r="X697">
        <v>1964824857055</v>
      </c>
      <c r="Y697">
        <v>2472093913127</v>
      </c>
      <c r="Z697">
        <v>2952787567721</v>
      </c>
      <c r="AA697">
        <v>3798294314678</v>
      </c>
      <c r="AB697">
        <v>4059155000000</v>
      </c>
      <c r="AC697">
        <v>5045260802580</v>
      </c>
      <c r="AD697">
        <v>5779410112027</v>
      </c>
      <c r="AE697">
        <v>5937125606100</v>
      </c>
      <c r="AF697" t="s">
        <v>34</v>
      </c>
      <c r="AG697">
        <f t="shared" si="24"/>
        <v>1973513869793.1499</v>
      </c>
    </row>
    <row r="698" spans="1:33" x14ac:dyDescent="0.3">
      <c r="A698" t="s">
        <v>513</v>
      </c>
      <c r="B698" s="1" t="s">
        <v>514</v>
      </c>
      <c r="C698" t="s">
        <v>102</v>
      </c>
      <c r="D698" s="1" t="s">
        <v>103</v>
      </c>
      <c r="E698">
        <v>91150000000</v>
      </c>
      <c r="F698" t="s">
        <v>34</v>
      </c>
      <c r="G698" t="s">
        <v>34</v>
      </c>
      <c r="H698">
        <v>163690000000</v>
      </c>
      <c r="I698">
        <v>179980000000</v>
      </c>
      <c r="J698" t="s">
        <v>34</v>
      </c>
      <c r="K698" t="s">
        <v>34</v>
      </c>
      <c r="L698" t="s">
        <v>34</v>
      </c>
      <c r="M698" t="s">
        <v>34</v>
      </c>
      <c r="N698" t="s">
        <v>34</v>
      </c>
      <c r="O698" t="s">
        <v>34</v>
      </c>
      <c r="P698" t="s">
        <v>34</v>
      </c>
      <c r="Q698" t="s">
        <v>34</v>
      </c>
      <c r="R698" t="s">
        <v>34</v>
      </c>
      <c r="S698" t="s">
        <v>34</v>
      </c>
      <c r="T698" t="s">
        <v>34</v>
      </c>
      <c r="U698" t="s">
        <v>34</v>
      </c>
      <c r="V698">
        <v>602719000000</v>
      </c>
      <c r="W698">
        <v>659978000000</v>
      </c>
      <c r="X698">
        <v>742900000000</v>
      </c>
      <c r="Y698">
        <v>816800000000</v>
      </c>
      <c r="Z698">
        <v>712400000000</v>
      </c>
      <c r="AA698">
        <v>641100000000</v>
      </c>
      <c r="AB698">
        <v>729924633711</v>
      </c>
      <c r="AC698">
        <v>762412572049</v>
      </c>
      <c r="AD698">
        <v>763182478548</v>
      </c>
      <c r="AE698">
        <v>770814527596</v>
      </c>
      <c r="AF698" t="s">
        <v>34</v>
      </c>
      <c r="AG698">
        <f t="shared" si="24"/>
        <v>587465477838.76929</v>
      </c>
    </row>
    <row r="699" spans="1:33" x14ac:dyDescent="0.3">
      <c r="A699" t="s">
        <v>513</v>
      </c>
      <c r="B699" s="1" t="s">
        <v>514</v>
      </c>
      <c r="C699" t="s">
        <v>104</v>
      </c>
      <c r="D699" s="1" t="s">
        <v>105</v>
      </c>
      <c r="E699">
        <v>79088000000</v>
      </c>
      <c r="F699">
        <v>86962000000</v>
      </c>
      <c r="G699">
        <v>97176000000</v>
      </c>
      <c r="H699">
        <v>102531000000</v>
      </c>
      <c r="I699">
        <v>111940000000</v>
      </c>
      <c r="J699">
        <v>126021000000</v>
      </c>
      <c r="K699">
        <v>122455000000</v>
      </c>
      <c r="L699">
        <v>116384000000</v>
      </c>
      <c r="M699">
        <v>120839000000</v>
      </c>
      <c r="N699">
        <v>131626000000</v>
      </c>
      <c r="O699">
        <v>140467000000</v>
      </c>
      <c r="P699">
        <v>151477000000</v>
      </c>
      <c r="Q699">
        <v>162310000000</v>
      </c>
      <c r="R699">
        <v>161614000000</v>
      </c>
      <c r="S699">
        <v>148853000000</v>
      </c>
      <c r="T699">
        <v>148935000000</v>
      </c>
      <c r="U699">
        <v>162023000000</v>
      </c>
      <c r="V699">
        <v>165331000000</v>
      </c>
      <c r="W699">
        <v>171886000000</v>
      </c>
      <c r="X699">
        <v>183637000000</v>
      </c>
      <c r="Y699">
        <v>192392000000</v>
      </c>
      <c r="Z699">
        <v>197245000000</v>
      </c>
      <c r="AA699">
        <v>210482000000</v>
      </c>
      <c r="AB699">
        <v>229331000000</v>
      </c>
      <c r="AC699">
        <v>231192000000</v>
      </c>
      <c r="AD699">
        <v>239326000000</v>
      </c>
      <c r="AE699">
        <v>262781000000</v>
      </c>
      <c r="AF699">
        <v>282254000000</v>
      </c>
      <c r="AG699">
        <f t="shared" si="24"/>
        <v>162019928571.42856</v>
      </c>
    </row>
    <row r="700" spans="1:33" x14ac:dyDescent="0.3">
      <c r="A700" t="s">
        <v>513</v>
      </c>
      <c r="B700" s="1" t="s">
        <v>514</v>
      </c>
      <c r="C700" t="s">
        <v>106</v>
      </c>
      <c r="D700" s="1" t="s">
        <v>107</v>
      </c>
      <c r="E700" t="s">
        <v>34</v>
      </c>
      <c r="F700" t="s">
        <v>34</v>
      </c>
      <c r="G700" t="s">
        <v>34</v>
      </c>
      <c r="H700" t="s">
        <v>34</v>
      </c>
      <c r="I700" t="s">
        <v>34</v>
      </c>
      <c r="J700" t="s">
        <v>34</v>
      </c>
      <c r="K700" t="s">
        <v>34</v>
      </c>
      <c r="L700" t="s">
        <v>34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34</v>
      </c>
      <c r="V700" t="s">
        <v>34</v>
      </c>
      <c r="W700" t="s">
        <v>34</v>
      </c>
      <c r="X700" t="s">
        <v>34</v>
      </c>
      <c r="Y700" t="s">
        <v>34</v>
      </c>
      <c r="Z700" t="s">
        <v>34</v>
      </c>
      <c r="AA700" t="s">
        <v>34</v>
      </c>
      <c r="AB700" t="s">
        <v>34</v>
      </c>
      <c r="AC700" t="s">
        <v>34</v>
      </c>
      <c r="AD700" t="s">
        <v>34</v>
      </c>
      <c r="AE700" t="s">
        <v>34</v>
      </c>
      <c r="AF700" t="s">
        <v>34</v>
      </c>
      <c r="AG700" t="str">
        <f t="shared" si="24"/>
        <v>NA</v>
      </c>
    </row>
    <row r="701" spans="1:33" x14ac:dyDescent="0.3">
      <c r="A701" t="s">
        <v>513</v>
      </c>
      <c r="B701" s="1" t="s">
        <v>514</v>
      </c>
      <c r="C701" t="s">
        <v>108</v>
      </c>
      <c r="D701" s="1" t="s">
        <v>109</v>
      </c>
      <c r="E701" t="s">
        <v>34</v>
      </c>
      <c r="F701" t="s">
        <v>34</v>
      </c>
      <c r="G701" t="s">
        <v>34</v>
      </c>
      <c r="H701" t="s">
        <v>34</v>
      </c>
      <c r="I701" t="s">
        <v>34</v>
      </c>
      <c r="J701" t="s">
        <v>34</v>
      </c>
      <c r="K701" t="s">
        <v>34</v>
      </c>
      <c r="L701" t="s">
        <v>34</v>
      </c>
      <c r="M701" t="s">
        <v>34</v>
      </c>
      <c r="N701">
        <v>9429000000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34</v>
      </c>
      <c r="V701" t="s">
        <v>34</v>
      </c>
      <c r="W701" t="s">
        <v>34</v>
      </c>
      <c r="X701" t="s">
        <v>34</v>
      </c>
      <c r="Y701" t="s">
        <v>34</v>
      </c>
      <c r="Z701" t="s">
        <v>34</v>
      </c>
      <c r="AA701" t="s">
        <v>34</v>
      </c>
      <c r="AB701" t="s">
        <v>34</v>
      </c>
      <c r="AC701">
        <v>32961332840</v>
      </c>
      <c r="AD701">
        <v>21583050147</v>
      </c>
      <c r="AE701">
        <v>21460771521</v>
      </c>
      <c r="AF701" t="s">
        <v>34</v>
      </c>
      <c r="AG701">
        <f t="shared" si="24"/>
        <v>21358538627</v>
      </c>
    </row>
    <row r="702" spans="1:33" x14ac:dyDescent="0.3">
      <c r="A702" t="s">
        <v>513</v>
      </c>
      <c r="B702" s="1" t="s">
        <v>514</v>
      </c>
      <c r="C702" t="s">
        <v>110</v>
      </c>
      <c r="D702" s="1" t="s">
        <v>111</v>
      </c>
      <c r="E702" t="s">
        <v>34</v>
      </c>
      <c r="F702" t="s">
        <v>34</v>
      </c>
      <c r="G702" t="s">
        <v>34</v>
      </c>
      <c r="H702" t="s">
        <v>34</v>
      </c>
      <c r="I702" t="s">
        <v>34</v>
      </c>
      <c r="J702" t="s">
        <v>34</v>
      </c>
      <c r="K702" t="s">
        <v>34</v>
      </c>
      <c r="L702" t="s">
        <v>34</v>
      </c>
      <c r="M702" t="s">
        <v>34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34</v>
      </c>
      <c r="V702" t="s">
        <v>34</v>
      </c>
      <c r="W702" t="s">
        <v>34</v>
      </c>
      <c r="X702" t="s">
        <v>34</v>
      </c>
      <c r="Y702" t="s">
        <v>34</v>
      </c>
      <c r="Z702" t="s">
        <v>34</v>
      </c>
      <c r="AA702" t="s">
        <v>34</v>
      </c>
      <c r="AB702" t="s">
        <v>34</v>
      </c>
      <c r="AC702" t="s">
        <v>34</v>
      </c>
      <c r="AD702" t="s">
        <v>34</v>
      </c>
      <c r="AE702" t="s">
        <v>34</v>
      </c>
      <c r="AF702" t="s">
        <v>34</v>
      </c>
      <c r="AG702" t="str">
        <f t="shared" si="24"/>
        <v>NA</v>
      </c>
    </row>
    <row r="703" spans="1:33" x14ac:dyDescent="0.3">
      <c r="A703" t="s">
        <v>513</v>
      </c>
      <c r="B703" s="1" t="s">
        <v>514</v>
      </c>
      <c r="C703" t="s">
        <v>112</v>
      </c>
      <c r="D703" s="1" t="s">
        <v>113</v>
      </c>
      <c r="E703" t="s">
        <v>34</v>
      </c>
      <c r="F703" t="s">
        <v>34</v>
      </c>
      <c r="G703" t="s">
        <v>34</v>
      </c>
      <c r="H703" t="s">
        <v>34</v>
      </c>
      <c r="I703" t="s">
        <v>34</v>
      </c>
      <c r="J703" t="s">
        <v>34</v>
      </c>
      <c r="K703" t="s">
        <v>34</v>
      </c>
      <c r="L703" t="s">
        <v>34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34</v>
      </c>
      <c r="U703" t="s">
        <v>34</v>
      </c>
      <c r="V703" t="s">
        <v>34</v>
      </c>
      <c r="W703" t="s">
        <v>34</v>
      </c>
      <c r="X703" t="s">
        <v>34</v>
      </c>
      <c r="Y703" t="s">
        <v>34</v>
      </c>
      <c r="Z703" t="s">
        <v>34</v>
      </c>
      <c r="AA703" t="s">
        <v>34</v>
      </c>
      <c r="AB703" t="s">
        <v>34</v>
      </c>
      <c r="AC703" t="s">
        <v>34</v>
      </c>
      <c r="AD703" t="s">
        <v>34</v>
      </c>
      <c r="AE703" t="s">
        <v>34</v>
      </c>
      <c r="AF703" t="s">
        <v>34</v>
      </c>
      <c r="AG703" t="str">
        <f t="shared" si="24"/>
        <v>NA</v>
      </c>
    </row>
    <row r="704" spans="1:33" x14ac:dyDescent="0.3">
      <c r="A704" t="s">
        <v>513</v>
      </c>
      <c r="B704" s="1" t="s">
        <v>514</v>
      </c>
      <c r="C704" t="s">
        <v>114</v>
      </c>
      <c r="D704" s="1" t="s">
        <v>115</v>
      </c>
      <c r="E704">
        <v>998180000000</v>
      </c>
      <c r="F704">
        <v>1227490000000</v>
      </c>
      <c r="G704">
        <v>1302360000000</v>
      </c>
      <c r="H704">
        <v>1431400000000</v>
      </c>
      <c r="I704">
        <v>1312200000000</v>
      </c>
      <c r="J704">
        <v>1911690000000</v>
      </c>
      <c r="K704">
        <v>1964920000000</v>
      </c>
      <c r="L704">
        <v>2211660000000</v>
      </c>
      <c r="M704">
        <v>2484550000000</v>
      </c>
      <c r="N704">
        <v>3432700000000</v>
      </c>
      <c r="O704">
        <v>5171000000000</v>
      </c>
      <c r="P704">
        <v>8198000000000</v>
      </c>
      <c r="Q704">
        <v>9412090000000</v>
      </c>
      <c r="R704">
        <v>6697719000000</v>
      </c>
      <c r="S704">
        <v>5162042940717.1396</v>
      </c>
      <c r="T704">
        <v>6500790476286.3398</v>
      </c>
      <c r="U704">
        <v>7483934781559.7695</v>
      </c>
      <c r="V704">
        <v>8724434666099.79</v>
      </c>
      <c r="W704">
        <v>8269540000000</v>
      </c>
      <c r="X704">
        <v>8832128846690.4297</v>
      </c>
      <c r="Y704">
        <v>10007505024509</v>
      </c>
      <c r="Z704">
        <v>11919812698150</v>
      </c>
      <c r="AA704">
        <v>13887298000000</v>
      </c>
      <c r="AB704">
        <v>15412446681421.301</v>
      </c>
      <c r="AC704">
        <v>14243706600560</v>
      </c>
      <c r="AD704">
        <v>11483034871680</v>
      </c>
      <c r="AE704">
        <v>18626968017230</v>
      </c>
      <c r="AF704" t="s">
        <v>34</v>
      </c>
      <c r="AG704">
        <f t="shared" si="24"/>
        <v>6974429726107.5479</v>
      </c>
    </row>
    <row r="705" spans="1:33" x14ac:dyDescent="0.3">
      <c r="A705" t="s">
        <v>513</v>
      </c>
      <c r="B705" s="1" t="s">
        <v>514</v>
      </c>
      <c r="C705" t="s">
        <v>116</v>
      </c>
      <c r="D705" s="1" t="s">
        <v>117</v>
      </c>
      <c r="E705" t="s">
        <v>34</v>
      </c>
      <c r="F705" t="s">
        <v>34</v>
      </c>
      <c r="G705" t="s">
        <v>34</v>
      </c>
      <c r="H705" t="s">
        <v>34</v>
      </c>
      <c r="I705" t="s">
        <v>34</v>
      </c>
      <c r="J705" t="s">
        <v>34</v>
      </c>
      <c r="K705" t="s">
        <v>34</v>
      </c>
      <c r="L705" t="s">
        <v>34</v>
      </c>
      <c r="M705" t="s">
        <v>34</v>
      </c>
      <c r="N705" t="s">
        <v>34</v>
      </c>
      <c r="O705">
        <v>446096510000</v>
      </c>
      <c r="P705">
        <v>565270000000</v>
      </c>
      <c r="Q705">
        <v>755876560000</v>
      </c>
      <c r="R705">
        <v>940778000000</v>
      </c>
      <c r="S705">
        <v>998589954400</v>
      </c>
      <c r="T705">
        <v>1069814500000</v>
      </c>
      <c r="U705">
        <v>1365643000000</v>
      </c>
      <c r="V705">
        <v>1557560000000</v>
      </c>
      <c r="W705">
        <v>1836283740000</v>
      </c>
      <c r="X705">
        <v>2023958310000</v>
      </c>
      <c r="Y705">
        <v>2281059960000</v>
      </c>
      <c r="Z705">
        <v>2476984030000</v>
      </c>
      <c r="AA705">
        <v>2760352730700</v>
      </c>
      <c r="AB705">
        <v>3056652616500</v>
      </c>
      <c r="AC705">
        <v>3002020930000</v>
      </c>
      <c r="AD705">
        <v>3019852280000</v>
      </c>
      <c r="AE705">
        <v>3500133630000</v>
      </c>
      <c r="AF705" t="s">
        <v>34</v>
      </c>
      <c r="AG705">
        <f t="shared" si="24"/>
        <v>1862172161858.8235</v>
      </c>
    </row>
    <row r="706" spans="1:33" x14ac:dyDescent="0.3">
      <c r="A706" t="s">
        <v>513</v>
      </c>
      <c r="B706" s="1" t="s">
        <v>514</v>
      </c>
      <c r="C706" t="s">
        <v>118</v>
      </c>
      <c r="D706" s="1" t="s">
        <v>119</v>
      </c>
      <c r="E706" t="s">
        <v>34</v>
      </c>
      <c r="F706" t="s">
        <v>34</v>
      </c>
      <c r="G706" t="s">
        <v>34</v>
      </c>
      <c r="H706">
        <v>6109152000000</v>
      </c>
      <c r="I706">
        <v>6409510569746.8604</v>
      </c>
      <c r="J706">
        <v>7505021762874.5498</v>
      </c>
      <c r="K706" t="s">
        <v>34</v>
      </c>
      <c r="L706" t="s">
        <v>34</v>
      </c>
      <c r="M706">
        <v>13057762156006.801</v>
      </c>
      <c r="N706" t="s">
        <v>34</v>
      </c>
      <c r="O706" t="s">
        <v>34</v>
      </c>
      <c r="P706" t="s">
        <v>34</v>
      </c>
      <c r="Q706" t="s">
        <v>34</v>
      </c>
      <c r="R706">
        <v>19757140000000</v>
      </c>
      <c r="S706">
        <v>23061140000000</v>
      </c>
      <c r="T706">
        <v>20539039000000</v>
      </c>
      <c r="U706">
        <v>23354949000000</v>
      </c>
      <c r="V706">
        <v>33447065000000</v>
      </c>
      <c r="W706">
        <v>33978556000000</v>
      </c>
      <c r="X706">
        <v>50855164918230.398</v>
      </c>
      <c r="Y706">
        <v>53333034058020.398</v>
      </c>
      <c r="Z706">
        <v>55110004336646.898</v>
      </c>
      <c r="AA706">
        <v>65018537144583</v>
      </c>
      <c r="AB706">
        <v>71023407935127.203</v>
      </c>
      <c r="AC706">
        <v>68615189545312.203</v>
      </c>
      <c r="AD706">
        <v>62988974955670.602</v>
      </c>
      <c r="AE706">
        <v>74778052574742.797</v>
      </c>
      <c r="AF706">
        <v>98042735822118.906</v>
      </c>
      <c r="AG706">
        <f t="shared" si="24"/>
        <v>41420233514688.445</v>
      </c>
    </row>
    <row r="707" spans="1:33" x14ac:dyDescent="0.3">
      <c r="A707" t="s">
        <v>513</v>
      </c>
      <c r="B707" s="1" t="s">
        <v>514</v>
      </c>
      <c r="C707" t="s">
        <v>120</v>
      </c>
      <c r="D707" s="1" t="s">
        <v>121</v>
      </c>
      <c r="E707" t="s">
        <v>34</v>
      </c>
      <c r="F707" t="s">
        <v>34</v>
      </c>
      <c r="G707" t="s">
        <v>34</v>
      </c>
      <c r="H707" t="s">
        <v>34</v>
      </c>
      <c r="I707" t="s">
        <v>34</v>
      </c>
      <c r="J707" t="s">
        <v>34</v>
      </c>
      <c r="K707" t="s">
        <v>34</v>
      </c>
      <c r="L707" t="s">
        <v>34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34</v>
      </c>
      <c r="V707" t="s">
        <v>34</v>
      </c>
      <c r="W707" t="s">
        <v>34</v>
      </c>
      <c r="X707" t="s">
        <v>34</v>
      </c>
      <c r="Y707" t="s">
        <v>34</v>
      </c>
      <c r="Z707" t="s">
        <v>34</v>
      </c>
      <c r="AA707" t="s">
        <v>34</v>
      </c>
      <c r="AB707" t="s">
        <v>34</v>
      </c>
      <c r="AC707" t="s">
        <v>34</v>
      </c>
      <c r="AD707" t="s">
        <v>34</v>
      </c>
      <c r="AE707" t="s">
        <v>34</v>
      </c>
      <c r="AF707" t="s">
        <v>34</v>
      </c>
      <c r="AG707" t="str">
        <f t="shared" si="24"/>
        <v>NA</v>
      </c>
    </row>
    <row r="708" spans="1:33" x14ac:dyDescent="0.3">
      <c r="A708" t="s">
        <v>513</v>
      </c>
      <c r="B708" s="1" t="s">
        <v>514</v>
      </c>
      <c r="C708" t="s">
        <v>122</v>
      </c>
      <c r="D708" s="1" t="s">
        <v>123</v>
      </c>
      <c r="E708" t="s">
        <v>34</v>
      </c>
      <c r="F708" t="s">
        <v>34</v>
      </c>
      <c r="G708" t="s">
        <v>34</v>
      </c>
      <c r="H708" t="s">
        <v>34</v>
      </c>
      <c r="I708" t="s">
        <v>34</v>
      </c>
      <c r="J708" t="s">
        <v>34</v>
      </c>
      <c r="K708" t="s">
        <v>34</v>
      </c>
      <c r="L708" t="s">
        <v>34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34</v>
      </c>
      <c r="V708" t="s">
        <v>34</v>
      </c>
      <c r="W708" t="s">
        <v>34</v>
      </c>
      <c r="X708" t="s">
        <v>34</v>
      </c>
      <c r="Y708" t="s">
        <v>34</v>
      </c>
      <c r="Z708" t="s">
        <v>34</v>
      </c>
      <c r="AA708" t="s">
        <v>34</v>
      </c>
      <c r="AB708" t="s">
        <v>34</v>
      </c>
      <c r="AC708" t="s">
        <v>34</v>
      </c>
      <c r="AD708" t="s">
        <v>34</v>
      </c>
      <c r="AE708" t="s">
        <v>34</v>
      </c>
      <c r="AF708" t="s">
        <v>34</v>
      </c>
      <c r="AG708" t="str">
        <f t="shared" si="24"/>
        <v>NA</v>
      </c>
    </row>
    <row r="709" spans="1:33" x14ac:dyDescent="0.3">
      <c r="A709" t="s">
        <v>513</v>
      </c>
      <c r="B709" s="1" t="s">
        <v>514</v>
      </c>
      <c r="C709" t="s">
        <v>124</v>
      </c>
      <c r="D709" s="1" t="s">
        <v>125</v>
      </c>
      <c r="E709" t="s">
        <v>34</v>
      </c>
      <c r="F709" t="s">
        <v>34</v>
      </c>
      <c r="G709" t="s">
        <v>34</v>
      </c>
      <c r="H709" t="s">
        <v>34</v>
      </c>
      <c r="I709" t="s">
        <v>34</v>
      </c>
      <c r="J709" t="s">
        <v>34</v>
      </c>
      <c r="K709" t="s">
        <v>34</v>
      </c>
      <c r="L709" t="s">
        <v>34</v>
      </c>
      <c r="M709">
        <v>25300000000</v>
      </c>
      <c r="N709">
        <v>58316499216</v>
      </c>
      <c r="O709">
        <v>64318896983</v>
      </c>
      <c r="P709">
        <v>73000000000</v>
      </c>
      <c r="Q709">
        <v>85810000000</v>
      </c>
      <c r="R709">
        <v>115192000000</v>
      </c>
      <c r="S709">
        <v>135177000000</v>
      </c>
      <c r="T709">
        <v>174864000000</v>
      </c>
      <c r="U709">
        <v>219047800661</v>
      </c>
      <c r="V709">
        <v>249584447829</v>
      </c>
      <c r="W709">
        <v>294900486037</v>
      </c>
      <c r="X709">
        <v>330351389333</v>
      </c>
      <c r="Y709">
        <v>383067300000</v>
      </c>
      <c r="Z709">
        <v>352336300000</v>
      </c>
      <c r="AA709">
        <v>300878823105</v>
      </c>
      <c r="AB709">
        <v>224676511799</v>
      </c>
      <c r="AC709">
        <v>218365152629</v>
      </c>
      <c r="AD709">
        <v>201396090648</v>
      </c>
      <c r="AE709" t="s">
        <v>34</v>
      </c>
      <c r="AF709" t="s">
        <v>34</v>
      </c>
      <c r="AG709">
        <f t="shared" si="24"/>
        <v>194810149902.22223</v>
      </c>
    </row>
    <row r="710" spans="1:33" x14ac:dyDescent="0.3">
      <c r="A710" t="s">
        <v>513</v>
      </c>
      <c r="B710" s="1" t="s">
        <v>514</v>
      </c>
      <c r="C710" t="s">
        <v>126</v>
      </c>
      <c r="D710" s="1" t="s">
        <v>127</v>
      </c>
      <c r="E710">
        <v>47170000000</v>
      </c>
      <c r="F710">
        <v>54000000000</v>
      </c>
      <c r="G710">
        <v>66300000000</v>
      </c>
      <c r="H710">
        <v>88590000000</v>
      </c>
      <c r="I710">
        <v>131930000000</v>
      </c>
      <c r="J710">
        <v>133100000000</v>
      </c>
      <c r="K710">
        <v>163100000000</v>
      </c>
      <c r="L710">
        <v>185650000000</v>
      </c>
      <c r="M710">
        <v>233100000000</v>
      </c>
      <c r="N710">
        <v>268040000000</v>
      </c>
      <c r="O710">
        <v>323590000000</v>
      </c>
      <c r="P710">
        <v>394105521644.57001</v>
      </c>
      <c r="Q710">
        <v>531551766603.92999</v>
      </c>
      <c r="R710">
        <v>689224637114.30005</v>
      </c>
      <c r="S710">
        <v>687420234392.79004</v>
      </c>
      <c r="T710">
        <v>748093582768.08997</v>
      </c>
      <c r="U710">
        <v>784402992336.38</v>
      </c>
      <c r="V710">
        <v>838828017538.33997</v>
      </c>
      <c r="W710">
        <v>939129000000</v>
      </c>
      <c r="X710">
        <v>1011228856656.72</v>
      </c>
      <c r="Y710">
        <v>1136009117407.72</v>
      </c>
      <c r="Z710">
        <v>1262081367188.97</v>
      </c>
      <c r="AA710">
        <v>1395551897541.6201</v>
      </c>
      <c r="AB710">
        <v>1519724340441.23</v>
      </c>
      <c r="AC710">
        <v>1661670999227.9199</v>
      </c>
      <c r="AD710">
        <v>1471906706388.78</v>
      </c>
      <c r="AE710">
        <v>1870773080447.6201</v>
      </c>
      <c r="AF710" t="s">
        <v>34</v>
      </c>
      <c r="AG710">
        <f t="shared" si="24"/>
        <v>690232300655.51782</v>
      </c>
    </row>
    <row r="711" spans="1:33" x14ac:dyDescent="0.3">
      <c r="A711" t="s">
        <v>513</v>
      </c>
      <c r="B711" s="1" t="s">
        <v>514</v>
      </c>
      <c r="C711" t="s">
        <v>128</v>
      </c>
      <c r="D711" s="1" t="s">
        <v>129</v>
      </c>
      <c r="E711">
        <v>173200000000</v>
      </c>
      <c r="F711" t="s">
        <v>34</v>
      </c>
      <c r="G711" t="s">
        <v>34</v>
      </c>
      <c r="H711" t="s">
        <v>34</v>
      </c>
      <c r="I711" t="s">
        <v>34</v>
      </c>
      <c r="J711" t="s">
        <v>34</v>
      </c>
      <c r="K711">
        <v>140600000000</v>
      </c>
      <c r="L711">
        <v>136200000000</v>
      </c>
      <c r="M711">
        <v>247100000000</v>
      </c>
      <c r="N711">
        <v>249000000000</v>
      </c>
      <c r="O711">
        <v>325600000000</v>
      </c>
      <c r="P711">
        <v>380540000000</v>
      </c>
      <c r="Q711">
        <v>428800000000</v>
      </c>
      <c r="R711">
        <v>491000000000</v>
      </c>
      <c r="S711">
        <v>424736000000</v>
      </c>
      <c r="T711">
        <v>423500000000</v>
      </c>
      <c r="U711">
        <v>347000000000</v>
      </c>
      <c r="V711">
        <v>497533000000</v>
      </c>
      <c r="W711">
        <v>611471000000</v>
      </c>
      <c r="X711">
        <v>635527378048</v>
      </c>
      <c r="Y711">
        <v>751304506763.98499</v>
      </c>
      <c r="Z711">
        <v>811393376427.87305</v>
      </c>
      <c r="AA711">
        <v>905532774701.01001</v>
      </c>
      <c r="AB711">
        <v>1047241206428.41</v>
      </c>
      <c r="AC711">
        <v>1071175068857.84</v>
      </c>
      <c r="AD711">
        <v>1113803079171.3999</v>
      </c>
      <c r="AE711">
        <v>1284557465325.24</v>
      </c>
      <c r="AF711" t="s">
        <v>34</v>
      </c>
      <c r="AG711">
        <f t="shared" si="24"/>
        <v>568037038896.53442</v>
      </c>
    </row>
    <row r="712" spans="1:33" x14ac:dyDescent="0.3">
      <c r="A712" t="s">
        <v>513</v>
      </c>
      <c r="B712" s="1" t="s">
        <v>514</v>
      </c>
      <c r="C712" t="s">
        <v>130</v>
      </c>
      <c r="D712" s="1" t="s">
        <v>131</v>
      </c>
      <c r="E712">
        <v>598137000</v>
      </c>
      <c r="F712">
        <v>728399000</v>
      </c>
      <c r="G712">
        <v>781402000</v>
      </c>
      <c r="H712">
        <v>978996000</v>
      </c>
      <c r="I712">
        <v>920706000</v>
      </c>
      <c r="J712">
        <v>765597000</v>
      </c>
      <c r="K712">
        <v>715583000</v>
      </c>
      <c r="L712">
        <v>853099000</v>
      </c>
      <c r="M712">
        <v>902029000</v>
      </c>
      <c r="N712">
        <v>921322000</v>
      </c>
      <c r="O712">
        <v>1061612000</v>
      </c>
      <c r="P712">
        <v>1307726000</v>
      </c>
      <c r="Q712">
        <v>1580908000</v>
      </c>
      <c r="R712">
        <v>1609234000</v>
      </c>
      <c r="S712">
        <v>1490741000</v>
      </c>
      <c r="T712">
        <v>1292628000</v>
      </c>
      <c r="U712">
        <v>1248618000</v>
      </c>
      <c r="V712">
        <v>1047117000</v>
      </c>
      <c r="W712">
        <v>1099227000</v>
      </c>
      <c r="X712">
        <v>979659000</v>
      </c>
      <c r="Y712">
        <v>1169089000</v>
      </c>
      <c r="Z712">
        <v>1365140000</v>
      </c>
      <c r="AA712">
        <v>1412482000</v>
      </c>
      <c r="AB712">
        <v>1207674000</v>
      </c>
      <c r="AC712">
        <v>1310665000</v>
      </c>
      <c r="AD712">
        <v>1182382000</v>
      </c>
      <c r="AE712">
        <v>1249620000</v>
      </c>
      <c r="AF712" t="s">
        <v>34</v>
      </c>
      <c r="AG712">
        <f t="shared" si="24"/>
        <v>1102955259.2592592</v>
      </c>
    </row>
    <row r="713" spans="1:33" x14ac:dyDescent="0.3">
      <c r="A713" t="s">
        <v>513</v>
      </c>
      <c r="B713" s="1" t="s">
        <v>514</v>
      </c>
      <c r="C713" t="s">
        <v>132</v>
      </c>
      <c r="D713" s="1" t="s">
        <v>133</v>
      </c>
      <c r="E713" t="s">
        <v>34</v>
      </c>
      <c r="F713" t="s">
        <v>34</v>
      </c>
      <c r="G713" t="s">
        <v>34</v>
      </c>
      <c r="H713" t="s">
        <v>34</v>
      </c>
      <c r="I713" t="s">
        <v>34</v>
      </c>
      <c r="J713" t="s">
        <v>34</v>
      </c>
      <c r="K713" t="s">
        <v>34</v>
      </c>
      <c r="L713" t="s">
        <v>34</v>
      </c>
      <c r="M713" t="s">
        <v>34</v>
      </c>
      <c r="N713" t="s">
        <v>34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  <c r="U713" t="s">
        <v>34</v>
      </c>
      <c r="V713" t="s">
        <v>34</v>
      </c>
      <c r="W713" t="s">
        <v>34</v>
      </c>
      <c r="X713" t="s">
        <v>34</v>
      </c>
      <c r="Y713" t="s">
        <v>34</v>
      </c>
      <c r="Z713" t="s">
        <v>34</v>
      </c>
      <c r="AA713" t="s">
        <v>34</v>
      </c>
      <c r="AB713" t="s">
        <v>34</v>
      </c>
      <c r="AC713" t="s">
        <v>34</v>
      </c>
      <c r="AD713" t="s">
        <v>34</v>
      </c>
      <c r="AE713" t="s">
        <v>34</v>
      </c>
      <c r="AF713" t="s">
        <v>34</v>
      </c>
      <c r="AG713" t="str">
        <f t="shared" si="24"/>
        <v>NA</v>
      </c>
    </row>
    <row r="714" spans="1:33" x14ac:dyDescent="0.3">
      <c r="A714" t="s">
        <v>513</v>
      </c>
      <c r="B714" s="1" t="s">
        <v>514</v>
      </c>
      <c r="C714" t="s">
        <v>134</v>
      </c>
      <c r="D714" s="1" t="s">
        <v>135</v>
      </c>
      <c r="E714" t="s">
        <v>34</v>
      </c>
      <c r="F714" t="s">
        <v>34</v>
      </c>
      <c r="G714" t="s">
        <v>34</v>
      </c>
      <c r="H714" t="s">
        <v>34</v>
      </c>
      <c r="I714" t="s">
        <v>34</v>
      </c>
      <c r="J714" t="s">
        <v>34</v>
      </c>
      <c r="K714" t="s">
        <v>34</v>
      </c>
      <c r="L714" t="s">
        <v>34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  <c r="U714" t="s">
        <v>34</v>
      </c>
      <c r="V714" t="s">
        <v>34</v>
      </c>
      <c r="W714" t="s">
        <v>34</v>
      </c>
      <c r="X714" t="s">
        <v>34</v>
      </c>
      <c r="Y714" t="s">
        <v>34</v>
      </c>
      <c r="Z714" t="s">
        <v>34</v>
      </c>
      <c r="AA714" t="s">
        <v>34</v>
      </c>
      <c r="AB714" t="s">
        <v>34</v>
      </c>
      <c r="AC714" t="s">
        <v>34</v>
      </c>
      <c r="AD714" t="s">
        <v>34</v>
      </c>
      <c r="AE714" t="s">
        <v>34</v>
      </c>
      <c r="AF714" t="s">
        <v>34</v>
      </c>
      <c r="AG714" t="str">
        <f t="shared" si="24"/>
        <v>NA</v>
      </c>
    </row>
    <row r="715" spans="1:33" x14ac:dyDescent="0.3">
      <c r="A715" t="s">
        <v>513</v>
      </c>
      <c r="B715" s="1" t="s">
        <v>514</v>
      </c>
      <c r="C715" t="s">
        <v>136</v>
      </c>
      <c r="D715" s="1" t="s">
        <v>137</v>
      </c>
      <c r="E715">
        <v>979882926.62923694</v>
      </c>
      <c r="F715">
        <v>984837870.80922782</v>
      </c>
      <c r="G715">
        <v>1044126340.8249812</v>
      </c>
      <c r="H715">
        <v>1240444646.4391038</v>
      </c>
      <c r="I715">
        <v>1480332288.8083189</v>
      </c>
      <c r="J715">
        <v>1672549950.9631388</v>
      </c>
      <c r="K715">
        <v>1824786339.389756</v>
      </c>
      <c r="L715">
        <v>1891592655.7475646</v>
      </c>
      <c r="M715">
        <v>1682288979.178983</v>
      </c>
      <c r="N715">
        <v>1486654114.1414108</v>
      </c>
      <c r="O715">
        <v>1858616647.9290044</v>
      </c>
      <c r="P715">
        <v>2402464486.7190413</v>
      </c>
      <c r="Q715">
        <v>3433434596.445426</v>
      </c>
      <c r="R715">
        <v>3471536408.5881147</v>
      </c>
      <c r="S715">
        <v>1717400000</v>
      </c>
      <c r="T715">
        <v>1742700000</v>
      </c>
      <c r="U715">
        <v>1921900000</v>
      </c>
      <c r="V715">
        <v>1836000000</v>
      </c>
      <c r="W715">
        <v>1711400000</v>
      </c>
      <c r="X715">
        <v>1635700000</v>
      </c>
      <c r="Y715">
        <v>1589500000</v>
      </c>
      <c r="Z715">
        <v>1633900000</v>
      </c>
      <c r="AA715">
        <v>1833300000</v>
      </c>
      <c r="AB715">
        <v>1962600000</v>
      </c>
      <c r="AC715">
        <v>2061100000</v>
      </c>
      <c r="AD715">
        <v>2014200000</v>
      </c>
      <c r="AE715">
        <v>2403500000</v>
      </c>
      <c r="AF715" t="s">
        <v>34</v>
      </c>
      <c r="AG715">
        <f t="shared" si="24"/>
        <v>1833953638.9856782</v>
      </c>
    </row>
    <row r="716" spans="1:33" x14ac:dyDescent="0.3">
      <c r="A716" t="s">
        <v>513</v>
      </c>
      <c r="B716" s="1" t="s">
        <v>514</v>
      </c>
      <c r="C716" t="s">
        <v>138</v>
      </c>
      <c r="D716" s="1" t="s">
        <v>139</v>
      </c>
      <c r="E716">
        <v>79376000000</v>
      </c>
      <c r="F716">
        <v>74843000000</v>
      </c>
      <c r="G716">
        <v>87051000000</v>
      </c>
      <c r="H716">
        <v>88789000000</v>
      </c>
      <c r="I716">
        <v>91799000000</v>
      </c>
      <c r="J716">
        <v>93938000000</v>
      </c>
      <c r="K716">
        <v>149435000000</v>
      </c>
      <c r="L716">
        <v>158907000000</v>
      </c>
      <c r="M716">
        <v>175508000000</v>
      </c>
      <c r="N716">
        <v>190958000000</v>
      </c>
      <c r="O716">
        <v>189159000000</v>
      </c>
      <c r="P716">
        <v>203874000000</v>
      </c>
      <c r="Q716">
        <v>227461000000</v>
      </c>
      <c r="R716">
        <v>214258000000</v>
      </c>
      <c r="S716">
        <v>190157000000</v>
      </c>
      <c r="T716">
        <v>185522000000</v>
      </c>
      <c r="U716">
        <v>194642000000</v>
      </c>
      <c r="V716">
        <v>196177000000</v>
      </c>
      <c r="W716">
        <v>197930000000</v>
      </c>
      <c r="X716">
        <v>212774000000</v>
      </c>
      <c r="Y716">
        <v>224742000000</v>
      </c>
      <c r="Z716">
        <v>243268000000</v>
      </c>
      <c r="AA716">
        <v>267174000000</v>
      </c>
      <c r="AB716">
        <v>295316000000</v>
      </c>
      <c r="AC716">
        <v>317633000000</v>
      </c>
      <c r="AD716">
        <v>313659000000</v>
      </c>
      <c r="AE716">
        <v>286703000000</v>
      </c>
      <c r="AF716" t="s">
        <v>34</v>
      </c>
      <c r="AG716">
        <f t="shared" si="24"/>
        <v>190779740740.74075</v>
      </c>
    </row>
    <row r="717" spans="1:33" x14ac:dyDescent="0.3">
      <c r="A717" t="s">
        <v>513</v>
      </c>
      <c r="B717" s="1" t="s">
        <v>514</v>
      </c>
      <c r="C717" t="s">
        <v>140</v>
      </c>
      <c r="D717" s="1" t="s">
        <v>141</v>
      </c>
      <c r="E717">
        <v>163370000000</v>
      </c>
      <c r="F717">
        <v>169940000000</v>
      </c>
      <c r="G717">
        <v>176287000000</v>
      </c>
      <c r="H717">
        <v>173730000000</v>
      </c>
      <c r="I717">
        <v>181679000000</v>
      </c>
      <c r="J717">
        <v>195535000000</v>
      </c>
      <c r="K717">
        <v>180678000000</v>
      </c>
      <c r="L717">
        <v>181954000000</v>
      </c>
      <c r="M717">
        <v>188464000000</v>
      </c>
      <c r="N717">
        <v>212058000000</v>
      </c>
      <c r="O717">
        <v>246503000000</v>
      </c>
      <c r="P717">
        <v>242283000000</v>
      </c>
      <c r="Q717">
        <v>300351000000</v>
      </c>
      <c r="R717">
        <v>299958000000</v>
      </c>
      <c r="S717">
        <v>286864000000</v>
      </c>
      <c r="T717">
        <v>297821000000</v>
      </c>
      <c r="U717">
        <v>301841000000</v>
      </c>
      <c r="V717">
        <v>322252000000</v>
      </c>
      <c r="W717">
        <v>338577000000</v>
      </c>
      <c r="X717">
        <v>406215000000</v>
      </c>
      <c r="Y717">
        <v>364226000000</v>
      </c>
      <c r="Z717">
        <v>364195000000</v>
      </c>
      <c r="AA717">
        <v>386030000000</v>
      </c>
      <c r="AB717">
        <v>367544000000</v>
      </c>
      <c r="AC717">
        <v>442277000000</v>
      </c>
      <c r="AD717">
        <v>432759000000</v>
      </c>
      <c r="AE717">
        <v>506314000000</v>
      </c>
      <c r="AF717" t="s">
        <v>34</v>
      </c>
      <c r="AG717">
        <f t="shared" si="24"/>
        <v>286285370370.37036</v>
      </c>
    </row>
    <row r="718" spans="1:33" x14ac:dyDescent="0.3">
      <c r="A718" t="s">
        <v>513</v>
      </c>
      <c r="B718" s="1" t="s">
        <v>514</v>
      </c>
      <c r="C718" t="s">
        <v>142</v>
      </c>
      <c r="D718" s="1" t="s">
        <v>143</v>
      </c>
      <c r="E718" t="s">
        <v>34</v>
      </c>
      <c r="F718" t="s">
        <v>34</v>
      </c>
      <c r="G718" t="s">
        <v>34</v>
      </c>
      <c r="H718" t="s">
        <v>34</v>
      </c>
      <c r="I718" t="s">
        <v>34</v>
      </c>
      <c r="J718" t="s">
        <v>34</v>
      </c>
      <c r="K718" t="s">
        <v>34</v>
      </c>
      <c r="L718" t="s">
        <v>34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34</v>
      </c>
      <c r="U718" t="s">
        <v>34</v>
      </c>
      <c r="V718" t="s">
        <v>34</v>
      </c>
      <c r="W718" t="s">
        <v>34</v>
      </c>
      <c r="X718" t="s">
        <v>34</v>
      </c>
      <c r="Y718" t="s">
        <v>34</v>
      </c>
      <c r="Z718" t="s">
        <v>34</v>
      </c>
      <c r="AA718" t="s">
        <v>34</v>
      </c>
      <c r="AB718" t="s">
        <v>34</v>
      </c>
      <c r="AC718" t="s">
        <v>34</v>
      </c>
      <c r="AD718" t="s">
        <v>34</v>
      </c>
      <c r="AE718" t="s">
        <v>34</v>
      </c>
      <c r="AF718" t="s">
        <v>34</v>
      </c>
      <c r="AG718" t="str">
        <f t="shared" si="24"/>
        <v>NA</v>
      </c>
    </row>
    <row r="719" spans="1:33" x14ac:dyDescent="0.3">
      <c r="A719" t="s">
        <v>513</v>
      </c>
      <c r="B719" s="1" t="s">
        <v>514</v>
      </c>
      <c r="C719" t="s">
        <v>144</v>
      </c>
      <c r="D719" s="1" t="s">
        <v>145</v>
      </c>
      <c r="E719" t="s">
        <v>34</v>
      </c>
      <c r="F719" t="s">
        <v>34</v>
      </c>
      <c r="G719" t="s">
        <v>34</v>
      </c>
      <c r="H719" t="s">
        <v>34</v>
      </c>
      <c r="I719" t="s">
        <v>34</v>
      </c>
      <c r="J719" t="s">
        <v>34</v>
      </c>
      <c r="K719" t="s">
        <v>34</v>
      </c>
      <c r="L719" t="s">
        <v>34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34</v>
      </c>
      <c r="V719" t="s">
        <v>34</v>
      </c>
      <c r="W719" t="s">
        <v>34</v>
      </c>
      <c r="X719" t="s">
        <v>34</v>
      </c>
      <c r="Y719" t="s">
        <v>34</v>
      </c>
      <c r="Z719" t="s">
        <v>34</v>
      </c>
      <c r="AA719" t="s">
        <v>34</v>
      </c>
      <c r="AB719" t="s">
        <v>34</v>
      </c>
      <c r="AC719" t="s">
        <v>34</v>
      </c>
      <c r="AD719" t="s">
        <v>34</v>
      </c>
      <c r="AE719" t="s">
        <v>34</v>
      </c>
      <c r="AF719" t="s">
        <v>34</v>
      </c>
      <c r="AG719" t="str">
        <f t="shared" si="24"/>
        <v>NA</v>
      </c>
    </row>
    <row r="720" spans="1:33" x14ac:dyDescent="0.3">
      <c r="A720" t="s">
        <v>513</v>
      </c>
      <c r="B720" s="1" t="s">
        <v>514</v>
      </c>
      <c r="C720" t="s">
        <v>146</v>
      </c>
      <c r="D720" s="1" t="s">
        <v>147</v>
      </c>
      <c r="E720">
        <v>4074900000</v>
      </c>
      <c r="F720">
        <v>4566700000</v>
      </c>
      <c r="G720">
        <v>6017700000</v>
      </c>
      <c r="H720">
        <v>6697200000</v>
      </c>
      <c r="I720">
        <v>8231300000</v>
      </c>
      <c r="J720">
        <v>9798100000</v>
      </c>
      <c r="K720">
        <v>14302930782.5</v>
      </c>
      <c r="L720">
        <v>14904088482.200001</v>
      </c>
      <c r="M720">
        <v>20384773841.970001</v>
      </c>
      <c r="N720">
        <v>24373880283.189999</v>
      </c>
      <c r="O720">
        <v>29569630083.900002</v>
      </c>
      <c r="P720">
        <v>38981923846.330002</v>
      </c>
      <c r="Q720">
        <v>55231966337.760002</v>
      </c>
      <c r="R720">
        <v>58534660956.019997</v>
      </c>
      <c r="S720">
        <v>54127720121.839996</v>
      </c>
      <c r="T720">
        <v>53643540853.379997</v>
      </c>
      <c r="U720">
        <v>65204906716.440002</v>
      </c>
      <c r="V720">
        <v>92274416755</v>
      </c>
      <c r="W720">
        <v>108248544306.34</v>
      </c>
      <c r="X720">
        <v>125097667913.81</v>
      </c>
      <c r="Y720">
        <v>118768953824.87</v>
      </c>
      <c r="Z720">
        <v>134804560706.74001</v>
      </c>
      <c r="AA720">
        <v>153295807852.32001</v>
      </c>
      <c r="AB720">
        <v>168489703262.47</v>
      </c>
      <c r="AC720">
        <v>191769548389.28</v>
      </c>
      <c r="AD720">
        <v>187035625719.01001</v>
      </c>
      <c r="AE720">
        <v>262949675020.14001</v>
      </c>
      <c r="AF720" t="s">
        <v>34</v>
      </c>
      <c r="AG720">
        <f t="shared" si="24"/>
        <v>74495571335.389252</v>
      </c>
    </row>
    <row r="721" spans="1:33" x14ac:dyDescent="0.3">
      <c r="A721" t="s">
        <v>513</v>
      </c>
      <c r="B721" s="1" t="s">
        <v>514</v>
      </c>
      <c r="C721" t="s">
        <v>148</v>
      </c>
      <c r="D721" s="1" t="s">
        <v>149</v>
      </c>
      <c r="E721" t="s">
        <v>34</v>
      </c>
      <c r="F721" t="s">
        <v>34</v>
      </c>
      <c r="G721" t="s">
        <v>34</v>
      </c>
      <c r="H721" t="s">
        <v>34</v>
      </c>
      <c r="I721" t="s">
        <v>34</v>
      </c>
      <c r="J721" t="s">
        <v>34</v>
      </c>
      <c r="K721" t="s">
        <v>34</v>
      </c>
      <c r="L721" t="s">
        <v>34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34</v>
      </c>
      <c r="U721" t="s">
        <v>34</v>
      </c>
      <c r="V721" t="s">
        <v>34</v>
      </c>
      <c r="W721">
        <v>3713952294.0046601</v>
      </c>
      <c r="X721">
        <v>4020549232.0176702</v>
      </c>
      <c r="Y721">
        <v>4825571669.6668901</v>
      </c>
      <c r="Z721">
        <v>4154269833.0236602</v>
      </c>
      <c r="AA721">
        <v>3999068149.7432098</v>
      </c>
      <c r="AB721">
        <v>4780007008.1500101</v>
      </c>
      <c r="AC721">
        <v>4286687557.6200099</v>
      </c>
      <c r="AD721">
        <v>4011343880</v>
      </c>
      <c r="AE721">
        <v>3814736270.4397001</v>
      </c>
      <c r="AF721">
        <v>4439577463.5600004</v>
      </c>
      <c r="AG721">
        <f t="shared" si="24"/>
        <v>4204576335.8225808</v>
      </c>
    </row>
    <row r="722" spans="1:33" x14ac:dyDescent="0.3">
      <c r="A722" t="s">
        <v>513</v>
      </c>
      <c r="B722" s="1" t="s">
        <v>514</v>
      </c>
      <c r="C722" t="s">
        <v>150</v>
      </c>
      <c r="D722" s="1" t="s">
        <v>151</v>
      </c>
      <c r="E722">
        <v>12134000000</v>
      </c>
      <c r="F722">
        <v>13707000000</v>
      </c>
      <c r="G722">
        <v>14589000000</v>
      </c>
      <c r="H722" t="s">
        <v>34</v>
      </c>
      <c r="I722" t="s">
        <v>34</v>
      </c>
      <c r="J722" t="s">
        <v>34</v>
      </c>
      <c r="K722" t="s">
        <v>34</v>
      </c>
      <c r="L722">
        <v>19623000000</v>
      </c>
      <c r="M722">
        <v>20842000000</v>
      </c>
      <c r="N722">
        <v>27280000000</v>
      </c>
      <c r="O722">
        <v>31571400000</v>
      </c>
      <c r="P722">
        <v>48268600000</v>
      </c>
      <c r="Q722">
        <v>58534900000</v>
      </c>
      <c r="R722">
        <v>67058000000</v>
      </c>
      <c r="S722">
        <v>80254700000</v>
      </c>
      <c r="T722">
        <v>76617500000</v>
      </c>
      <c r="U722">
        <v>89593000000</v>
      </c>
      <c r="V722">
        <v>91245000000</v>
      </c>
      <c r="W722">
        <v>117762000000</v>
      </c>
      <c r="X722">
        <v>120926000000</v>
      </c>
      <c r="Y722">
        <v>129818000000</v>
      </c>
      <c r="Z722" t="s">
        <v>34</v>
      </c>
      <c r="AA722" t="s">
        <v>34</v>
      </c>
      <c r="AB722" t="s">
        <v>34</v>
      </c>
      <c r="AC722" t="s">
        <v>34</v>
      </c>
      <c r="AD722" t="s">
        <v>34</v>
      </c>
      <c r="AE722" t="s">
        <v>34</v>
      </c>
      <c r="AF722" t="s">
        <v>34</v>
      </c>
      <c r="AG722">
        <f t="shared" si="24"/>
        <v>59989652941.176468</v>
      </c>
    </row>
    <row r="723" spans="1:33" x14ac:dyDescent="0.3">
      <c r="A723" t="s">
        <v>513</v>
      </c>
      <c r="B723" s="1" t="s">
        <v>514</v>
      </c>
      <c r="C723" t="s">
        <v>152</v>
      </c>
      <c r="D723" s="1" t="s">
        <v>153</v>
      </c>
      <c r="E723" t="s">
        <v>34</v>
      </c>
      <c r="F723" t="s">
        <v>34</v>
      </c>
      <c r="G723" t="s">
        <v>34</v>
      </c>
      <c r="H723">
        <v>299910000</v>
      </c>
      <c r="I723">
        <v>357440000</v>
      </c>
      <c r="J723">
        <v>368380000</v>
      </c>
      <c r="K723">
        <v>367100000</v>
      </c>
      <c r="L723">
        <v>471400000</v>
      </c>
      <c r="M723">
        <v>498100000</v>
      </c>
      <c r="N723">
        <v>524900000</v>
      </c>
      <c r="O723">
        <v>662700000</v>
      </c>
      <c r="P723">
        <v>815900000</v>
      </c>
      <c r="Q723">
        <v>965100000</v>
      </c>
      <c r="R723">
        <v>1049900000</v>
      </c>
      <c r="S723">
        <v>997200000</v>
      </c>
      <c r="T723">
        <v>1043400000</v>
      </c>
      <c r="U723">
        <v>1188000000</v>
      </c>
      <c r="V723">
        <v>1132600000</v>
      </c>
      <c r="W723">
        <v>1317000000</v>
      </c>
      <c r="X723">
        <v>1338625310.6199999</v>
      </c>
      <c r="Y723">
        <v>1384312471.97</v>
      </c>
      <c r="Z723">
        <v>1649232982.74</v>
      </c>
      <c r="AA723">
        <v>1722837234.25</v>
      </c>
      <c r="AB723">
        <v>1807600000</v>
      </c>
      <c r="AC723">
        <v>1881300000</v>
      </c>
      <c r="AD723">
        <v>1862600000</v>
      </c>
      <c r="AE723">
        <v>2186300000</v>
      </c>
      <c r="AF723" t="s">
        <v>34</v>
      </c>
      <c r="AG723">
        <f t="shared" si="24"/>
        <v>1078826583.3158333</v>
      </c>
    </row>
    <row r="724" spans="1:33" x14ac:dyDescent="0.3">
      <c r="A724" t="s">
        <v>513</v>
      </c>
      <c r="B724" s="1" t="s">
        <v>514</v>
      </c>
      <c r="C724" t="s">
        <v>154</v>
      </c>
      <c r="D724" s="1" t="s">
        <v>155</v>
      </c>
      <c r="E724" t="s">
        <v>34</v>
      </c>
      <c r="F724" t="s">
        <v>34</v>
      </c>
      <c r="G724" t="s">
        <v>34</v>
      </c>
      <c r="H724" t="s">
        <v>34</v>
      </c>
      <c r="I724" t="s">
        <v>34</v>
      </c>
      <c r="J724" t="s">
        <v>34</v>
      </c>
      <c r="K724" t="s">
        <v>34</v>
      </c>
      <c r="L724" t="s">
        <v>34</v>
      </c>
      <c r="M724" t="s">
        <v>34</v>
      </c>
      <c r="N724" t="s">
        <v>34</v>
      </c>
      <c r="O724" t="s">
        <v>34</v>
      </c>
      <c r="P724">
        <v>466887000000</v>
      </c>
      <c r="Q724">
        <v>424056000000</v>
      </c>
      <c r="R724">
        <v>646658000000</v>
      </c>
      <c r="S724">
        <v>846149000000</v>
      </c>
      <c r="T724">
        <v>544303500000</v>
      </c>
      <c r="U724">
        <v>627053190063.57495</v>
      </c>
      <c r="V724">
        <v>865609474932.72302</v>
      </c>
      <c r="W724">
        <v>827552302499.58704</v>
      </c>
      <c r="X724">
        <v>775848061505</v>
      </c>
      <c r="Y724">
        <v>768794745911.63501</v>
      </c>
      <c r="Z724">
        <v>312238537193</v>
      </c>
      <c r="AA724">
        <v>265014942539</v>
      </c>
      <c r="AB724">
        <v>315532829954</v>
      </c>
      <c r="AC724">
        <v>495421968836.5</v>
      </c>
      <c r="AD724">
        <v>348953911224</v>
      </c>
      <c r="AE724">
        <v>271118785273</v>
      </c>
      <c r="AF724" t="s">
        <v>34</v>
      </c>
      <c r="AG724">
        <f t="shared" si="24"/>
        <v>550074515620.75122</v>
      </c>
    </row>
    <row r="725" spans="1:33" x14ac:dyDescent="0.3">
      <c r="A725" t="s">
        <v>513</v>
      </c>
      <c r="B725" s="1" t="s">
        <v>514</v>
      </c>
      <c r="C725" t="s">
        <v>156</v>
      </c>
      <c r="D725" s="1" t="s">
        <v>157</v>
      </c>
      <c r="E725" t="s">
        <v>34</v>
      </c>
      <c r="F725" t="s">
        <v>34</v>
      </c>
      <c r="G725" t="s">
        <v>34</v>
      </c>
      <c r="H725" t="s">
        <v>34</v>
      </c>
      <c r="I725" t="s">
        <v>34</v>
      </c>
      <c r="J725" t="s">
        <v>34</v>
      </c>
      <c r="K725" t="s">
        <v>34</v>
      </c>
      <c r="L725" t="s">
        <v>34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34</v>
      </c>
      <c r="V725" t="s">
        <v>34</v>
      </c>
      <c r="W725" t="s">
        <v>34</v>
      </c>
      <c r="X725" t="s">
        <v>34</v>
      </c>
      <c r="Y725" t="s">
        <v>34</v>
      </c>
      <c r="Z725" t="s">
        <v>34</v>
      </c>
      <c r="AA725" t="s">
        <v>34</v>
      </c>
      <c r="AB725" t="s">
        <v>34</v>
      </c>
      <c r="AC725" t="s">
        <v>34</v>
      </c>
      <c r="AD725" t="s">
        <v>34</v>
      </c>
      <c r="AE725" t="s">
        <v>34</v>
      </c>
      <c r="AF725" t="s">
        <v>34</v>
      </c>
      <c r="AG725" t="str">
        <f t="shared" si="24"/>
        <v>NA</v>
      </c>
    </row>
    <row r="726" spans="1:33" x14ac:dyDescent="0.3">
      <c r="A726" t="s">
        <v>513</v>
      </c>
      <c r="B726" s="1" t="s">
        <v>514</v>
      </c>
      <c r="C726" t="s">
        <v>158</v>
      </c>
      <c r="D726" s="1" t="s">
        <v>159</v>
      </c>
      <c r="E726">
        <v>300890000</v>
      </c>
      <c r="F726">
        <v>335200000</v>
      </c>
      <c r="G726">
        <v>413410000</v>
      </c>
      <c r="H726">
        <v>520710000</v>
      </c>
      <c r="I726">
        <v>521950000</v>
      </c>
      <c r="J726">
        <v>476070000</v>
      </c>
      <c r="K726">
        <v>501540000</v>
      </c>
      <c r="L726">
        <v>585080000</v>
      </c>
      <c r="M726">
        <v>701410000</v>
      </c>
      <c r="N726">
        <v>769320000</v>
      </c>
      <c r="O726">
        <v>781780000</v>
      </c>
      <c r="P726">
        <v>946090000</v>
      </c>
      <c r="Q726">
        <v>1196700000</v>
      </c>
      <c r="R726">
        <v>1277090000</v>
      </c>
      <c r="S726">
        <v>1044870000</v>
      </c>
      <c r="T726">
        <v>970200000</v>
      </c>
      <c r="U726">
        <v>1046910000</v>
      </c>
      <c r="V726">
        <v>1183680000</v>
      </c>
      <c r="W726">
        <v>1357170000</v>
      </c>
      <c r="X726">
        <v>1478620000</v>
      </c>
      <c r="Y726">
        <v>1606770000</v>
      </c>
      <c r="Z726">
        <v>1627870000</v>
      </c>
      <c r="AA726">
        <v>1709970000</v>
      </c>
      <c r="AB726">
        <v>1929050000</v>
      </c>
      <c r="AC726">
        <v>2040690000</v>
      </c>
      <c r="AD726">
        <v>2101890000</v>
      </c>
      <c r="AE726">
        <v>2627320000</v>
      </c>
      <c r="AF726" t="s">
        <v>34</v>
      </c>
      <c r="AG726">
        <f t="shared" si="24"/>
        <v>1113046296.2962964</v>
      </c>
    </row>
    <row r="727" spans="1:33" x14ac:dyDescent="0.3">
      <c r="A727" t="s">
        <v>513</v>
      </c>
      <c r="B727" s="1" t="s">
        <v>514</v>
      </c>
      <c r="C727" t="s">
        <v>160</v>
      </c>
      <c r="D727" s="1" t="s">
        <v>161</v>
      </c>
      <c r="E727" t="s">
        <v>34</v>
      </c>
      <c r="F727" t="s">
        <v>34</v>
      </c>
      <c r="G727" t="s">
        <v>34</v>
      </c>
      <c r="H727" t="s">
        <v>34</v>
      </c>
      <c r="I727" t="s">
        <v>34</v>
      </c>
      <c r="J727" t="s">
        <v>34</v>
      </c>
      <c r="K727" t="s">
        <v>34</v>
      </c>
      <c r="L727" t="s">
        <v>34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34</v>
      </c>
      <c r="X727" t="s">
        <v>34</v>
      </c>
      <c r="Y727" t="s">
        <v>34</v>
      </c>
      <c r="Z727" t="s">
        <v>34</v>
      </c>
      <c r="AA727" t="s">
        <v>34</v>
      </c>
      <c r="AB727" t="s">
        <v>34</v>
      </c>
      <c r="AC727" t="s">
        <v>34</v>
      </c>
      <c r="AD727" t="s">
        <v>34</v>
      </c>
      <c r="AE727" t="s">
        <v>34</v>
      </c>
      <c r="AF727" t="s">
        <v>34</v>
      </c>
      <c r="AG727" t="str">
        <f t="shared" si="24"/>
        <v>NA</v>
      </c>
    </row>
    <row r="728" spans="1:33" x14ac:dyDescent="0.3">
      <c r="A728" t="s">
        <v>513</v>
      </c>
      <c r="B728" s="1" t="s">
        <v>514</v>
      </c>
      <c r="C728" t="s">
        <v>162</v>
      </c>
      <c r="D728" s="1" t="s">
        <v>163</v>
      </c>
      <c r="E728">
        <v>1253600000</v>
      </c>
      <c r="F728">
        <v>1676500000</v>
      </c>
      <c r="G728">
        <v>1808000000</v>
      </c>
      <c r="H728">
        <v>1943300000</v>
      </c>
      <c r="I728">
        <v>2081400000</v>
      </c>
      <c r="J728" t="s">
        <v>34</v>
      </c>
      <c r="K728">
        <v>1574400000</v>
      </c>
      <c r="L728">
        <v>1914600000</v>
      </c>
      <c r="M728">
        <v>1662800000</v>
      </c>
      <c r="N728">
        <v>1512500000</v>
      </c>
      <c r="O728">
        <v>1685600000</v>
      </c>
      <c r="P728">
        <v>2066000000</v>
      </c>
      <c r="Q728">
        <v>2636000000</v>
      </c>
      <c r="R728">
        <v>3798800000</v>
      </c>
      <c r="S728">
        <v>5193700000</v>
      </c>
      <c r="T728">
        <v>8353900000</v>
      </c>
      <c r="U728">
        <v>12413940000</v>
      </c>
      <c r="V728">
        <v>17542627909.869999</v>
      </c>
      <c r="W728">
        <v>19437101605.080002</v>
      </c>
      <c r="X728">
        <v>25465740423.189999</v>
      </c>
      <c r="Y728">
        <v>31002380356.91</v>
      </c>
      <c r="Z728">
        <v>35676680025.629997</v>
      </c>
      <c r="AA728">
        <v>41412369888.379997</v>
      </c>
      <c r="AB728">
        <v>48372067862.82</v>
      </c>
      <c r="AC728">
        <v>58769297322.309998</v>
      </c>
      <c r="AD728">
        <v>64130900161.400002</v>
      </c>
      <c r="AE728" t="s">
        <v>34</v>
      </c>
      <c r="AF728" t="s">
        <v>34</v>
      </c>
      <c r="AG728">
        <f t="shared" si="24"/>
        <v>15735368222.2236</v>
      </c>
    </row>
    <row r="729" spans="1:33" x14ac:dyDescent="0.3">
      <c r="A729" t="s">
        <v>513</v>
      </c>
      <c r="B729" s="1" t="s">
        <v>514</v>
      </c>
      <c r="C729" t="s">
        <v>164</v>
      </c>
      <c r="D729" s="1" t="s">
        <v>165</v>
      </c>
      <c r="E729" t="s">
        <v>34</v>
      </c>
      <c r="F729" t="s">
        <v>34</v>
      </c>
      <c r="G729" t="s">
        <v>34</v>
      </c>
      <c r="H729" t="s">
        <v>34</v>
      </c>
      <c r="I729" t="s">
        <v>34</v>
      </c>
      <c r="J729" t="s">
        <v>34</v>
      </c>
      <c r="K729" t="s">
        <v>34</v>
      </c>
      <c r="L729" t="s">
        <v>34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34</v>
      </c>
      <c r="V729" t="s">
        <v>34</v>
      </c>
      <c r="W729" t="s">
        <v>34</v>
      </c>
      <c r="X729" t="s">
        <v>34</v>
      </c>
      <c r="Y729" t="s">
        <v>34</v>
      </c>
      <c r="Z729" t="s">
        <v>34</v>
      </c>
      <c r="AA729" t="s">
        <v>34</v>
      </c>
      <c r="AB729" t="s">
        <v>34</v>
      </c>
      <c r="AC729" t="s">
        <v>34</v>
      </c>
      <c r="AD729" t="s">
        <v>34</v>
      </c>
      <c r="AE729" t="s">
        <v>34</v>
      </c>
      <c r="AF729" t="s">
        <v>34</v>
      </c>
      <c r="AG729" t="str">
        <f t="shared" ref="AG729:AG792" si="25">IFERROR(AVERAGE(E729:AF729),"NA")</f>
        <v>NA</v>
      </c>
    </row>
    <row r="730" spans="1:33" x14ac:dyDescent="0.3">
      <c r="A730" t="s">
        <v>513</v>
      </c>
      <c r="B730" s="1" t="s">
        <v>514</v>
      </c>
      <c r="C730" t="s">
        <v>166</v>
      </c>
      <c r="D730" s="1" t="s">
        <v>167</v>
      </c>
      <c r="E730">
        <v>225470000</v>
      </c>
      <c r="F730">
        <v>236290000</v>
      </c>
      <c r="G730" t="s">
        <v>34</v>
      </c>
      <c r="H730" t="s">
        <v>34</v>
      </c>
      <c r="I730" t="s">
        <v>34</v>
      </c>
      <c r="J730" t="s">
        <v>34</v>
      </c>
      <c r="K730" t="s">
        <v>34</v>
      </c>
      <c r="L730" t="s">
        <v>34</v>
      </c>
      <c r="M730" t="s">
        <v>34</v>
      </c>
      <c r="N730">
        <v>334610000</v>
      </c>
      <c r="O730">
        <v>352500000</v>
      </c>
      <c r="P730">
        <v>446090420</v>
      </c>
      <c r="Q730">
        <v>472836041</v>
      </c>
      <c r="R730">
        <v>469854795</v>
      </c>
      <c r="S730">
        <v>473591755</v>
      </c>
      <c r="T730">
        <v>426252257.76999998</v>
      </c>
      <c r="U730">
        <v>478807318.52999997</v>
      </c>
      <c r="V730">
        <v>492714103.69</v>
      </c>
      <c r="W730">
        <v>442557793.29000002</v>
      </c>
      <c r="X730">
        <v>518370207.64999998</v>
      </c>
      <c r="Y730">
        <v>605113135.15999997</v>
      </c>
      <c r="Z730">
        <v>731827088.38</v>
      </c>
      <c r="AA730">
        <v>848330997.97000003</v>
      </c>
      <c r="AB730">
        <v>767852465.12</v>
      </c>
      <c r="AC730">
        <v>713924928.26999998</v>
      </c>
      <c r="AD730">
        <v>510971703.77999997</v>
      </c>
      <c r="AE730">
        <v>442861999.39999998</v>
      </c>
      <c r="AF730" t="s">
        <v>34</v>
      </c>
      <c r="AG730">
        <f t="shared" si="25"/>
        <v>499541350.50050002</v>
      </c>
    </row>
    <row r="731" spans="1:33" x14ac:dyDescent="0.3">
      <c r="A731" t="s">
        <v>513</v>
      </c>
      <c r="B731" s="1" t="s">
        <v>514</v>
      </c>
      <c r="C731" t="s">
        <v>168</v>
      </c>
      <c r="D731" s="1" t="s">
        <v>169</v>
      </c>
      <c r="E731">
        <v>6617000000</v>
      </c>
      <c r="F731">
        <v>7925000000</v>
      </c>
      <c r="G731">
        <v>8757000000</v>
      </c>
      <c r="H731">
        <v>10017000000</v>
      </c>
      <c r="I731">
        <v>10206000000</v>
      </c>
      <c r="J731">
        <v>14060000000</v>
      </c>
      <c r="K731">
        <v>12342000000</v>
      </c>
      <c r="L731">
        <v>12992000000</v>
      </c>
      <c r="M731">
        <v>12068000000</v>
      </c>
      <c r="N731">
        <v>12524000000</v>
      </c>
      <c r="O731">
        <v>12944000000</v>
      </c>
      <c r="P731">
        <v>13222000000</v>
      </c>
      <c r="Q731">
        <v>14818000000</v>
      </c>
      <c r="R731">
        <v>14570000000</v>
      </c>
      <c r="S731">
        <v>9966000000</v>
      </c>
      <c r="T731">
        <v>9818000000</v>
      </c>
      <c r="U731">
        <v>11450000000</v>
      </c>
      <c r="V731">
        <v>11197000000</v>
      </c>
      <c r="W731">
        <v>11506000000</v>
      </c>
      <c r="X731">
        <v>11901000000</v>
      </c>
      <c r="Y731">
        <v>12200000000</v>
      </c>
      <c r="Z731">
        <v>12757000000</v>
      </c>
      <c r="AA731">
        <v>13465000000</v>
      </c>
      <c r="AB731">
        <v>13893000000</v>
      </c>
      <c r="AC731">
        <v>14216000000</v>
      </c>
      <c r="AD731">
        <v>12389000000</v>
      </c>
      <c r="AE731">
        <v>15280000000</v>
      </c>
      <c r="AF731" t="s">
        <v>34</v>
      </c>
      <c r="AG731">
        <f t="shared" si="25"/>
        <v>11966666666.666666</v>
      </c>
    </row>
    <row r="732" spans="1:33" x14ac:dyDescent="0.3">
      <c r="A732" t="s">
        <v>513</v>
      </c>
      <c r="B732" s="1" t="s">
        <v>514</v>
      </c>
      <c r="C732" t="s">
        <v>170</v>
      </c>
      <c r="D732" s="1" t="s">
        <v>171</v>
      </c>
      <c r="E732">
        <v>83763000000</v>
      </c>
      <c r="F732">
        <v>92157000000</v>
      </c>
      <c r="G732">
        <v>102656000000</v>
      </c>
      <c r="H732">
        <v>135923000000</v>
      </c>
      <c r="I732">
        <v>148298000000</v>
      </c>
      <c r="J732">
        <v>160144000000</v>
      </c>
      <c r="K732">
        <v>170827000000</v>
      </c>
      <c r="L732">
        <v>163272000000</v>
      </c>
      <c r="M732">
        <v>162292000000</v>
      </c>
      <c r="N732">
        <v>171812000000</v>
      </c>
      <c r="O732">
        <v>181387000000</v>
      </c>
      <c r="P732">
        <v>198539000000</v>
      </c>
      <c r="Q732">
        <v>205545000000</v>
      </c>
      <c r="R732">
        <v>215984000000</v>
      </c>
      <c r="S732">
        <v>184993000000</v>
      </c>
      <c r="T732">
        <v>198971000000</v>
      </c>
      <c r="U732">
        <v>214192000000</v>
      </c>
      <c r="V732">
        <v>231318000000</v>
      </c>
      <c r="W732">
        <v>243358000000</v>
      </c>
      <c r="X732">
        <v>243703000000</v>
      </c>
      <c r="Y732">
        <v>248161000000</v>
      </c>
      <c r="Z732">
        <v>249082000000</v>
      </c>
      <c r="AA732">
        <v>263063000000</v>
      </c>
      <c r="AB732">
        <v>287199000000</v>
      </c>
      <c r="AC732">
        <v>297504000000</v>
      </c>
      <c r="AD732">
        <v>285571000000</v>
      </c>
      <c r="AE732">
        <v>308503000000</v>
      </c>
      <c r="AF732" t="s">
        <v>34</v>
      </c>
      <c r="AG732">
        <f t="shared" si="25"/>
        <v>201785814814.81482</v>
      </c>
    </row>
    <row r="733" spans="1:33" x14ac:dyDescent="0.3">
      <c r="A733" t="s">
        <v>513</v>
      </c>
      <c r="B733" s="1" t="s">
        <v>514</v>
      </c>
      <c r="C733" t="s">
        <v>172</v>
      </c>
      <c r="D733" s="1" t="s">
        <v>173</v>
      </c>
      <c r="E733" t="s">
        <v>34</v>
      </c>
      <c r="F733" t="s">
        <v>34</v>
      </c>
      <c r="G733" t="s">
        <v>34</v>
      </c>
      <c r="H733" t="s">
        <v>34</v>
      </c>
      <c r="I733" t="s">
        <v>34</v>
      </c>
      <c r="J733" t="s">
        <v>34</v>
      </c>
      <c r="K733" t="s">
        <v>34</v>
      </c>
      <c r="L733" t="s">
        <v>34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  <c r="U733" t="s">
        <v>34</v>
      </c>
      <c r="V733" t="s">
        <v>34</v>
      </c>
      <c r="W733" t="s">
        <v>34</v>
      </c>
      <c r="X733" t="s">
        <v>34</v>
      </c>
      <c r="Y733" t="s">
        <v>34</v>
      </c>
      <c r="Z733" t="s">
        <v>34</v>
      </c>
      <c r="AA733" t="s">
        <v>34</v>
      </c>
      <c r="AB733" t="s">
        <v>34</v>
      </c>
      <c r="AC733" t="s">
        <v>34</v>
      </c>
      <c r="AD733" t="s">
        <v>34</v>
      </c>
      <c r="AE733" t="s">
        <v>34</v>
      </c>
      <c r="AF733" t="s">
        <v>34</v>
      </c>
      <c r="AG733" t="str">
        <f t="shared" si="25"/>
        <v>NA</v>
      </c>
    </row>
    <row r="734" spans="1:33" x14ac:dyDescent="0.3">
      <c r="A734" t="s">
        <v>513</v>
      </c>
      <c r="B734" s="1" t="s">
        <v>514</v>
      </c>
      <c r="C734" t="s">
        <v>174</v>
      </c>
      <c r="D734" s="1" t="s">
        <v>175</v>
      </c>
      <c r="E734" t="s">
        <v>34</v>
      </c>
      <c r="F734" t="s">
        <v>34</v>
      </c>
      <c r="G734" t="s">
        <v>34</v>
      </c>
      <c r="H734" t="s">
        <v>34</v>
      </c>
      <c r="I734" t="s">
        <v>34</v>
      </c>
      <c r="J734" t="s">
        <v>34</v>
      </c>
      <c r="K734" t="s">
        <v>34</v>
      </c>
      <c r="L734" t="s">
        <v>34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  <c r="U734" t="s">
        <v>34</v>
      </c>
      <c r="V734">
        <v>551698351323.02502</v>
      </c>
      <c r="W734">
        <v>636416205439.75403</v>
      </c>
      <c r="X734">
        <v>579527145109.14795</v>
      </c>
      <c r="Y734">
        <v>466287947263.05298</v>
      </c>
      <c r="Z734">
        <v>327282275578</v>
      </c>
      <c r="AA734">
        <v>372890690640.81</v>
      </c>
      <c r="AB734">
        <v>452194884809</v>
      </c>
      <c r="AC734">
        <v>564215795044</v>
      </c>
      <c r="AD734" t="s">
        <v>34</v>
      </c>
      <c r="AE734" t="s">
        <v>34</v>
      </c>
      <c r="AF734" t="s">
        <v>34</v>
      </c>
      <c r="AG734">
        <f t="shared" si="25"/>
        <v>493814161900.84875</v>
      </c>
    </row>
    <row r="735" spans="1:33" x14ac:dyDescent="0.3">
      <c r="A735" t="s">
        <v>513</v>
      </c>
      <c r="B735" s="1" t="s">
        <v>514</v>
      </c>
      <c r="C735" t="s">
        <v>176</v>
      </c>
      <c r="D735" s="1" t="s">
        <v>177</v>
      </c>
      <c r="E735" t="s">
        <v>34</v>
      </c>
      <c r="F735" t="s">
        <v>34</v>
      </c>
      <c r="G735" t="s">
        <v>34</v>
      </c>
      <c r="H735" t="s">
        <v>34</v>
      </c>
      <c r="I735" t="s">
        <v>34</v>
      </c>
      <c r="J735" t="s">
        <v>34</v>
      </c>
      <c r="K735" t="s">
        <v>34</v>
      </c>
      <c r="L735" t="s">
        <v>34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34</v>
      </c>
      <c r="V735" t="s">
        <v>34</v>
      </c>
      <c r="W735" t="s">
        <v>34</v>
      </c>
      <c r="X735" t="s">
        <v>34</v>
      </c>
      <c r="Y735" t="s">
        <v>34</v>
      </c>
      <c r="Z735" t="s">
        <v>34</v>
      </c>
      <c r="AA735" t="s">
        <v>34</v>
      </c>
      <c r="AB735" t="s">
        <v>34</v>
      </c>
      <c r="AC735" t="s">
        <v>34</v>
      </c>
      <c r="AD735" t="s">
        <v>34</v>
      </c>
      <c r="AE735" t="s">
        <v>34</v>
      </c>
      <c r="AF735" t="s">
        <v>34</v>
      </c>
      <c r="AG735" t="str">
        <f t="shared" si="25"/>
        <v>NA</v>
      </c>
    </row>
    <row r="736" spans="1:33" x14ac:dyDescent="0.3">
      <c r="A736" t="s">
        <v>513</v>
      </c>
      <c r="B736" s="1" t="s">
        <v>514</v>
      </c>
      <c r="C736" t="s">
        <v>178</v>
      </c>
      <c r="D736" s="1" t="s">
        <v>179</v>
      </c>
      <c r="E736">
        <v>49500000</v>
      </c>
      <c r="F736">
        <v>77100000</v>
      </c>
      <c r="G736">
        <v>115900000</v>
      </c>
      <c r="H736">
        <v>139500000</v>
      </c>
      <c r="I736">
        <v>160400000</v>
      </c>
      <c r="J736">
        <v>188500000</v>
      </c>
      <c r="K736">
        <v>202300000</v>
      </c>
      <c r="L736">
        <v>225200000</v>
      </c>
      <c r="M736">
        <v>254100000</v>
      </c>
      <c r="N736">
        <v>430300000</v>
      </c>
      <c r="O736">
        <v>501000000</v>
      </c>
      <c r="P736">
        <v>727100000</v>
      </c>
      <c r="Q736">
        <v>1081500000</v>
      </c>
      <c r="R736">
        <v>1888400000</v>
      </c>
      <c r="S736">
        <v>1636600000</v>
      </c>
      <c r="T736">
        <v>1778000000</v>
      </c>
      <c r="U736">
        <v>2383300000</v>
      </c>
      <c r="V736">
        <v>2615800000</v>
      </c>
      <c r="W736">
        <v>2740800000</v>
      </c>
      <c r="X736">
        <v>2767600000</v>
      </c>
      <c r="Y736">
        <v>3248400000</v>
      </c>
      <c r="Z736">
        <v>3469900000</v>
      </c>
      <c r="AA736">
        <v>3675500000</v>
      </c>
      <c r="AB736">
        <v>3983700000</v>
      </c>
      <c r="AC736">
        <v>4349100000</v>
      </c>
      <c r="AD736">
        <v>4246100000</v>
      </c>
      <c r="AE736">
        <v>4791000000</v>
      </c>
      <c r="AF736">
        <v>6964300000</v>
      </c>
      <c r="AG736">
        <f t="shared" si="25"/>
        <v>1953246428.5714285</v>
      </c>
    </row>
    <row r="737" spans="1:33" x14ac:dyDescent="0.3">
      <c r="A737" t="s">
        <v>513</v>
      </c>
      <c r="B737" s="1" t="s">
        <v>514</v>
      </c>
      <c r="C737" t="s">
        <v>180</v>
      </c>
      <c r="D737" s="1" t="s">
        <v>181</v>
      </c>
      <c r="E737">
        <v>91810000000</v>
      </c>
      <c r="F737">
        <v>90980000000</v>
      </c>
      <c r="G737">
        <v>91640000000</v>
      </c>
      <c r="H737">
        <v>95560000000</v>
      </c>
      <c r="I737">
        <v>102940000000</v>
      </c>
      <c r="J737">
        <v>109094000000</v>
      </c>
      <c r="K737">
        <v>96940000000</v>
      </c>
      <c r="L737">
        <v>94768000000</v>
      </c>
      <c r="M737">
        <v>95438000000</v>
      </c>
      <c r="N737">
        <v>93025000000</v>
      </c>
      <c r="O737">
        <v>95837000000</v>
      </c>
      <c r="P737">
        <v>106427000000</v>
      </c>
      <c r="Q737">
        <v>116330000000</v>
      </c>
      <c r="R737">
        <v>121709000000</v>
      </c>
      <c r="S737">
        <v>109633000000</v>
      </c>
      <c r="T737">
        <v>108354000000</v>
      </c>
      <c r="U737">
        <v>118461000000</v>
      </c>
      <c r="V737">
        <v>127212000000</v>
      </c>
      <c r="W737">
        <v>133138000000</v>
      </c>
      <c r="X737">
        <v>138557000000</v>
      </c>
      <c r="Y737">
        <v>145945000000</v>
      </c>
      <c r="Z737">
        <v>155930000000</v>
      </c>
      <c r="AA737">
        <v>166557000000</v>
      </c>
      <c r="AB737">
        <v>176278000000</v>
      </c>
      <c r="AC737">
        <v>181913000000</v>
      </c>
      <c r="AD737">
        <v>172204000000</v>
      </c>
      <c r="AE737">
        <v>186892000000</v>
      </c>
      <c r="AF737" t="s">
        <v>34</v>
      </c>
      <c r="AG737">
        <f t="shared" si="25"/>
        <v>123095259259.25926</v>
      </c>
    </row>
    <row r="738" spans="1:33" x14ac:dyDescent="0.3">
      <c r="A738" t="s">
        <v>513</v>
      </c>
      <c r="B738" s="1" t="s">
        <v>514</v>
      </c>
      <c r="C738" t="s">
        <v>182</v>
      </c>
      <c r="D738" s="1" t="s">
        <v>183</v>
      </c>
      <c r="E738" t="s">
        <v>34</v>
      </c>
      <c r="F738" t="s">
        <v>34</v>
      </c>
      <c r="G738" t="s">
        <v>34</v>
      </c>
      <c r="H738" t="s">
        <v>34</v>
      </c>
      <c r="I738" t="s">
        <v>34</v>
      </c>
      <c r="J738" t="s">
        <v>34</v>
      </c>
      <c r="K738">
        <v>212374700</v>
      </c>
      <c r="L738">
        <v>279539400</v>
      </c>
      <c r="M738">
        <v>356795010</v>
      </c>
      <c r="N738">
        <v>485752973</v>
      </c>
      <c r="O738">
        <v>609201620</v>
      </c>
      <c r="P738">
        <v>658187375</v>
      </c>
      <c r="Q738">
        <v>857441806</v>
      </c>
      <c r="R738">
        <v>1134757015</v>
      </c>
      <c r="S738">
        <v>1538305380</v>
      </c>
      <c r="T738">
        <v>2194970487</v>
      </c>
      <c r="U738">
        <v>3192749467</v>
      </c>
      <c r="V738">
        <v>5536215998.3961296</v>
      </c>
      <c r="W738">
        <v>6301734500.1129303</v>
      </c>
      <c r="X738">
        <v>8486571523.1398697</v>
      </c>
      <c r="Y738">
        <v>8706504261.5147305</v>
      </c>
      <c r="Z738">
        <v>9106902009.4490204</v>
      </c>
      <c r="AA738">
        <v>13398087276.537001</v>
      </c>
      <c r="AB738">
        <v>18776430343.520699</v>
      </c>
      <c r="AC738">
        <v>22683103949.6273</v>
      </c>
      <c r="AD738">
        <v>23728561925.240601</v>
      </c>
      <c r="AE738" t="s">
        <v>34</v>
      </c>
      <c r="AF738" t="s">
        <v>34</v>
      </c>
      <c r="AG738">
        <f t="shared" si="25"/>
        <v>6412209351.0269146</v>
      </c>
    </row>
    <row r="739" spans="1:33" x14ac:dyDescent="0.3">
      <c r="A739" t="s">
        <v>513</v>
      </c>
      <c r="B739" s="1" t="s">
        <v>514</v>
      </c>
      <c r="C739" t="s">
        <v>184</v>
      </c>
      <c r="D739" s="1" t="s">
        <v>185</v>
      </c>
      <c r="E739" t="s">
        <v>34</v>
      </c>
      <c r="F739" t="s">
        <v>34</v>
      </c>
      <c r="G739" t="s">
        <v>34</v>
      </c>
      <c r="H739" t="s">
        <v>34</v>
      </c>
      <c r="I739" t="s">
        <v>34</v>
      </c>
      <c r="J739" t="s">
        <v>34</v>
      </c>
      <c r="K739" t="s">
        <v>34</v>
      </c>
      <c r="L739" t="s">
        <v>34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34</v>
      </c>
      <c r="X739" t="s">
        <v>34</v>
      </c>
      <c r="Y739" t="s">
        <v>34</v>
      </c>
      <c r="Z739" t="s">
        <v>34</v>
      </c>
      <c r="AA739" t="s">
        <v>34</v>
      </c>
      <c r="AB739" t="s">
        <v>34</v>
      </c>
      <c r="AC739" t="s">
        <v>34</v>
      </c>
      <c r="AD739" t="s">
        <v>34</v>
      </c>
      <c r="AE739" t="s">
        <v>34</v>
      </c>
      <c r="AF739" t="s">
        <v>34</v>
      </c>
      <c r="AG739" t="str">
        <f t="shared" si="25"/>
        <v>NA</v>
      </c>
    </row>
    <row r="740" spans="1:33" x14ac:dyDescent="0.3">
      <c r="A740" t="s">
        <v>513</v>
      </c>
      <c r="B740" s="1" t="s">
        <v>514</v>
      </c>
      <c r="C740" t="s">
        <v>186</v>
      </c>
      <c r="D740" s="1" t="s">
        <v>187</v>
      </c>
      <c r="E740">
        <v>5456000000</v>
      </c>
      <c r="F740">
        <v>5824000000</v>
      </c>
      <c r="G740">
        <v>7327000000</v>
      </c>
      <c r="H740">
        <v>9645000000</v>
      </c>
      <c r="I740">
        <v>10777000000</v>
      </c>
      <c r="J740">
        <v>12662000000</v>
      </c>
      <c r="K740">
        <v>11860000000</v>
      </c>
      <c r="L740">
        <v>13018000000</v>
      </c>
      <c r="M740">
        <v>12975000000</v>
      </c>
      <c r="N740">
        <v>13922000000</v>
      </c>
      <c r="O740">
        <v>16101000000</v>
      </c>
      <c r="P740">
        <v>16100000000</v>
      </c>
      <c r="Q740">
        <v>17176000000</v>
      </c>
      <c r="R740">
        <v>17632000000</v>
      </c>
      <c r="S740">
        <v>17868000000</v>
      </c>
      <c r="T740">
        <v>15953000000</v>
      </c>
      <c r="U740">
        <v>14952000000</v>
      </c>
      <c r="V740">
        <v>16229000000</v>
      </c>
      <c r="W740">
        <v>14015000000</v>
      </c>
      <c r="X740">
        <v>15212000000</v>
      </c>
      <c r="Y740">
        <v>14586000000</v>
      </c>
      <c r="Z740">
        <v>15634000000</v>
      </c>
      <c r="AA740">
        <v>15603000000</v>
      </c>
      <c r="AB740">
        <v>16468000000</v>
      </c>
      <c r="AC740">
        <v>15642000000</v>
      </c>
      <c r="AD740">
        <v>13111000000</v>
      </c>
      <c r="AE740">
        <v>14781000000</v>
      </c>
      <c r="AF740" t="s">
        <v>34</v>
      </c>
      <c r="AG740">
        <f t="shared" si="25"/>
        <v>13723296296.296297</v>
      </c>
    </row>
    <row r="741" spans="1:33" x14ac:dyDescent="0.3">
      <c r="A741" t="s">
        <v>513</v>
      </c>
      <c r="B741" s="1" t="s">
        <v>514</v>
      </c>
      <c r="C741" t="s">
        <v>188</v>
      </c>
      <c r="D741" s="1" t="s">
        <v>189</v>
      </c>
      <c r="E741" t="s">
        <v>34</v>
      </c>
      <c r="F741" t="s">
        <v>34</v>
      </c>
      <c r="G741" t="s">
        <v>34</v>
      </c>
      <c r="H741" t="s">
        <v>34</v>
      </c>
      <c r="I741" t="s">
        <v>34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34</v>
      </c>
      <c r="X741" t="s">
        <v>34</v>
      </c>
      <c r="Y741" t="s">
        <v>34</v>
      </c>
      <c r="Z741" t="s">
        <v>34</v>
      </c>
      <c r="AA741" t="s">
        <v>34</v>
      </c>
      <c r="AB741" t="s">
        <v>34</v>
      </c>
      <c r="AC741" t="s">
        <v>34</v>
      </c>
      <c r="AD741" t="s">
        <v>34</v>
      </c>
      <c r="AE741" t="s">
        <v>34</v>
      </c>
      <c r="AF741" t="s">
        <v>34</v>
      </c>
      <c r="AG741" t="str">
        <f t="shared" si="25"/>
        <v>NA</v>
      </c>
    </row>
    <row r="742" spans="1:33" x14ac:dyDescent="0.3">
      <c r="A742" t="s">
        <v>513</v>
      </c>
      <c r="B742" s="1" t="s">
        <v>514</v>
      </c>
      <c r="C742" t="s">
        <v>190</v>
      </c>
      <c r="D742" s="1" t="s">
        <v>191</v>
      </c>
      <c r="E742" t="s">
        <v>34</v>
      </c>
      <c r="F742" t="s">
        <v>34</v>
      </c>
      <c r="G742" t="s">
        <v>34</v>
      </c>
      <c r="H742" t="s">
        <v>34</v>
      </c>
      <c r="I742" t="s">
        <v>34</v>
      </c>
      <c r="J742" t="s">
        <v>34</v>
      </c>
      <c r="K742" t="s">
        <v>34</v>
      </c>
      <c r="L742" t="s">
        <v>34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34</v>
      </c>
      <c r="V742" t="s">
        <v>34</v>
      </c>
      <c r="W742" t="s">
        <v>34</v>
      </c>
      <c r="X742" t="s">
        <v>34</v>
      </c>
      <c r="Y742" t="s">
        <v>34</v>
      </c>
      <c r="Z742" t="s">
        <v>34</v>
      </c>
      <c r="AA742" t="s">
        <v>34</v>
      </c>
      <c r="AB742" t="s">
        <v>34</v>
      </c>
      <c r="AC742" t="s">
        <v>34</v>
      </c>
      <c r="AD742" t="s">
        <v>34</v>
      </c>
      <c r="AE742" t="s">
        <v>34</v>
      </c>
      <c r="AF742" t="s">
        <v>34</v>
      </c>
      <c r="AG742" t="str">
        <f t="shared" si="25"/>
        <v>NA</v>
      </c>
    </row>
    <row r="743" spans="1:33" x14ac:dyDescent="0.3">
      <c r="A743" t="s">
        <v>513</v>
      </c>
      <c r="B743" s="1" t="s">
        <v>514</v>
      </c>
      <c r="C743" t="s">
        <v>192</v>
      </c>
      <c r="D743" s="1" t="s">
        <v>193</v>
      </c>
      <c r="E743" t="s">
        <v>34</v>
      </c>
      <c r="F743" t="s">
        <v>34</v>
      </c>
      <c r="G743" t="s">
        <v>34</v>
      </c>
      <c r="H743" t="s">
        <v>34</v>
      </c>
      <c r="I743" t="s">
        <v>34</v>
      </c>
      <c r="J743" t="s">
        <v>34</v>
      </c>
      <c r="K743" t="s">
        <v>34</v>
      </c>
      <c r="L743" t="s">
        <v>34</v>
      </c>
      <c r="M743" t="s">
        <v>34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34</v>
      </c>
      <c r="T743" t="s">
        <v>34</v>
      </c>
      <c r="U743" t="s">
        <v>34</v>
      </c>
      <c r="V743" t="s">
        <v>34</v>
      </c>
      <c r="W743" t="s">
        <v>34</v>
      </c>
      <c r="X743" t="s">
        <v>34</v>
      </c>
      <c r="Y743" t="s">
        <v>34</v>
      </c>
      <c r="Z743" t="s">
        <v>34</v>
      </c>
      <c r="AA743" t="s">
        <v>34</v>
      </c>
      <c r="AB743" t="s">
        <v>34</v>
      </c>
      <c r="AC743" t="s">
        <v>34</v>
      </c>
      <c r="AD743" t="s">
        <v>34</v>
      </c>
      <c r="AE743" t="s">
        <v>34</v>
      </c>
      <c r="AF743" t="s">
        <v>34</v>
      </c>
      <c r="AG743" t="str">
        <f t="shared" si="25"/>
        <v>NA</v>
      </c>
    </row>
    <row r="744" spans="1:33" x14ac:dyDescent="0.3">
      <c r="A744" t="s">
        <v>513</v>
      </c>
      <c r="B744" s="1" t="s">
        <v>514</v>
      </c>
      <c r="C744" t="s">
        <v>194</v>
      </c>
      <c r="D744" s="1" t="s">
        <v>195</v>
      </c>
      <c r="E744">
        <v>1365140000</v>
      </c>
      <c r="F744">
        <v>2003700000</v>
      </c>
      <c r="G744">
        <v>2299510000</v>
      </c>
      <c r="H744">
        <v>2392170000</v>
      </c>
      <c r="I744">
        <v>2896470000</v>
      </c>
      <c r="J744">
        <v>3688700000</v>
      </c>
      <c r="K744">
        <v>4139840000</v>
      </c>
      <c r="L744">
        <v>5413840000</v>
      </c>
      <c r="M744">
        <v>5601140000</v>
      </c>
      <c r="N744">
        <v>5739560000</v>
      </c>
      <c r="O744">
        <v>6438810000</v>
      </c>
      <c r="P744">
        <v>7646800000</v>
      </c>
      <c r="Q744">
        <v>8653900000</v>
      </c>
      <c r="R744">
        <v>9698400000</v>
      </c>
      <c r="S744">
        <v>9705801069.5600109</v>
      </c>
      <c r="T744">
        <v>10319232706.799999</v>
      </c>
      <c r="U744">
        <v>12696320311.959999</v>
      </c>
      <c r="V744">
        <v>13443669865.23</v>
      </c>
      <c r="W744">
        <v>16041325760</v>
      </c>
      <c r="X744">
        <v>17632666362.080002</v>
      </c>
      <c r="Y744">
        <v>17391749863.689999</v>
      </c>
      <c r="Z744">
        <v>19327588517.110001</v>
      </c>
      <c r="AA744">
        <v>20483039747.150002</v>
      </c>
      <c r="AB744">
        <v>20764532490.880001</v>
      </c>
      <c r="AC744">
        <v>21712705436.639999</v>
      </c>
      <c r="AD744">
        <v>21617278612.810001</v>
      </c>
      <c r="AE744">
        <v>28404606344.200001</v>
      </c>
      <c r="AF744" t="s">
        <v>34</v>
      </c>
      <c r="AG744">
        <f t="shared" si="25"/>
        <v>11019203595.855925</v>
      </c>
    </row>
    <row r="745" spans="1:33" x14ac:dyDescent="0.3">
      <c r="A745" t="s">
        <v>513</v>
      </c>
      <c r="B745" s="1" t="s">
        <v>514</v>
      </c>
      <c r="C745" t="s">
        <v>196</v>
      </c>
      <c r="D745" s="1" t="s">
        <v>197</v>
      </c>
      <c r="E745" t="s">
        <v>34</v>
      </c>
      <c r="F745" t="s">
        <v>34</v>
      </c>
      <c r="G745" t="s">
        <v>34</v>
      </c>
      <c r="H745" t="s">
        <v>34</v>
      </c>
      <c r="I745" t="s">
        <v>34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34</v>
      </c>
      <c r="U745" t="s">
        <v>34</v>
      </c>
      <c r="V745" t="s">
        <v>34</v>
      </c>
      <c r="W745" t="s">
        <v>34</v>
      </c>
      <c r="X745" t="s">
        <v>34</v>
      </c>
      <c r="Y745" t="s">
        <v>34</v>
      </c>
      <c r="Z745" t="s">
        <v>34</v>
      </c>
      <c r="AA745" t="s">
        <v>34</v>
      </c>
      <c r="AB745" t="s">
        <v>34</v>
      </c>
      <c r="AC745" t="s">
        <v>34</v>
      </c>
      <c r="AD745" t="s">
        <v>34</v>
      </c>
      <c r="AE745" t="s">
        <v>34</v>
      </c>
      <c r="AF745" t="s">
        <v>34</v>
      </c>
      <c r="AG745" t="str">
        <f t="shared" si="25"/>
        <v>NA</v>
      </c>
    </row>
    <row r="746" spans="1:33" x14ac:dyDescent="0.3">
      <c r="A746" t="s">
        <v>513</v>
      </c>
      <c r="B746" s="1" t="s">
        <v>514</v>
      </c>
      <c r="C746" t="s">
        <v>198</v>
      </c>
      <c r="D746" s="1" t="s">
        <v>199</v>
      </c>
      <c r="E746" t="s">
        <v>34</v>
      </c>
      <c r="F746" t="s">
        <v>34</v>
      </c>
      <c r="G746" t="s">
        <v>34</v>
      </c>
      <c r="H746" t="s">
        <v>34</v>
      </c>
      <c r="I746" t="s">
        <v>34</v>
      </c>
      <c r="J746" t="s">
        <v>34</v>
      </c>
      <c r="K746" t="s">
        <v>34</v>
      </c>
      <c r="L746" t="s">
        <v>34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34</v>
      </c>
      <c r="V746" t="s">
        <v>34</v>
      </c>
      <c r="W746" t="s">
        <v>34</v>
      </c>
      <c r="X746" t="s">
        <v>34</v>
      </c>
      <c r="Y746" t="s">
        <v>34</v>
      </c>
      <c r="Z746" t="s">
        <v>34</v>
      </c>
      <c r="AA746">
        <v>19879648000</v>
      </c>
      <c r="AB746" t="s">
        <v>34</v>
      </c>
      <c r="AC746">
        <v>23857993644.799999</v>
      </c>
      <c r="AD746" t="s">
        <v>34</v>
      </c>
      <c r="AE746" t="s">
        <v>34</v>
      </c>
      <c r="AF746" t="s">
        <v>34</v>
      </c>
      <c r="AG746">
        <f t="shared" si="25"/>
        <v>21868820822.400002</v>
      </c>
    </row>
    <row r="747" spans="1:33" x14ac:dyDescent="0.3">
      <c r="A747" t="s">
        <v>513</v>
      </c>
      <c r="B747" s="1" t="s">
        <v>514</v>
      </c>
      <c r="C747" t="s">
        <v>200</v>
      </c>
      <c r="D747" s="1" t="s">
        <v>201</v>
      </c>
      <c r="E747" t="s">
        <v>34</v>
      </c>
      <c r="F747" t="s">
        <v>34</v>
      </c>
      <c r="G747" t="s">
        <v>34</v>
      </c>
      <c r="H747" t="s">
        <v>34</v>
      </c>
      <c r="I747" t="s">
        <v>34</v>
      </c>
      <c r="J747" t="s">
        <v>34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34</v>
      </c>
      <c r="V747" t="s">
        <v>34</v>
      </c>
      <c r="W747" t="s">
        <v>34</v>
      </c>
      <c r="X747" t="s">
        <v>34</v>
      </c>
      <c r="Y747" t="s">
        <v>34</v>
      </c>
      <c r="Z747" t="s">
        <v>34</v>
      </c>
      <c r="AA747" t="s">
        <v>34</v>
      </c>
      <c r="AB747" t="s">
        <v>34</v>
      </c>
      <c r="AC747" t="s">
        <v>34</v>
      </c>
      <c r="AD747" t="s">
        <v>34</v>
      </c>
      <c r="AE747" t="s">
        <v>34</v>
      </c>
      <c r="AF747" t="s">
        <v>34</v>
      </c>
      <c r="AG747" t="str">
        <f t="shared" si="25"/>
        <v>NA</v>
      </c>
    </row>
    <row r="748" spans="1:33" x14ac:dyDescent="0.3">
      <c r="A748" t="s">
        <v>513</v>
      </c>
      <c r="B748" s="1" t="s">
        <v>514</v>
      </c>
      <c r="C748" t="s">
        <v>202</v>
      </c>
      <c r="D748" s="1" t="s">
        <v>203</v>
      </c>
      <c r="E748" t="s">
        <v>34</v>
      </c>
      <c r="F748" t="s">
        <v>34</v>
      </c>
      <c r="G748" t="s">
        <v>34</v>
      </c>
      <c r="H748" t="s">
        <v>34</v>
      </c>
      <c r="I748" t="s">
        <v>34</v>
      </c>
      <c r="J748" t="s">
        <v>34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34</v>
      </c>
      <c r="Q748" t="s">
        <v>34</v>
      </c>
      <c r="R748" t="s">
        <v>34</v>
      </c>
      <c r="S748" t="s">
        <v>34</v>
      </c>
      <c r="T748" t="s">
        <v>34</v>
      </c>
      <c r="U748" t="s">
        <v>34</v>
      </c>
      <c r="V748" t="s">
        <v>34</v>
      </c>
      <c r="W748" t="s">
        <v>34</v>
      </c>
      <c r="X748" t="s">
        <v>34</v>
      </c>
      <c r="Y748" t="s">
        <v>34</v>
      </c>
      <c r="Z748" t="s">
        <v>34</v>
      </c>
      <c r="AA748" t="s">
        <v>34</v>
      </c>
      <c r="AB748" t="s">
        <v>34</v>
      </c>
      <c r="AC748" t="s">
        <v>34</v>
      </c>
      <c r="AD748" t="s">
        <v>34</v>
      </c>
      <c r="AE748" t="s">
        <v>34</v>
      </c>
      <c r="AF748" t="s">
        <v>34</v>
      </c>
      <c r="AG748" t="str">
        <f t="shared" si="25"/>
        <v>NA</v>
      </c>
    </row>
    <row r="749" spans="1:33" x14ac:dyDescent="0.3">
      <c r="A749" t="s">
        <v>513</v>
      </c>
      <c r="B749" s="1" t="s">
        <v>514</v>
      </c>
      <c r="C749" t="s">
        <v>204</v>
      </c>
      <c r="D749" s="1" t="s">
        <v>205</v>
      </c>
      <c r="E749" t="s">
        <v>34</v>
      </c>
      <c r="F749" t="s">
        <v>34</v>
      </c>
      <c r="G749" t="s">
        <v>34</v>
      </c>
      <c r="H749" t="s">
        <v>34</v>
      </c>
      <c r="I749" t="s">
        <v>34</v>
      </c>
      <c r="J749" t="s">
        <v>34</v>
      </c>
      <c r="K749" t="s">
        <v>34</v>
      </c>
      <c r="L749" t="s">
        <v>34</v>
      </c>
      <c r="M749">
        <v>4418600000</v>
      </c>
      <c r="N749">
        <v>5890100000</v>
      </c>
      <c r="O749">
        <v>7046400000</v>
      </c>
      <c r="P749">
        <v>9256000000</v>
      </c>
      <c r="Q749">
        <v>11845559000</v>
      </c>
      <c r="R749">
        <v>13163500000</v>
      </c>
      <c r="S749">
        <v>12502800000</v>
      </c>
      <c r="T749">
        <v>13241250000</v>
      </c>
      <c r="U749">
        <v>16677700000</v>
      </c>
      <c r="V749">
        <v>17300800000</v>
      </c>
      <c r="W749">
        <v>19352280159</v>
      </c>
      <c r="X749">
        <v>21333213525.470001</v>
      </c>
      <c r="Y749">
        <v>24989623291.259998</v>
      </c>
      <c r="Z749" t="s">
        <v>34</v>
      </c>
      <c r="AA749" t="s">
        <v>34</v>
      </c>
      <c r="AB749" t="s">
        <v>34</v>
      </c>
      <c r="AC749" t="s">
        <v>34</v>
      </c>
      <c r="AD749">
        <v>25574397403.400002</v>
      </c>
      <c r="AE749" t="s">
        <v>34</v>
      </c>
      <c r="AF749" t="s">
        <v>34</v>
      </c>
      <c r="AG749">
        <f t="shared" si="25"/>
        <v>14470873098.509287</v>
      </c>
    </row>
    <row r="750" spans="1:33" x14ac:dyDescent="0.3">
      <c r="A750" t="s">
        <v>513</v>
      </c>
      <c r="B750" s="1" t="s">
        <v>514</v>
      </c>
      <c r="C750" t="s">
        <v>206</v>
      </c>
      <c r="D750" s="1" t="s">
        <v>207</v>
      </c>
      <c r="E750" t="s">
        <v>34</v>
      </c>
      <c r="F750" t="s">
        <v>34</v>
      </c>
      <c r="G750" t="s">
        <v>34</v>
      </c>
      <c r="H750" t="s">
        <v>34</v>
      </c>
      <c r="I750" t="s">
        <v>34</v>
      </c>
      <c r="J750" t="s">
        <v>34</v>
      </c>
      <c r="K750" t="s">
        <v>34</v>
      </c>
      <c r="L750" t="s">
        <v>34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  <c r="U750" t="s">
        <v>34</v>
      </c>
      <c r="V750" t="s">
        <v>34</v>
      </c>
      <c r="W750" t="s">
        <v>34</v>
      </c>
      <c r="X750" t="s">
        <v>34</v>
      </c>
      <c r="Y750" t="s">
        <v>34</v>
      </c>
      <c r="Z750" t="s">
        <v>34</v>
      </c>
      <c r="AA750" t="s">
        <v>34</v>
      </c>
      <c r="AB750" t="s">
        <v>34</v>
      </c>
      <c r="AC750" t="s">
        <v>34</v>
      </c>
      <c r="AD750" t="s">
        <v>34</v>
      </c>
      <c r="AE750" t="s">
        <v>34</v>
      </c>
      <c r="AF750" t="s">
        <v>34</v>
      </c>
      <c r="AG750" t="str">
        <f t="shared" si="25"/>
        <v>NA</v>
      </c>
    </row>
    <row r="751" spans="1:33" x14ac:dyDescent="0.3">
      <c r="A751" t="s">
        <v>513</v>
      </c>
      <c r="B751" s="1" t="s">
        <v>514</v>
      </c>
      <c r="C751" t="s">
        <v>208</v>
      </c>
      <c r="D751" s="1" t="s">
        <v>209</v>
      </c>
      <c r="E751">
        <v>388955000000</v>
      </c>
      <c r="F751">
        <v>525737000000</v>
      </c>
      <c r="G751">
        <v>615029000000</v>
      </c>
      <c r="H751">
        <v>705938000000</v>
      </c>
      <c r="I751">
        <v>856018000000</v>
      </c>
      <c r="J751">
        <v>1009748000000</v>
      </c>
      <c r="K751">
        <v>1205947000000</v>
      </c>
      <c r="L751">
        <v>1355424000000</v>
      </c>
      <c r="M751">
        <v>1332041000000</v>
      </c>
      <c r="N751">
        <v>1345296000000</v>
      </c>
      <c r="O751">
        <v>1475245000000</v>
      </c>
      <c r="P751">
        <v>1693836000000</v>
      </c>
      <c r="Q751">
        <v>2024739000000</v>
      </c>
      <c r="R751">
        <v>2728360000000</v>
      </c>
      <c r="S751">
        <v>2476266000000</v>
      </c>
      <c r="T751">
        <v>2064226000000</v>
      </c>
      <c r="U751">
        <v>1706097000000</v>
      </c>
      <c r="V751">
        <v>1880856000000</v>
      </c>
      <c r="W751">
        <v>1905407000000</v>
      </c>
      <c r="X751">
        <v>2120192000000</v>
      </c>
      <c r="Y751">
        <v>2299699000000</v>
      </c>
      <c r="Z751">
        <v>2538097000000</v>
      </c>
      <c r="AA751">
        <v>2725587000000</v>
      </c>
      <c r="AB751">
        <v>2773438000000</v>
      </c>
      <c r="AC751">
        <v>3033880000000</v>
      </c>
      <c r="AD751">
        <v>3165554000000</v>
      </c>
      <c r="AE751">
        <v>3011651000000</v>
      </c>
      <c r="AF751" t="s">
        <v>34</v>
      </c>
      <c r="AG751">
        <f t="shared" si="25"/>
        <v>1813454185185.1853</v>
      </c>
    </row>
    <row r="752" spans="1:33" x14ac:dyDescent="0.3">
      <c r="A752" t="s">
        <v>513</v>
      </c>
      <c r="B752" s="1" t="s">
        <v>514</v>
      </c>
      <c r="C752" t="s">
        <v>210</v>
      </c>
      <c r="D752" s="1" t="s">
        <v>211</v>
      </c>
      <c r="E752">
        <v>29941500000</v>
      </c>
      <c r="F752">
        <v>35034100000</v>
      </c>
      <c r="G752">
        <v>32744800000</v>
      </c>
      <c r="H752">
        <v>41398800000</v>
      </c>
      <c r="I752">
        <v>51799600000</v>
      </c>
      <c r="J752">
        <v>57652400000</v>
      </c>
      <c r="K752">
        <v>64153621493</v>
      </c>
      <c r="L752">
        <v>66518493027</v>
      </c>
      <c r="M752">
        <v>73427731935</v>
      </c>
      <c r="N752">
        <v>83548088563</v>
      </c>
      <c r="O752">
        <v>105705169372</v>
      </c>
      <c r="P752">
        <v>128104584083</v>
      </c>
      <c r="Q752">
        <v>143375600575</v>
      </c>
      <c r="R752">
        <v>157515243413.85001</v>
      </c>
      <c r="S752">
        <v>132273417288</v>
      </c>
      <c r="T752">
        <v>132866699163.5</v>
      </c>
      <c r="U752">
        <v>140239136879</v>
      </c>
      <c r="V752">
        <v>148124698974</v>
      </c>
      <c r="W752">
        <v>168441021417</v>
      </c>
      <c r="X752">
        <v>204260244594.25</v>
      </c>
      <c r="Y752">
        <v>210535696156.25</v>
      </c>
      <c r="Z752">
        <v>240827124736.20001</v>
      </c>
      <c r="AA752">
        <v>274571712543</v>
      </c>
      <c r="AB752">
        <v>280954258936</v>
      </c>
      <c r="AC752">
        <v>288811451767</v>
      </c>
      <c r="AD752">
        <v>287478207222</v>
      </c>
      <c r="AE752">
        <v>295625665165</v>
      </c>
      <c r="AF752">
        <v>400069691675</v>
      </c>
      <c r="AG752">
        <f t="shared" si="25"/>
        <v>152714241392.07321</v>
      </c>
    </row>
    <row r="753" spans="1:33" x14ac:dyDescent="0.3">
      <c r="A753" t="s">
        <v>513</v>
      </c>
      <c r="B753" s="1" t="s">
        <v>514</v>
      </c>
      <c r="C753" t="s">
        <v>212</v>
      </c>
      <c r="D753" s="1" t="s">
        <v>213</v>
      </c>
      <c r="E753">
        <v>332600000000</v>
      </c>
      <c r="F753">
        <v>385130000000</v>
      </c>
      <c r="G753">
        <v>383120000000</v>
      </c>
      <c r="H753">
        <v>460330000000</v>
      </c>
      <c r="I753">
        <v>575590000000</v>
      </c>
      <c r="J753">
        <v>678750000000</v>
      </c>
      <c r="K753">
        <v>688020000000</v>
      </c>
      <c r="L753">
        <v>827630000000</v>
      </c>
      <c r="M753">
        <v>1049520000000</v>
      </c>
      <c r="N753">
        <v>1320340000000</v>
      </c>
      <c r="O753">
        <v>1620780000000</v>
      </c>
      <c r="P753">
        <v>2247890000000</v>
      </c>
      <c r="Q753">
        <v>3118690000000</v>
      </c>
      <c r="R753">
        <v>3194860000000</v>
      </c>
      <c r="S753">
        <v>3670800000000</v>
      </c>
      <c r="T753">
        <v>4378260000000</v>
      </c>
      <c r="U753">
        <v>4873710000000</v>
      </c>
      <c r="V753">
        <v>5630960000000</v>
      </c>
      <c r="W753">
        <v>6604420000000</v>
      </c>
      <c r="X753">
        <v>6873160400000</v>
      </c>
      <c r="Y753">
        <v>7335600000000</v>
      </c>
      <c r="Z753">
        <v>8405920000000</v>
      </c>
      <c r="AA753">
        <v>9972310000000</v>
      </c>
      <c r="AB753">
        <v>11390000000000</v>
      </c>
      <c r="AC753" t="s">
        <v>34</v>
      </c>
      <c r="AD753" t="s">
        <v>34</v>
      </c>
      <c r="AE753" t="s">
        <v>34</v>
      </c>
      <c r="AF753" t="s">
        <v>34</v>
      </c>
      <c r="AG753">
        <f t="shared" si="25"/>
        <v>3584099600000</v>
      </c>
    </row>
    <row r="754" spans="1:33" x14ac:dyDescent="0.3">
      <c r="A754" t="s">
        <v>513</v>
      </c>
      <c r="B754" s="1" t="s">
        <v>514</v>
      </c>
      <c r="C754" t="s">
        <v>214</v>
      </c>
      <c r="D754" s="1" t="s">
        <v>215</v>
      </c>
      <c r="E754">
        <v>37076000000000</v>
      </c>
      <c r="F754">
        <v>45368000000000</v>
      </c>
      <c r="G754">
        <v>64947300000000</v>
      </c>
      <c r="H754">
        <v>97313000000000</v>
      </c>
      <c r="I754">
        <v>118164300000000</v>
      </c>
      <c r="J754" t="s">
        <v>34</v>
      </c>
      <c r="K754">
        <v>94461600000000</v>
      </c>
      <c r="L754">
        <v>101873500000000</v>
      </c>
      <c r="M754">
        <v>115015586781541</v>
      </c>
      <c r="N754">
        <v>118923100000000</v>
      </c>
      <c r="O754" t="s">
        <v>34</v>
      </c>
      <c r="P754" t="s">
        <v>34</v>
      </c>
      <c r="Q754" t="s">
        <v>34</v>
      </c>
      <c r="R754">
        <v>326856000000000</v>
      </c>
      <c r="S754">
        <v>317583000000000</v>
      </c>
      <c r="T754">
        <v>357046000000000</v>
      </c>
      <c r="U754">
        <v>431122000000000</v>
      </c>
      <c r="V754">
        <v>465070000000000</v>
      </c>
      <c r="W754">
        <v>506442000000000</v>
      </c>
      <c r="X754">
        <v>546179701230782</v>
      </c>
      <c r="Y754">
        <v>602306441585693</v>
      </c>
      <c r="Z754">
        <v>666209607843291</v>
      </c>
      <c r="AA754">
        <v>646793123228574</v>
      </c>
      <c r="AB754">
        <v>749976679777826</v>
      </c>
      <c r="AC754">
        <v>772265718286668</v>
      </c>
      <c r="AD754">
        <v>594033333770490</v>
      </c>
      <c r="AE754">
        <v>696676588239336</v>
      </c>
      <c r="AF754" t="s">
        <v>34</v>
      </c>
      <c r="AG754">
        <f t="shared" si="25"/>
        <v>368334894814965.25</v>
      </c>
    </row>
    <row r="755" spans="1:33" x14ac:dyDescent="0.3">
      <c r="A755" t="s">
        <v>513</v>
      </c>
      <c r="B755" s="1" t="s">
        <v>514</v>
      </c>
      <c r="C755" t="s">
        <v>216</v>
      </c>
      <c r="D755" s="1" t="s">
        <v>217</v>
      </c>
      <c r="E755">
        <v>5208000000000</v>
      </c>
      <c r="F755">
        <v>8453000000000</v>
      </c>
      <c r="G755">
        <v>10442000000000</v>
      </c>
      <c r="H755">
        <v>11955000000000</v>
      </c>
      <c r="I755">
        <v>15537666000000</v>
      </c>
      <c r="J755">
        <v>18272374000000</v>
      </c>
      <c r="K755">
        <v>21242814000000</v>
      </c>
      <c r="L755">
        <v>23185200000000</v>
      </c>
      <c r="M755">
        <v>29607317946165.898</v>
      </c>
      <c r="N755">
        <v>38176793180950</v>
      </c>
      <c r="O755">
        <v>79836195443712.5</v>
      </c>
      <c r="P755">
        <v>92038419356181.5</v>
      </c>
      <c r="Q755">
        <v>118805324077112</v>
      </c>
      <c r="R755">
        <v>159648194758306</v>
      </c>
      <c r="S755">
        <v>201665000000000</v>
      </c>
      <c r="T755" t="s">
        <v>34</v>
      </c>
      <c r="U755" t="s">
        <v>34</v>
      </c>
      <c r="V755" t="s">
        <v>34</v>
      </c>
      <c r="W755" t="s">
        <v>34</v>
      </c>
      <c r="X755" t="s">
        <v>34</v>
      </c>
      <c r="Y755" t="s">
        <v>34</v>
      </c>
      <c r="Z755" t="s">
        <v>34</v>
      </c>
      <c r="AA755" t="s">
        <v>34</v>
      </c>
      <c r="AB755" t="s">
        <v>34</v>
      </c>
      <c r="AC755" t="s">
        <v>34</v>
      </c>
      <c r="AD755" t="s">
        <v>34</v>
      </c>
      <c r="AE755" t="s">
        <v>34</v>
      </c>
      <c r="AF755" t="s">
        <v>34</v>
      </c>
      <c r="AG755">
        <f t="shared" si="25"/>
        <v>55604886584161.859</v>
      </c>
    </row>
    <row r="756" spans="1:33" x14ac:dyDescent="0.3">
      <c r="A756" t="s">
        <v>513</v>
      </c>
      <c r="B756" s="1" t="s">
        <v>514</v>
      </c>
      <c r="C756" t="s">
        <v>218</v>
      </c>
      <c r="D756" s="1" t="s">
        <v>219</v>
      </c>
      <c r="E756" t="s">
        <v>34</v>
      </c>
      <c r="F756" t="s">
        <v>34</v>
      </c>
      <c r="G756" t="s">
        <v>34</v>
      </c>
      <c r="H756" t="s">
        <v>34</v>
      </c>
      <c r="I756" t="s">
        <v>34</v>
      </c>
      <c r="J756" t="s">
        <v>34</v>
      </c>
      <c r="K756" t="s">
        <v>34</v>
      </c>
      <c r="L756" t="s">
        <v>34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34</v>
      </c>
      <c r="V756" t="s">
        <v>34</v>
      </c>
      <c r="W756" t="s">
        <v>34</v>
      </c>
      <c r="X756">
        <v>1322370000000</v>
      </c>
      <c r="Y756">
        <v>1410090557989.46</v>
      </c>
      <c r="Z756">
        <v>2610179830691.48</v>
      </c>
      <c r="AA756">
        <v>4301087866656.4302</v>
      </c>
      <c r="AB756">
        <v>3148269321415.73</v>
      </c>
      <c r="AC756">
        <v>2124538461964.6899</v>
      </c>
      <c r="AD756" t="s">
        <v>34</v>
      </c>
      <c r="AE756" t="s">
        <v>34</v>
      </c>
      <c r="AF756" t="s">
        <v>34</v>
      </c>
      <c r="AG756">
        <f t="shared" si="25"/>
        <v>2486089339786.2983</v>
      </c>
    </row>
    <row r="757" spans="1:33" x14ac:dyDescent="0.3">
      <c r="A757" t="s">
        <v>513</v>
      </c>
      <c r="B757" s="1" t="s">
        <v>514</v>
      </c>
      <c r="C757" t="s">
        <v>220</v>
      </c>
      <c r="D757" s="1" t="s">
        <v>221</v>
      </c>
      <c r="E757">
        <v>7037741000</v>
      </c>
      <c r="F757">
        <v>8015576000</v>
      </c>
      <c r="G757">
        <v>9234317000</v>
      </c>
      <c r="H757">
        <v>10518094000</v>
      </c>
      <c r="I757">
        <v>12527292000</v>
      </c>
      <c r="J757">
        <v>14537759000</v>
      </c>
      <c r="K757">
        <v>15030776000</v>
      </c>
      <c r="L757">
        <v>15963143000</v>
      </c>
      <c r="M757">
        <v>17617954000</v>
      </c>
      <c r="N757">
        <v>19599021000</v>
      </c>
      <c r="O757">
        <v>21178681000</v>
      </c>
      <c r="P757">
        <v>24586338000</v>
      </c>
      <c r="Q757">
        <v>25364550000</v>
      </c>
      <c r="R757">
        <v>22164570000</v>
      </c>
      <c r="S757">
        <v>19117407000</v>
      </c>
      <c r="T757">
        <v>18616977000</v>
      </c>
      <c r="U757">
        <v>19434579000</v>
      </c>
      <c r="V757">
        <v>20836697000</v>
      </c>
      <c r="W757">
        <v>21298225000</v>
      </c>
      <c r="X757">
        <v>23016052000</v>
      </c>
      <c r="Y757">
        <v>26599463000</v>
      </c>
      <c r="Z757">
        <v>27893463000</v>
      </c>
      <c r="AA757">
        <v>29605699000</v>
      </c>
      <c r="AB757">
        <v>33276795000</v>
      </c>
      <c r="AC757">
        <v>35559813000</v>
      </c>
      <c r="AD757">
        <v>36333234000</v>
      </c>
      <c r="AE757">
        <v>44736674000</v>
      </c>
      <c r="AF757" t="s">
        <v>34</v>
      </c>
      <c r="AG757">
        <f t="shared" si="25"/>
        <v>21470403333.333332</v>
      </c>
    </row>
    <row r="758" spans="1:33" x14ac:dyDescent="0.3">
      <c r="A758" t="s">
        <v>513</v>
      </c>
      <c r="B758" s="1" t="s">
        <v>514</v>
      </c>
      <c r="C758" t="s">
        <v>222</v>
      </c>
      <c r="D758" s="1" t="s">
        <v>223</v>
      </c>
      <c r="E758" t="s">
        <v>34</v>
      </c>
      <c r="F758" t="s">
        <v>34</v>
      </c>
      <c r="G758" t="s">
        <v>34</v>
      </c>
      <c r="H758" t="s">
        <v>34</v>
      </c>
      <c r="I758" t="s">
        <v>34</v>
      </c>
      <c r="J758" t="s">
        <v>34</v>
      </c>
      <c r="K758" t="s">
        <v>34</v>
      </c>
      <c r="L758" t="s">
        <v>34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34</v>
      </c>
      <c r="U758" t="s">
        <v>34</v>
      </c>
      <c r="V758" t="s">
        <v>34</v>
      </c>
      <c r="W758" t="s">
        <v>34</v>
      </c>
      <c r="X758" t="s">
        <v>34</v>
      </c>
      <c r="Y758" t="s">
        <v>34</v>
      </c>
      <c r="Z758" t="s">
        <v>34</v>
      </c>
      <c r="AA758" t="s">
        <v>34</v>
      </c>
      <c r="AB758" t="s">
        <v>34</v>
      </c>
      <c r="AC758" t="s">
        <v>34</v>
      </c>
      <c r="AD758" t="s">
        <v>34</v>
      </c>
      <c r="AE758" t="s">
        <v>34</v>
      </c>
      <c r="AF758" t="s">
        <v>34</v>
      </c>
      <c r="AG758" t="str">
        <f t="shared" si="25"/>
        <v>NA</v>
      </c>
    </row>
    <row r="759" spans="1:33" x14ac:dyDescent="0.3">
      <c r="A759" t="s">
        <v>513</v>
      </c>
      <c r="B759" s="1" t="s">
        <v>514</v>
      </c>
      <c r="C759" t="s">
        <v>224</v>
      </c>
      <c r="D759" s="1" t="s">
        <v>225</v>
      </c>
      <c r="E759">
        <v>41616000000</v>
      </c>
      <c r="F759">
        <v>44248000000</v>
      </c>
      <c r="G759">
        <v>52359000000</v>
      </c>
      <c r="H759">
        <v>57145000000</v>
      </c>
      <c r="I759">
        <v>62087000000</v>
      </c>
      <c r="J759">
        <v>75758300000</v>
      </c>
      <c r="K759">
        <v>76065550000</v>
      </c>
      <c r="L759">
        <v>69823750000</v>
      </c>
      <c r="M759">
        <v>65799100000</v>
      </c>
      <c r="N759">
        <v>68034700000</v>
      </c>
      <c r="O759">
        <v>74715700000</v>
      </c>
      <c r="P759">
        <v>88410000000</v>
      </c>
      <c r="Q759">
        <v>93733000000</v>
      </c>
      <c r="R759">
        <v>84026900000</v>
      </c>
      <c r="S759">
        <v>74579300000</v>
      </c>
      <c r="T759">
        <v>80719000000</v>
      </c>
      <c r="U759">
        <v>89316000000</v>
      </c>
      <c r="V759">
        <v>92578000000</v>
      </c>
      <c r="W759">
        <v>104038000000</v>
      </c>
      <c r="X759">
        <v>108086000000</v>
      </c>
      <c r="Y759">
        <v>117793000000</v>
      </c>
      <c r="Z759">
        <v>124666000000</v>
      </c>
      <c r="AA759">
        <v>152003000000</v>
      </c>
      <c r="AB759">
        <v>139795000000</v>
      </c>
      <c r="AC759">
        <v>144732000000</v>
      </c>
      <c r="AD759">
        <v>143471000000</v>
      </c>
      <c r="AE759">
        <v>191058000000</v>
      </c>
      <c r="AF759" t="s">
        <v>34</v>
      </c>
      <c r="AG759">
        <f t="shared" si="25"/>
        <v>93209492592.59259</v>
      </c>
    </row>
    <row r="760" spans="1:33" x14ac:dyDescent="0.3">
      <c r="A760" t="s">
        <v>513</v>
      </c>
      <c r="B760" s="1" t="s">
        <v>514</v>
      </c>
      <c r="C760" t="s">
        <v>226</v>
      </c>
      <c r="D760" s="1" t="s">
        <v>227</v>
      </c>
      <c r="E760">
        <v>129692000000</v>
      </c>
      <c r="F760">
        <v>144453000000</v>
      </c>
      <c r="G760">
        <v>158490000000</v>
      </c>
      <c r="H760">
        <v>150206000000</v>
      </c>
      <c r="I760">
        <v>159960000000</v>
      </c>
      <c r="J760">
        <v>162866000000</v>
      </c>
      <c r="K760">
        <v>172264000000</v>
      </c>
      <c r="L760">
        <v>167537000000</v>
      </c>
      <c r="M760">
        <v>164357000000</v>
      </c>
      <c r="N760">
        <v>170552000000</v>
      </c>
      <c r="O760">
        <v>177198000000</v>
      </c>
      <c r="P760">
        <v>199119000000</v>
      </c>
      <c r="Q760">
        <v>216524000000</v>
      </c>
      <c r="R760">
        <v>221894000000</v>
      </c>
      <c r="S760">
        <v>204503000000</v>
      </c>
      <c r="T760">
        <v>208377000000</v>
      </c>
      <c r="U760">
        <v>207402000000</v>
      </c>
      <c r="V760">
        <v>216479000000</v>
      </c>
      <c r="W760">
        <v>218695000000</v>
      </c>
      <c r="X760">
        <v>213963000000</v>
      </c>
      <c r="Y760">
        <v>218668000000</v>
      </c>
      <c r="Z760">
        <v>220828000000</v>
      </c>
      <c r="AA760">
        <v>224086000000</v>
      </c>
      <c r="AB760">
        <v>222315000000</v>
      </c>
      <c r="AC760">
        <v>231935000000</v>
      </c>
      <c r="AD760">
        <v>225702000000</v>
      </c>
      <c r="AE760">
        <v>241028000000</v>
      </c>
      <c r="AF760" t="s">
        <v>34</v>
      </c>
      <c r="AG760">
        <f t="shared" si="25"/>
        <v>194410851851.85184</v>
      </c>
    </row>
    <row r="761" spans="1:33" x14ac:dyDescent="0.3">
      <c r="A761" t="s">
        <v>513</v>
      </c>
      <c r="B761" s="1" t="s">
        <v>514</v>
      </c>
      <c r="C761" t="s">
        <v>228</v>
      </c>
      <c r="D761" s="1" t="s">
        <v>229</v>
      </c>
      <c r="E761">
        <v>20935165625</v>
      </c>
      <c r="F761">
        <v>24299642672</v>
      </c>
      <c r="G761">
        <v>26416552669</v>
      </c>
      <c r="H761">
        <v>29208754046.599998</v>
      </c>
      <c r="I761">
        <v>32931430256</v>
      </c>
      <c r="J761">
        <v>39277467906</v>
      </c>
      <c r="K761">
        <v>39750780415</v>
      </c>
      <c r="L761">
        <v>45438905818</v>
      </c>
      <c r="M761">
        <v>59977139500</v>
      </c>
      <c r="N761">
        <v>69515145000</v>
      </c>
      <c r="O761">
        <v>73849685000</v>
      </c>
      <c r="P761">
        <v>85530349000</v>
      </c>
      <c r="Q761">
        <v>102886702560</v>
      </c>
      <c r="R761">
        <v>119168533141</v>
      </c>
      <c r="S761">
        <v>130581363600</v>
      </c>
      <c r="T761">
        <v>118215187854</v>
      </c>
      <c r="U761">
        <v>121418545257</v>
      </c>
      <c r="V761">
        <v>130915830195</v>
      </c>
      <c r="W761">
        <v>130751559305</v>
      </c>
      <c r="X761">
        <v>140477815356</v>
      </c>
      <c r="Y761">
        <v>152004258563</v>
      </c>
      <c r="Z761">
        <v>159689549208.59299</v>
      </c>
      <c r="AA761">
        <v>157741652411</v>
      </c>
      <c r="AB761">
        <v>172686939994</v>
      </c>
      <c r="AC761">
        <v>192315272779.53</v>
      </c>
      <c r="AD761">
        <v>191255307100</v>
      </c>
      <c r="AE761" t="s">
        <v>34</v>
      </c>
      <c r="AF761" t="s">
        <v>34</v>
      </c>
      <c r="AG761">
        <f t="shared" si="25"/>
        <v>98739982124.297043</v>
      </c>
    </row>
    <row r="762" spans="1:33" x14ac:dyDescent="0.3">
      <c r="A762" t="s">
        <v>513</v>
      </c>
      <c r="B762" s="1" t="s">
        <v>514</v>
      </c>
      <c r="C762" t="s">
        <v>230</v>
      </c>
      <c r="D762" s="1" t="s">
        <v>231</v>
      </c>
      <c r="E762" t="s">
        <v>34</v>
      </c>
      <c r="F762" t="s">
        <v>34</v>
      </c>
      <c r="G762" t="s">
        <v>34</v>
      </c>
      <c r="H762" t="s">
        <v>34</v>
      </c>
      <c r="I762" t="s">
        <v>34</v>
      </c>
      <c r="J762" t="s">
        <v>34</v>
      </c>
      <c r="K762" t="s">
        <v>34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34</v>
      </c>
      <c r="X762" t="s">
        <v>34</v>
      </c>
      <c r="Y762" t="s">
        <v>34</v>
      </c>
      <c r="Z762" t="s">
        <v>34</v>
      </c>
      <c r="AA762" t="s">
        <v>34</v>
      </c>
      <c r="AB762" t="s">
        <v>34</v>
      </c>
      <c r="AC762" t="s">
        <v>34</v>
      </c>
      <c r="AD762" t="s">
        <v>34</v>
      </c>
      <c r="AE762" t="s">
        <v>34</v>
      </c>
      <c r="AF762" t="s">
        <v>34</v>
      </c>
      <c r="AG762" t="str">
        <f t="shared" si="25"/>
        <v>NA</v>
      </c>
    </row>
    <row r="763" spans="1:33" x14ac:dyDescent="0.3">
      <c r="A763" t="s">
        <v>513</v>
      </c>
      <c r="B763" s="1" t="s">
        <v>514</v>
      </c>
      <c r="C763" t="s">
        <v>232</v>
      </c>
      <c r="D763" s="1" t="s">
        <v>233</v>
      </c>
      <c r="E763">
        <v>152430000</v>
      </c>
      <c r="F763">
        <v>173060000</v>
      </c>
      <c r="G763">
        <v>149690000</v>
      </c>
      <c r="H763">
        <v>139640000</v>
      </c>
      <c r="I763">
        <v>152770000</v>
      </c>
      <c r="J763">
        <v>160970000</v>
      </c>
      <c r="K763">
        <v>195410000</v>
      </c>
      <c r="L763">
        <v>196210000</v>
      </c>
      <c r="M763">
        <v>195390000</v>
      </c>
      <c r="N763">
        <v>217910000</v>
      </c>
      <c r="O763">
        <v>283700000</v>
      </c>
      <c r="P763">
        <v>411440000</v>
      </c>
      <c r="Q763">
        <v>494900000</v>
      </c>
      <c r="R763">
        <v>603400000</v>
      </c>
      <c r="S763">
        <v>764700000</v>
      </c>
      <c r="T763">
        <v>624600000</v>
      </c>
      <c r="U763">
        <v>667500000</v>
      </c>
      <c r="V763">
        <v>688300000</v>
      </c>
      <c r="W763">
        <v>681800000</v>
      </c>
      <c r="X763">
        <v>766400000</v>
      </c>
      <c r="Y763">
        <v>858600000</v>
      </c>
      <c r="Z763">
        <v>944700000</v>
      </c>
      <c r="AA763">
        <v>937900000</v>
      </c>
      <c r="AB763">
        <v>964900000</v>
      </c>
      <c r="AC763">
        <v>1020200000</v>
      </c>
      <c r="AD763">
        <v>1103500000</v>
      </c>
      <c r="AE763" t="s">
        <v>34</v>
      </c>
      <c r="AF763" t="s">
        <v>34</v>
      </c>
      <c r="AG763">
        <f t="shared" si="25"/>
        <v>521154615.38461536</v>
      </c>
    </row>
    <row r="764" spans="1:33" x14ac:dyDescent="0.3">
      <c r="A764" t="s">
        <v>513</v>
      </c>
      <c r="B764" s="1" t="s">
        <v>514</v>
      </c>
      <c r="C764" t="s">
        <v>234</v>
      </c>
      <c r="D764" s="1" t="s">
        <v>235</v>
      </c>
      <c r="E764" t="s">
        <v>34</v>
      </c>
      <c r="F764" t="s">
        <v>34</v>
      </c>
      <c r="G764">
        <v>26651000000</v>
      </c>
      <c r="H764">
        <v>22366000000</v>
      </c>
      <c r="I764">
        <v>28177000000</v>
      </c>
      <c r="J764">
        <v>82962853000</v>
      </c>
      <c r="K764">
        <v>90681586000</v>
      </c>
      <c r="L764">
        <v>209053831000</v>
      </c>
      <c r="M764">
        <v>272632174000</v>
      </c>
      <c r="N764">
        <v>382814302000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>
        <v>1760024896217</v>
      </c>
      <c r="U764">
        <v>2397935417865.7002</v>
      </c>
      <c r="V764">
        <v>2387739469721.8999</v>
      </c>
      <c r="W764">
        <v>2435135751790.7002</v>
      </c>
      <c r="X764">
        <v>2561711823943.1001</v>
      </c>
      <c r="Y764">
        <v>1869169961391.72</v>
      </c>
      <c r="Z764">
        <v>1918634909149.5</v>
      </c>
      <c r="AA764">
        <v>2378694783850.2002</v>
      </c>
      <c r="AB764">
        <v>3134167272914.7998</v>
      </c>
      <c r="AC764">
        <v>3327934071519.8999</v>
      </c>
      <c r="AD764">
        <v>2088990178486.3</v>
      </c>
      <c r="AE764">
        <v>3104700000000</v>
      </c>
      <c r="AF764" t="s">
        <v>34</v>
      </c>
      <c r="AG764">
        <f t="shared" si="25"/>
        <v>1524008864142.541</v>
      </c>
    </row>
    <row r="765" spans="1:33" x14ac:dyDescent="0.3">
      <c r="A765" t="s">
        <v>513</v>
      </c>
      <c r="B765" s="1" t="s">
        <v>514</v>
      </c>
      <c r="C765" t="s">
        <v>236</v>
      </c>
      <c r="D765" s="1" t="s">
        <v>237</v>
      </c>
      <c r="E765" t="s">
        <v>34</v>
      </c>
      <c r="F765" t="s">
        <v>34</v>
      </c>
      <c r="G765" t="s">
        <v>34</v>
      </c>
      <c r="H765" t="s">
        <v>34</v>
      </c>
      <c r="I765" t="s">
        <v>34</v>
      </c>
      <c r="J765" t="s">
        <v>34</v>
      </c>
      <c r="K765" t="s">
        <v>34</v>
      </c>
      <c r="L765" t="s">
        <v>34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34</v>
      </c>
      <c r="V765" t="s">
        <v>34</v>
      </c>
      <c r="W765" t="s">
        <v>34</v>
      </c>
      <c r="X765">
        <v>449590074197.95001</v>
      </c>
      <c r="Y765">
        <v>509159842863.32001</v>
      </c>
      <c r="Z765" t="s">
        <v>34</v>
      </c>
      <c r="AA765">
        <v>627469000000</v>
      </c>
      <c r="AB765">
        <v>657233210000</v>
      </c>
      <c r="AC765">
        <v>686163026333.80005</v>
      </c>
      <c r="AD765">
        <v>707146572781.68701</v>
      </c>
      <c r="AE765">
        <v>694052522806.151</v>
      </c>
      <c r="AF765" t="s">
        <v>34</v>
      </c>
      <c r="AG765">
        <f t="shared" si="25"/>
        <v>618687749854.70117</v>
      </c>
    </row>
    <row r="766" spans="1:33" x14ac:dyDescent="0.3">
      <c r="A766" t="s">
        <v>513</v>
      </c>
      <c r="B766" s="1" t="s">
        <v>514</v>
      </c>
      <c r="C766" t="s">
        <v>238</v>
      </c>
      <c r="D766" s="1" t="s">
        <v>239</v>
      </c>
      <c r="E766" t="s">
        <v>34</v>
      </c>
      <c r="F766" t="s">
        <v>34</v>
      </c>
      <c r="G766" t="s">
        <v>34</v>
      </c>
      <c r="H766" t="s">
        <v>34</v>
      </c>
      <c r="I766" t="s">
        <v>34</v>
      </c>
      <c r="J766" t="s">
        <v>34</v>
      </c>
      <c r="K766" t="s">
        <v>34</v>
      </c>
      <c r="L766" t="s">
        <v>34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>
        <v>11834283.59</v>
      </c>
      <c r="V766">
        <v>14199634.220000001</v>
      </c>
      <c r="W766">
        <v>12689639.48</v>
      </c>
      <c r="X766">
        <v>13608823.189999999</v>
      </c>
      <c r="Y766">
        <v>16273205.970000001</v>
      </c>
      <c r="Z766">
        <v>17760135.859999999</v>
      </c>
      <c r="AA766">
        <v>17995037.870000001</v>
      </c>
      <c r="AB766">
        <v>20572619.949999999</v>
      </c>
      <c r="AC766">
        <v>21492095.68</v>
      </c>
      <c r="AD766">
        <v>22067306.850000001</v>
      </c>
      <c r="AE766">
        <v>26304612.600000001</v>
      </c>
      <c r="AF766" t="s">
        <v>34</v>
      </c>
      <c r="AG766">
        <f t="shared" si="25"/>
        <v>17708854.114545453</v>
      </c>
    </row>
    <row r="767" spans="1:33" x14ac:dyDescent="0.3">
      <c r="A767" t="s">
        <v>513</v>
      </c>
      <c r="B767" s="1" t="s">
        <v>514</v>
      </c>
      <c r="C767" t="s">
        <v>240</v>
      </c>
      <c r="D767" s="1" t="s">
        <v>241</v>
      </c>
      <c r="E767" t="s">
        <v>34</v>
      </c>
      <c r="F767" t="s">
        <v>34</v>
      </c>
      <c r="G767" t="s">
        <v>34</v>
      </c>
      <c r="H767" t="s">
        <v>34</v>
      </c>
      <c r="I767" t="s">
        <v>34</v>
      </c>
      <c r="J767" t="s">
        <v>34</v>
      </c>
      <c r="K767" t="s">
        <v>34</v>
      </c>
      <c r="L767" t="s">
        <v>34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34</v>
      </c>
      <c r="U767" t="s">
        <v>34</v>
      </c>
      <c r="V767" t="s">
        <v>34</v>
      </c>
      <c r="W767" t="s">
        <v>34</v>
      </c>
      <c r="X767" t="s">
        <v>34</v>
      </c>
      <c r="Y767" t="s">
        <v>34</v>
      </c>
      <c r="Z767" t="s">
        <v>34</v>
      </c>
      <c r="AA767" t="s">
        <v>34</v>
      </c>
      <c r="AB767" t="s">
        <v>34</v>
      </c>
      <c r="AC767" t="s">
        <v>34</v>
      </c>
      <c r="AD767" t="s">
        <v>34</v>
      </c>
      <c r="AE767" t="s">
        <v>34</v>
      </c>
      <c r="AF767" t="s">
        <v>34</v>
      </c>
      <c r="AG767" t="str">
        <f t="shared" si="25"/>
        <v>NA</v>
      </c>
    </row>
    <row r="768" spans="1:33" x14ac:dyDescent="0.3">
      <c r="A768" t="s">
        <v>513</v>
      </c>
      <c r="B768" s="1" t="s">
        <v>514</v>
      </c>
      <c r="C768" t="s">
        <v>242</v>
      </c>
      <c r="D768" s="1" t="s">
        <v>243</v>
      </c>
      <c r="E768">
        <v>22309000000000</v>
      </c>
      <c r="F768">
        <v>24137000000000</v>
      </c>
      <c r="G768">
        <v>24292000000000</v>
      </c>
      <c r="H768">
        <v>27974912000000</v>
      </c>
      <c r="I768">
        <v>25220049000000</v>
      </c>
      <c r="J768">
        <v>35387362000000</v>
      </c>
      <c r="K768">
        <v>35638017000000</v>
      </c>
      <c r="L768">
        <v>38403644000000</v>
      </c>
      <c r="M768">
        <v>46419988000000</v>
      </c>
      <c r="N768">
        <v>48112346000000</v>
      </c>
      <c r="O768">
        <v>54456000000000</v>
      </c>
      <c r="P768">
        <v>60366500000000</v>
      </c>
      <c r="Q768">
        <v>74273312000000</v>
      </c>
      <c r="R768">
        <v>75509619000000</v>
      </c>
      <c r="S768">
        <v>69674659000000</v>
      </c>
      <c r="T768">
        <v>74730072000000</v>
      </c>
      <c r="U768">
        <v>87160524000000</v>
      </c>
      <c r="V768">
        <v>94326100000000</v>
      </c>
      <c r="W768">
        <v>94338300000000</v>
      </c>
      <c r="X768">
        <v>99138746600446</v>
      </c>
      <c r="Y768">
        <v>108949751655993</v>
      </c>
      <c r="Z768">
        <v>123347139230382</v>
      </c>
      <c r="AA768">
        <v>137386094729821</v>
      </c>
      <c r="AB768">
        <v>160330650528966</v>
      </c>
      <c r="AC768">
        <v>159465349317351</v>
      </c>
      <c r="AD768">
        <v>153918759185582</v>
      </c>
      <c r="AE768">
        <v>191508833369589</v>
      </c>
      <c r="AF768" t="s">
        <v>34</v>
      </c>
      <c r="AG768">
        <f t="shared" si="25"/>
        <v>79510175134004.813</v>
      </c>
    </row>
    <row r="769" spans="1:33" x14ac:dyDescent="0.3">
      <c r="A769" t="s">
        <v>513</v>
      </c>
      <c r="B769" s="1" t="s">
        <v>514</v>
      </c>
      <c r="C769" t="s">
        <v>244</v>
      </c>
      <c r="D769" s="1" t="s">
        <v>245</v>
      </c>
      <c r="E769" t="s">
        <v>34</v>
      </c>
      <c r="F769" t="s">
        <v>34</v>
      </c>
      <c r="G769" t="s">
        <v>34</v>
      </c>
      <c r="H769" t="s">
        <v>34</v>
      </c>
      <c r="I769" t="s">
        <v>34</v>
      </c>
      <c r="J769" t="s">
        <v>34</v>
      </c>
      <c r="K769" t="s">
        <v>34</v>
      </c>
      <c r="L769" t="s">
        <v>34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34</v>
      </c>
      <c r="V769" t="s">
        <v>34</v>
      </c>
      <c r="W769" t="s">
        <v>34</v>
      </c>
      <c r="X769" t="s">
        <v>34</v>
      </c>
      <c r="Y769" t="s">
        <v>34</v>
      </c>
      <c r="Z769" t="s">
        <v>34</v>
      </c>
      <c r="AA769" t="s">
        <v>34</v>
      </c>
      <c r="AB769" t="s">
        <v>34</v>
      </c>
      <c r="AC769" t="s">
        <v>34</v>
      </c>
      <c r="AD769" t="s">
        <v>34</v>
      </c>
      <c r="AE769" t="s">
        <v>34</v>
      </c>
      <c r="AF769" t="s">
        <v>34</v>
      </c>
      <c r="AG769" t="str">
        <f t="shared" si="25"/>
        <v>NA</v>
      </c>
    </row>
    <row r="770" spans="1:33" x14ac:dyDescent="0.3">
      <c r="A770" t="s">
        <v>513</v>
      </c>
      <c r="B770" s="1" t="s">
        <v>514</v>
      </c>
      <c r="C770" t="s">
        <v>246</v>
      </c>
      <c r="D770" s="1" t="s">
        <v>247</v>
      </c>
      <c r="E770">
        <v>23000000</v>
      </c>
      <c r="F770">
        <v>14000000</v>
      </c>
      <c r="G770">
        <v>20000000</v>
      </c>
      <c r="H770">
        <v>29000000</v>
      </c>
      <c r="I770" t="s">
        <v>34</v>
      </c>
      <c r="J770" t="s">
        <v>34</v>
      </c>
      <c r="K770" t="s">
        <v>34</v>
      </c>
      <c r="L770" t="s">
        <v>34</v>
      </c>
      <c r="M770" t="s">
        <v>34</v>
      </c>
      <c r="N770" t="s">
        <v>34</v>
      </c>
      <c r="O770" t="s">
        <v>34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34</v>
      </c>
      <c r="X770" t="s">
        <v>34</v>
      </c>
      <c r="Y770" t="s">
        <v>34</v>
      </c>
      <c r="Z770" t="s">
        <v>34</v>
      </c>
      <c r="AA770" t="s">
        <v>34</v>
      </c>
      <c r="AB770" t="s">
        <v>34</v>
      </c>
      <c r="AC770" t="s">
        <v>34</v>
      </c>
      <c r="AD770" t="s">
        <v>34</v>
      </c>
      <c r="AE770" t="s">
        <v>34</v>
      </c>
      <c r="AF770" t="s">
        <v>34</v>
      </c>
      <c r="AG770">
        <f t="shared" si="25"/>
        <v>21500000</v>
      </c>
    </row>
    <row r="771" spans="1:33" x14ac:dyDescent="0.3">
      <c r="A771" t="s">
        <v>513</v>
      </c>
      <c r="B771" s="1" t="s">
        <v>514</v>
      </c>
      <c r="C771" t="s">
        <v>248</v>
      </c>
      <c r="D771" s="1" t="s">
        <v>249</v>
      </c>
      <c r="E771" t="s">
        <v>34</v>
      </c>
      <c r="F771" t="s">
        <v>34</v>
      </c>
      <c r="G771" t="s">
        <v>34</v>
      </c>
      <c r="H771" t="s">
        <v>34</v>
      </c>
      <c r="I771" t="s">
        <v>34</v>
      </c>
      <c r="J771" t="s">
        <v>34</v>
      </c>
      <c r="K771" t="s">
        <v>34</v>
      </c>
      <c r="L771" t="s">
        <v>34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34</v>
      </c>
      <c r="U771" t="s">
        <v>34</v>
      </c>
      <c r="V771" t="s">
        <v>34</v>
      </c>
      <c r="W771" t="s">
        <v>34</v>
      </c>
      <c r="X771">
        <v>13900362000</v>
      </c>
      <c r="Y771">
        <v>15597900000</v>
      </c>
      <c r="Z771">
        <v>15557800000</v>
      </c>
      <c r="AA771">
        <v>17276200000</v>
      </c>
      <c r="AB771">
        <v>18939100000</v>
      </c>
      <c r="AC771">
        <v>19439900000</v>
      </c>
      <c r="AD771">
        <v>21187091037.82</v>
      </c>
      <c r="AE771">
        <v>24249451642.119999</v>
      </c>
      <c r="AF771" t="s">
        <v>34</v>
      </c>
      <c r="AG771">
        <f t="shared" si="25"/>
        <v>18268475584.9925</v>
      </c>
    </row>
    <row r="772" spans="1:33" x14ac:dyDescent="0.3">
      <c r="A772" t="s">
        <v>513</v>
      </c>
      <c r="B772" s="1" t="s">
        <v>514</v>
      </c>
      <c r="C772" t="s">
        <v>250</v>
      </c>
      <c r="D772" s="1" t="s">
        <v>251</v>
      </c>
      <c r="E772" t="s">
        <v>34</v>
      </c>
      <c r="F772" t="s">
        <v>34</v>
      </c>
      <c r="G772" t="s">
        <v>34</v>
      </c>
      <c r="H772" t="s">
        <v>34</v>
      </c>
      <c r="I772" t="s">
        <v>34</v>
      </c>
      <c r="J772" t="s">
        <v>34</v>
      </c>
      <c r="K772" t="s">
        <v>34</v>
      </c>
      <c r="L772" t="s">
        <v>34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34</v>
      </c>
      <c r="U772" t="s">
        <v>34</v>
      </c>
      <c r="V772" t="s">
        <v>34</v>
      </c>
      <c r="W772" t="s">
        <v>34</v>
      </c>
      <c r="X772" t="s">
        <v>34</v>
      </c>
      <c r="Y772" t="s">
        <v>34</v>
      </c>
      <c r="Z772" t="s">
        <v>34</v>
      </c>
      <c r="AA772" t="s">
        <v>34</v>
      </c>
      <c r="AB772" t="s">
        <v>34</v>
      </c>
      <c r="AC772" t="s">
        <v>34</v>
      </c>
      <c r="AD772" t="s">
        <v>34</v>
      </c>
      <c r="AE772" t="s">
        <v>34</v>
      </c>
      <c r="AF772" t="s">
        <v>34</v>
      </c>
      <c r="AG772" t="str">
        <f t="shared" si="25"/>
        <v>NA</v>
      </c>
    </row>
    <row r="773" spans="1:33" x14ac:dyDescent="0.3">
      <c r="A773" t="s">
        <v>513</v>
      </c>
      <c r="B773" s="1" t="s">
        <v>514</v>
      </c>
      <c r="C773" t="s">
        <v>252</v>
      </c>
      <c r="D773" s="1" t="s">
        <v>253</v>
      </c>
      <c r="E773">
        <v>96254432.245690122</v>
      </c>
      <c r="F773">
        <v>115986818.51554631</v>
      </c>
      <c r="G773">
        <v>264285632.97875369</v>
      </c>
      <c r="H773">
        <v>310110642.51199484</v>
      </c>
      <c r="I773">
        <v>314789045.02535558</v>
      </c>
      <c r="J773">
        <v>299510247.52278018</v>
      </c>
      <c r="K773">
        <v>360753495.99603873</v>
      </c>
      <c r="L773">
        <v>417721014.67834562</v>
      </c>
      <c r="M773">
        <v>406458984.29718673</v>
      </c>
      <c r="N773">
        <v>513623997.5868094</v>
      </c>
      <c r="O773">
        <v>644939414.1183033</v>
      </c>
      <c r="P773">
        <v>848851173.30009508</v>
      </c>
      <c r="Q773">
        <v>1188836432.3481369</v>
      </c>
      <c r="R773">
        <v>1448731082.9192777</v>
      </c>
      <c r="S773">
        <v>669055668.43671918</v>
      </c>
      <c r="T773">
        <v>564656717.94696677</v>
      </c>
      <c r="U773">
        <v>693927467.68658125</v>
      </c>
      <c r="V773">
        <v>856621476.25796103</v>
      </c>
      <c r="W773">
        <v>904496844.07032406</v>
      </c>
      <c r="X773">
        <v>911840285.48500013</v>
      </c>
      <c r="Y773">
        <v>963873284.72803235</v>
      </c>
      <c r="Z773">
        <v>1101982914.155298</v>
      </c>
      <c r="AA773">
        <v>1185033095.9983153</v>
      </c>
      <c r="AB773">
        <v>924730081.21752298</v>
      </c>
      <c r="AC773">
        <v>622569023.51153386</v>
      </c>
      <c r="AD773">
        <v>824966847.08681226</v>
      </c>
      <c r="AE773">
        <v>1086598824.1387358</v>
      </c>
      <c r="AF773" t="s">
        <v>34</v>
      </c>
      <c r="AG773">
        <f t="shared" si="25"/>
        <v>686711294.25052285</v>
      </c>
    </row>
    <row r="774" spans="1:33" x14ac:dyDescent="0.3">
      <c r="A774" t="s">
        <v>513</v>
      </c>
      <c r="B774" s="1" t="s">
        <v>514</v>
      </c>
      <c r="C774" t="s">
        <v>254</v>
      </c>
      <c r="D774" s="1" t="s">
        <v>255</v>
      </c>
      <c r="E774" t="s">
        <v>34</v>
      </c>
      <c r="F774" t="s">
        <v>34</v>
      </c>
      <c r="G774">
        <v>340094000000</v>
      </c>
      <c r="H774">
        <v>404000000000</v>
      </c>
      <c r="I774">
        <v>530980000000</v>
      </c>
      <c r="J774">
        <v>499000000000</v>
      </c>
      <c r="K774">
        <v>626000000000</v>
      </c>
      <c r="L774">
        <v>726600000000</v>
      </c>
      <c r="M774">
        <v>783200000000</v>
      </c>
      <c r="N774">
        <v>907900000000</v>
      </c>
      <c r="O774">
        <v>1047281000000</v>
      </c>
      <c r="P774">
        <v>1166153000000</v>
      </c>
      <c r="Q774">
        <v>1308005000000</v>
      </c>
      <c r="R774">
        <v>1564223000000</v>
      </c>
      <c r="S774">
        <v>1839170000000</v>
      </c>
      <c r="T774">
        <v>2049800000000</v>
      </c>
      <c r="U774">
        <v>2422900000000</v>
      </c>
      <c r="V774">
        <v>2516200000000</v>
      </c>
      <c r="W774">
        <v>2501960000000</v>
      </c>
      <c r="X774">
        <v>2795440000000</v>
      </c>
      <c r="Y774">
        <v>2887312000000</v>
      </c>
      <c r="Z774">
        <v>3015093000000</v>
      </c>
      <c r="AA774">
        <v>3434609000000</v>
      </c>
      <c r="AB774">
        <v>3629885000000</v>
      </c>
      <c r="AC774">
        <v>4576920000000</v>
      </c>
      <c r="AD774">
        <v>4141536000000</v>
      </c>
      <c r="AE774">
        <v>4819970000000</v>
      </c>
      <c r="AF774" t="s">
        <v>34</v>
      </c>
      <c r="AG774">
        <f t="shared" si="25"/>
        <v>2021369240000</v>
      </c>
    </row>
    <row r="775" spans="1:33" x14ac:dyDescent="0.3">
      <c r="A775" t="s">
        <v>513</v>
      </c>
      <c r="B775" s="1" t="s">
        <v>514</v>
      </c>
      <c r="C775" t="s">
        <v>256</v>
      </c>
      <c r="D775" s="1" t="s">
        <v>257</v>
      </c>
      <c r="E775">
        <v>266792688</v>
      </c>
      <c r="F775">
        <v>302377928</v>
      </c>
      <c r="G775">
        <v>347952722</v>
      </c>
      <c r="H775">
        <v>391639686</v>
      </c>
      <c r="I775">
        <v>401926514</v>
      </c>
      <c r="J775">
        <v>425688505</v>
      </c>
      <c r="K775">
        <v>613640887</v>
      </c>
      <c r="L775">
        <v>666892801.55676997</v>
      </c>
      <c r="M775">
        <v>908400000</v>
      </c>
      <c r="N775">
        <v>897200000</v>
      </c>
      <c r="O775">
        <v>920100000</v>
      </c>
      <c r="P775">
        <v>970741535.34000003</v>
      </c>
      <c r="Q775">
        <v>1216424824.8682499</v>
      </c>
      <c r="R775">
        <v>1538505342.8607199</v>
      </c>
      <c r="S775">
        <v>1772352759.57392</v>
      </c>
      <c r="T775">
        <v>1972712814.0185201</v>
      </c>
      <c r="U775">
        <v>2395012305.8977199</v>
      </c>
      <c r="V775">
        <v>2348631164.5227399</v>
      </c>
      <c r="W775">
        <v>2680218167.39573</v>
      </c>
      <c r="X775">
        <v>3058588555.6100001</v>
      </c>
      <c r="Y775">
        <v>3643701492.7399998</v>
      </c>
      <c r="Z775">
        <v>3726454280.8099999</v>
      </c>
      <c r="AA775">
        <v>3568718059.6599998</v>
      </c>
      <c r="AB775">
        <v>4099698850.98</v>
      </c>
      <c r="AC775">
        <v>4052098343.2199998</v>
      </c>
      <c r="AD775">
        <v>3722146420.2468801</v>
      </c>
      <c r="AE775">
        <v>4087927650</v>
      </c>
      <c r="AF775">
        <v>4305890534.9906502</v>
      </c>
      <c r="AG775">
        <f t="shared" si="25"/>
        <v>1975086958.3675678</v>
      </c>
    </row>
    <row r="776" spans="1:33" x14ac:dyDescent="0.3">
      <c r="A776" t="s">
        <v>513</v>
      </c>
      <c r="B776" s="1" t="s">
        <v>514</v>
      </c>
      <c r="C776" t="s">
        <v>258</v>
      </c>
      <c r="D776" s="1" t="s">
        <v>259</v>
      </c>
      <c r="E776" t="s">
        <v>34</v>
      </c>
      <c r="F776" t="s">
        <v>34</v>
      </c>
      <c r="G776" t="s">
        <v>34</v>
      </c>
      <c r="H776" t="s">
        <v>34</v>
      </c>
      <c r="I776" t="s">
        <v>34</v>
      </c>
      <c r="J776" t="s">
        <v>34</v>
      </c>
      <c r="K776" t="s">
        <v>34</v>
      </c>
      <c r="L776" t="s">
        <v>34</v>
      </c>
      <c r="M776" t="s">
        <v>34</v>
      </c>
      <c r="N776" t="s">
        <v>34</v>
      </c>
      <c r="O776">
        <v>28378027.359999999</v>
      </c>
      <c r="P776">
        <v>25035547</v>
      </c>
      <c r="Q776">
        <v>42542358</v>
      </c>
      <c r="R776">
        <v>58408007</v>
      </c>
      <c r="S776" t="s">
        <v>34</v>
      </c>
      <c r="T776">
        <v>70160221.409999996</v>
      </c>
      <c r="U776">
        <v>95563337.870000005</v>
      </c>
      <c r="V776">
        <v>127249933.5</v>
      </c>
      <c r="W776">
        <v>161457539.40000001</v>
      </c>
      <c r="X776" t="s">
        <v>34</v>
      </c>
      <c r="Y776" t="s">
        <v>34</v>
      </c>
      <c r="Z776" t="s">
        <v>34</v>
      </c>
      <c r="AA776" t="s">
        <v>34</v>
      </c>
      <c r="AB776" t="s">
        <v>34</v>
      </c>
      <c r="AC776" t="s">
        <v>34</v>
      </c>
      <c r="AD776" t="s">
        <v>34</v>
      </c>
      <c r="AE776" t="s">
        <v>34</v>
      </c>
      <c r="AF776" t="s">
        <v>34</v>
      </c>
      <c r="AG776">
        <f t="shared" si="25"/>
        <v>76099371.442499995</v>
      </c>
    </row>
    <row r="777" spans="1:33" x14ac:dyDescent="0.3">
      <c r="A777" t="s">
        <v>513</v>
      </c>
      <c r="B777" s="1" t="s">
        <v>514</v>
      </c>
      <c r="C777" t="s">
        <v>260</v>
      </c>
      <c r="D777" s="1" t="s">
        <v>261</v>
      </c>
      <c r="E777" t="s">
        <v>34</v>
      </c>
      <c r="F777" t="s">
        <v>34</v>
      </c>
      <c r="G777" t="s">
        <v>34</v>
      </c>
      <c r="H777" t="s">
        <v>34</v>
      </c>
      <c r="I777" t="s">
        <v>34</v>
      </c>
      <c r="J777" t="s">
        <v>34</v>
      </c>
      <c r="K777" t="s">
        <v>34</v>
      </c>
      <c r="L777" t="s">
        <v>34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  <c r="U777" t="s">
        <v>34</v>
      </c>
      <c r="V777" t="s">
        <v>34</v>
      </c>
      <c r="W777" t="s">
        <v>34</v>
      </c>
      <c r="X777" t="s">
        <v>34</v>
      </c>
      <c r="Y777" t="s">
        <v>34</v>
      </c>
      <c r="Z777" t="s">
        <v>34</v>
      </c>
      <c r="AA777" t="s">
        <v>34</v>
      </c>
      <c r="AB777" t="s">
        <v>34</v>
      </c>
      <c r="AC777" t="s">
        <v>34</v>
      </c>
      <c r="AD777" t="s">
        <v>34</v>
      </c>
      <c r="AE777" t="s">
        <v>34</v>
      </c>
      <c r="AF777" t="s">
        <v>34</v>
      </c>
      <c r="AG777" t="str">
        <f t="shared" si="25"/>
        <v>NA</v>
      </c>
    </row>
    <row r="778" spans="1:33" x14ac:dyDescent="0.3">
      <c r="A778" t="s">
        <v>513</v>
      </c>
      <c r="B778" s="1" t="s">
        <v>514</v>
      </c>
      <c r="C778" t="s">
        <v>262</v>
      </c>
      <c r="D778" s="1" t="s">
        <v>263</v>
      </c>
      <c r="E778" t="s">
        <v>34</v>
      </c>
      <c r="F778" t="s">
        <v>34</v>
      </c>
      <c r="G778" t="s">
        <v>34</v>
      </c>
      <c r="H778" t="s">
        <v>34</v>
      </c>
      <c r="I778" t="s">
        <v>34</v>
      </c>
      <c r="J778" t="s">
        <v>34</v>
      </c>
      <c r="K778" t="s">
        <v>34</v>
      </c>
      <c r="L778" t="s">
        <v>34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  <c r="U778" t="s">
        <v>34</v>
      </c>
      <c r="V778" t="s">
        <v>34</v>
      </c>
      <c r="W778" t="s">
        <v>34</v>
      </c>
      <c r="X778" t="s">
        <v>34</v>
      </c>
      <c r="Y778" t="s">
        <v>34</v>
      </c>
      <c r="Z778" t="s">
        <v>34</v>
      </c>
      <c r="AA778" t="s">
        <v>34</v>
      </c>
      <c r="AB778" t="s">
        <v>34</v>
      </c>
      <c r="AC778" t="s">
        <v>34</v>
      </c>
      <c r="AD778" t="s">
        <v>34</v>
      </c>
      <c r="AE778" t="s">
        <v>34</v>
      </c>
      <c r="AF778" t="s">
        <v>34</v>
      </c>
      <c r="AG778" t="str">
        <f t="shared" si="25"/>
        <v>NA</v>
      </c>
    </row>
    <row r="779" spans="1:33" x14ac:dyDescent="0.3">
      <c r="A779" t="s">
        <v>513</v>
      </c>
      <c r="B779" s="1" t="s">
        <v>514</v>
      </c>
      <c r="C779" t="s">
        <v>264</v>
      </c>
      <c r="D779" s="1" t="s">
        <v>265</v>
      </c>
      <c r="E779">
        <v>646302000</v>
      </c>
      <c r="F779">
        <v>770112000</v>
      </c>
      <c r="G779">
        <v>1017412000</v>
      </c>
      <c r="H779">
        <v>1162732000</v>
      </c>
      <c r="I779">
        <v>1151321000</v>
      </c>
      <c r="J779">
        <v>1110728000</v>
      </c>
      <c r="K779">
        <v>1096098000</v>
      </c>
      <c r="L779">
        <v>1109712000</v>
      </c>
      <c r="M779">
        <v>1307752000</v>
      </c>
      <c r="N779">
        <v>1572327000</v>
      </c>
      <c r="O779">
        <v>1871255000</v>
      </c>
      <c r="P779">
        <v>2292190000</v>
      </c>
      <c r="Q779">
        <v>2625006000</v>
      </c>
      <c r="R779">
        <v>3005851000</v>
      </c>
      <c r="S779">
        <v>1586365000</v>
      </c>
      <c r="T779">
        <v>1281227000</v>
      </c>
      <c r="U779">
        <v>1345561000</v>
      </c>
      <c r="V779">
        <v>1592651000</v>
      </c>
      <c r="W779">
        <v>1726487000</v>
      </c>
      <c r="X779">
        <v>1825160000</v>
      </c>
      <c r="Y779">
        <v>2013381000</v>
      </c>
      <c r="Z779">
        <v>2175090000</v>
      </c>
      <c r="AA779">
        <v>2263165000</v>
      </c>
      <c r="AB779">
        <v>2538326000</v>
      </c>
      <c r="AC779">
        <v>4288468000</v>
      </c>
      <c r="AD779">
        <v>4296373000</v>
      </c>
      <c r="AE779">
        <v>5430257000</v>
      </c>
      <c r="AF779" t="s">
        <v>34</v>
      </c>
      <c r="AG779">
        <f t="shared" si="25"/>
        <v>1966715148.1481481</v>
      </c>
    </row>
    <row r="780" spans="1:33" x14ac:dyDescent="0.3">
      <c r="A780" t="s">
        <v>513</v>
      </c>
      <c r="B780" s="1" t="s">
        <v>514</v>
      </c>
      <c r="C780" t="s">
        <v>266</v>
      </c>
      <c r="D780" s="1" t="s">
        <v>267</v>
      </c>
      <c r="E780">
        <v>1872856000</v>
      </c>
      <c r="F780">
        <v>1997414000</v>
      </c>
      <c r="G780">
        <v>2189930000</v>
      </c>
      <c r="H780">
        <v>2248179000</v>
      </c>
      <c r="I780">
        <v>2356936000</v>
      </c>
      <c r="J780">
        <v>2646068000</v>
      </c>
      <c r="K780">
        <v>2770732000</v>
      </c>
      <c r="L780">
        <v>2918708000</v>
      </c>
      <c r="M780">
        <v>3035118000</v>
      </c>
      <c r="N780">
        <v>2937551000</v>
      </c>
      <c r="O780">
        <v>3453547000</v>
      </c>
      <c r="P780">
        <v>3745378000</v>
      </c>
      <c r="Q780">
        <v>4116379000</v>
      </c>
      <c r="R780">
        <v>4462816000</v>
      </c>
      <c r="S780">
        <v>4405993000</v>
      </c>
      <c r="T780">
        <v>4863227000</v>
      </c>
      <c r="U780">
        <v>5007849000</v>
      </c>
      <c r="V780">
        <v>5338178000</v>
      </c>
      <c r="W780">
        <v>5704850000</v>
      </c>
      <c r="X780">
        <v>5921167000</v>
      </c>
      <c r="Y780">
        <v>6405017000</v>
      </c>
      <c r="Z780">
        <v>6724795000</v>
      </c>
      <c r="AA780">
        <v>7155966000</v>
      </c>
      <c r="AB780">
        <v>8391732000</v>
      </c>
      <c r="AC780">
        <v>8568484000</v>
      </c>
      <c r="AD780">
        <v>8401096000</v>
      </c>
      <c r="AE780">
        <v>9579526000</v>
      </c>
      <c r="AF780" t="s">
        <v>34</v>
      </c>
      <c r="AG780">
        <f t="shared" si="25"/>
        <v>4711833037.0370369</v>
      </c>
    </row>
    <row r="781" spans="1:33" x14ac:dyDescent="0.3">
      <c r="A781" t="s">
        <v>513</v>
      </c>
      <c r="B781" s="1" t="s">
        <v>514</v>
      </c>
      <c r="C781" t="s">
        <v>268</v>
      </c>
      <c r="D781" s="1" t="s">
        <v>269</v>
      </c>
      <c r="E781" t="s">
        <v>34</v>
      </c>
      <c r="F781">
        <v>851010000</v>
      </c>
      <c r="G781">
        <v>884720000</v>
      </c>
      <c r="H781">
        <v>932130000</v>
      </c>
      <c r="I781">
        <v>975972590</v>
      </c>
      <c r="J781">
        <v>838138475</v>
      </c>
      <c r="K781">
        <v>923826294</v>
      </c>
      <c r="L781">
        <v>873364004</v>
      </c>
      <c r="M781">
        <v>780847163</v>
      </c>
      <c r="N781">
        <v>967594125</v>
      </c>
      <c r="O781">
        <v>1053000000</v>
      </c>
      <c r="P781">
        <v>1446000000</v>
      </c>
      <c r="Q781">
        <v>3122354763</v>
      </c>
      <c r="R781">
        <v>2939081800</v>
      </c>
      <c r="S781">
        <v>2754797738</v>
      </c>
      <c r="T781">
        <v>3212868446</v>
      </c>
      <c r="U781">
        <v>3761983004</v>
      </c>
      <c r="V781">
        <v>4419687047</v>
      </c>
      <c r="W781">
        <v>4955407558</v>
      </c>
      <c r="X781">
        <v>6311625075</v>
      </c>
      <c r="Y781">
        <v>7955558316</v>
      </c>
      <c r="Z781">
        <v>7709597871</v>
      </c>
      <c r="AA781">
        <v>7975894325</v>
      </c>
      <c r="AB781">
        <v>7834448561</v>
      </c>
      <c r="AC781">
        <v>9580009671</v>
      </c>
      <c r="AD781">
        <v>8991849460</v>
      </c>
      <c r="AE781">
        <v>7647807405</v>
      </c>
      <c r="AF781" t="s">
        <v>34</v>
      </c>
      <c r="AG781">
        <f t="shared" si="25"/>
        <v>3834598988.1153846</v>
      </c>
    </row>
    <row r="782" spans="1:33" x14ac:dyDescent="0.3">
      <c r="A782" t="s">
        <v>513</v>
      </c>
      <c r="B782" s="1" t="s">
        <v>514</v>
      </c>
      <c r="C782" t="s">
        <v>270</v>
      </c>
      <c r="D782" s="1" t="s">
        <v>271</v>
      </c>
      <c r="E782">
        <v>33560000000</v>
      </c>
      <c r="F782" t="s">
        <v>34</v>
      </c>
      <c r="G782" t="s">
        <v>34</v>
      </c>
      <c r="H782" t="s">
        <v>34</v>
      </c>
      <c r="I782" t="s">
        <v>34</v>
      </c>
      <c r="J782" t="s">
        <v>34</v>
      </c>
      <c r="K782" t="s">
        <v>34</v>
      </c>
      <c r="L782" t="s">
        <v>34</v>
      </c>
      <c r="M782">
        <v>74105200000</v>
      </c>
      <c r="N782">
        <v>102963000000</v>
      </c>
      <c r="O782">
        <v>155600000000</v>
      </c>
      <c r="P782">
        <v>234600000000</v>
      </c>
      <c r="Q782">
        <v>199894000000</v>
      </c>
      <c r="R782">
        <v>531500000000</v>
      </c>
      <c r="S782">
        <v>462788000000</v>
      </c>
      <c r="T782">
        <v>490294000000</v>
      </c>
      <c r="U782">
        <v>533680000000</v>
      </c>
      <c r="V782">
        <v>512573000000</v>
      </c>
      <c r="W782">
        <v>568283000000</v>
      </c>
      <c r="X782">
        <v>611370000000</v>
      </c>
      <c r="Y782">
        <v>706719000000</v>
      </c>
      <c r="Z782">
        <v>882598000000</v>
      </c>
      <c r="AA782">
        <v>1002793225818.84</v>
      </c>
      <c r="AB782">
        <v>1174760578484.1699</v>
      </c>
      <c r="AC782">
        <v>1428749683004.1799</v>
      </c>
      <c r="AD782">
        <v>1305413403078.6599</v>
      </c>
      <c r="AE782">
        <v>1469639724623.29</v>
      </c>
      <c r="AF782" t="s">
        <v>34</v>
      </c>
      <c r="AG782">
        <f t="shared" si="25"/>
        <v>624094190750.45703</v>
      </c>
    </row>
    <row r="783" spans="1:33" x14ac:dyDescent="0.3">
      <c r="A783" t="s">
        <v>513</v>
      </c>
      <c r="B783" s="1" t="s">
        <v>514</v>
      </c>
      <c r="C783" t="s">
        <v>272</v>
      </c>
      <c r="D783" s="1" t="s">
        <v>273</v>
      </c>
      <c r="E783" t="s">
        <v>34</v>
      </c>
      <c r="F783" t="s">
        <v>34</v>
      </c>
      <c r="G783" t="s">
        <v>34</v>
      </c>
      <c r="H783" t="s">
        <v>34</v>
      </c>
      <c r="I783" t="s">
        <v>34</v>
      </c>
      <c r="J783" t="s">
        <v>34</v>
      </c>
      <c r="K783" t="s">
        <v>34</v>
      </c>
      <c r="L783" t="s">
        <v>34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>
        <v>51587896628</v>
      </c>
      <c r="T783">
        <v>67575926238</v>
      </c>
      <c r="U783">
        <v>82753719931</v>
      </c>
      <c r="V783">
        <v>90734458470</v>
      </c>
      <c r="W783">
        <v>131741582590.48</v>
      </c>
      <c r="X783">
        <v>183315614878.858</v>
      </c>
      <c r="Y783">
        <v>236126230831.45001</v>
      </c>
      <c r="Z783">
        <v>292728555699.10699</v>
      </c>
      <c r="AA783">
        <v>386078165686.57397</v>
      </c>
      <c r="AB783">
        <v>423259059377.29303</v>
      </c>
      <c r="AC783">
        <v>460724260897.04498</v>
      </c>
      <c r="AD783">
        <v>506568083104.737</v>
      </c>
      <c r="AE783">
        <v>539925457505.25403</v>
      </c>
      <c r="AF783" t="s">
        <v>34</v>
      </c>
      <c r="AG783">
        <f t="shared" si="25"/>
        <v>265624539372.13831</v>
      </c>
    </row>
    <row r="784" spans="1:33" x14ac:dyDescent="0.3">
      <c r="A784" t="s">
        <v>513</v>
      </c>
      <c r="B784" s="1" t="s">
        <v>514</v>
      </c>
      <c r="C784" t="s">
        <v>274</v>
      </c>
      <c r="D784" s="1" t="s">
        <v>275</v>
      </c>
      <c r="E784" t="s">
        <v>34</v>
      </c>
      <c r="F784">
        <v>22661000000</v>
      </c>
      <c r="G784">
        <v>27121000000</v>
      </c>
      <c r="H784">
        <v>28369000000</v>
      </c>
      <c r="I784">
        <v>25159000000</v>
      </c>
      <c r="J784">
        <v>27015900000</v>
      </c>
      <c r="K784">
        <v>40134000000</v>
      </c>
      <c r="L784">
        <v>42167000000</v>
      </c>
      <c r="M784">
        <v>40440000000</v>
      </c>
      <c r="N784">
        <v>44844000000</v>
      </c>
      <c r="O784">
        <v>49596000000</v>
      </c>
      <c r="P784">
        <v>57346786000</v>
      </c>
      <c r="Q784">
        <v>64262909342.449997</v>
      </c>
      <c r="R784">
        <v>76898258823.720001</v>
      </c>
      <c r="S784">
        <v>73020879270.929993</v>
      </c>
      <c r="T784">
        <v>72783848000</v>
      </c>
      <c r="U784">
        <v>94839000000</v>
      </c>
      <c r="V784">
        <v>108199000000</v>
      </c>
      <c r="W784">
        <v>110983000000</v>
      </c>
      <c r="X784">
        <v>116618450000</v>
      </c>
      <c r="Y784">
        <v>101559000000</v>
      </c>
      <c r="Z784">
        <v>99612700000</v>
      </c>
      <c r="AA784">
        <v>105171309996.59</v>
      </c>
      <c r="AB784">
        <v>119161184709.28999</v>
      </c>
      <c r="AC784">
        <v>123213751946.42999</v>
      </c>
      <c r="AD784">
        <v>101790115173.56</v>
      </c>
      <c r="AE784">
        <v>118450000000</v>
      </c>
      <c r="AF784" t="s">
        <v>34</v>
      </c>
      <c r="AG784">
        <f t="shared" si="25"/>
        <v>72746811279.345001</v>
      </c>
    </row>
    <row r="785" spans="1:33" x14ac:dyDescent="0.3">
      <c r="A785" t="s">
        <v>513</v>
      </c>
      <c r="B785" s="1" t="s">
        <v>514</v>
      </c>
      <c r="C785" t="s">
        <v>276</v>
      </c>
      <c r="D785" s="1" t="s">
        <v>277</v>
      </c>
      <c r="E785">
        <v>19200000</v>
      </c>
      <c r="F785">
        <v>23800000</v>
      </c>
      <c r="G785">
        <v>27300000</v>
      </c>
      <c r="H785">
        <v>35400000</v>
      </c>
      <c r="I785">
        <v>42100000</v>
      </c>
      <c r="J785">
        <v>46900000</v>
      </c>
      <c r="K785">
        <v>52400000</v>
      </c>
      <c r="L785">
        <v>50900000</v>
      </c>
      <c r="M785">
        <v>46200000</v>
      </c>
      <c r="N785">
        <v>48600000</v>
      </c>
      <c r="O785">
        <v>65700000</v>
      </c>
      <c r="P785">
        <v>91400000</v>
      </c>
      <c r="Q785">
        <v>169000000</v>
      </c>
      <c r="R785">
        <v>240800000</v>
      </c>
      <c r="S785">
        <v>245700000</v>
      </c>
      <c r="T785" t="s">
        <v>34</v>
      </c>
      <c r="U785" t="s">
        <v>34</v>
      </c>
      <c r="V785" t="s">
        <v>34</v>
      </c>
      <c r="W785" t="s">
        <v>34</v>
      </c>
      <c r="X785" t="s">
        <v>34</v>
      </c>
      <c r="Y785" t="s">
        <v>34</v>
      </c>
      <c r="Z785" t="s">
        <v>34</v>
      </c>
      <c r="AA785" t="s">
        <v>34</v>
      </c>
      <c r="AB785" t="s">
        <v>34</v>
      </c>
      <c r="AC785" t="s">
        <v>34</v>
      </c>
      <c r="AD785" t="s">
        <v>34</v>
      </c>
      <c r="AE785" t="s">
        <v>34</v>
      </c>
      <c r="AF785" t="s">
        <v>34</v>
      </c>
      <c r="AG785">
        <f t="shared" si="25"/>
        <v>80360000</v>
      </c>
    </row>
    <row r="786" spans="1:33" x14ac:dyDescent="0.3">
      <c r="A786" t="s">
        <v>513</v>
      </c>
      <c r="B786" s="1" t="s">
        <v>514</v>
      </c>
      <c r="C786" t="s">
        <v>278</v>
      </c>
      <c r="D786" s="1" t="s">
        <v>279</v>
      </c>
      <c r="E786" t="s">
        <v>34</v>
      </c>
      <c r="F786" t="s">
        <v>34</v>
      </c>
      <c r="G786" t="s">
        <v>34</v>
      </c>
      <c r="H786" t="s">
        <v>34</v>
      </c>
      <c r="I786" t="s">
        <v>34</v>
      </c>
      <c r="J786">
        <v>40141161000</v>
      </c>
      <c r="K786">
        <v>46299276000</v>
      </c>
      <c r="L786">
        <v>51854933778.920303</v>
      </c>
      <c r="M786">
        <v>73132573000</v>
      </c>
      <c r="N786">
        <v>70539789540</v>
      </c>
      <c r="O786">
        <v>89648083933</v>
      </c>
      <c r="P786">
        <v>87094000000</v>
      </c>
      <c r="Q786">
        <v>106600000000</v>
      </c>
      <c r="R786">
        <v>149700000000</v>
      </c>
      <c r="S786">
        <v>177120000000</v>
      </c>
      <c r="T786">
        <v>204565000000</v>
      </c>
      <c r="U786">
        <v>220836000000</v>
      </c>
      <c r="V786">
        <v>263403000000</v>
      </c>
      <c r="W786">
        <v>258144000000</v>
      </c>
      <c r="X786">
        <v>299100000000</v>
      </c>
      <c r="Y786">
        <v>301100000000</v>
      </c>
      <c r="Z786">
        <v>334700000000</v>
      </c>
      <c r="AA786">
        <v>389600000000</v>
      </c>
      <c r="AB786">
        <v>317568000000</v>
      </c>
      <c r="AC786">
        <v>478363294592</v>
      </c>
      <c r="AD786">
        <v>578870223933</v>
      </c>
      <c r="AE786" t="s">
        <v>34</v>
      </c>
      <c r="AF786" t="s">
        <v>34</v>
      </c>
      <c r="AG786">
        <f t="shared" si="25"/>
        <v>216113301703.66284</v>
      </c>
    </row>
    <row r="787" spans="1:33" x14ac:dyDescent="0.3">
      <c r="A787" t="s">
        <v>513</v>
      </c>
      <c r="B787" s="1" t="s">
        <v>514</v>
      </c>
      <c r="C787" t="s">
        <v>280</v>
      </c>
      <c r="D787" s="1" t="s">
        <v>281</v>
      </c>
      <c r="E787">
        <v>550989983.69438624</v>
      </c>
      <c r="F787">
        <v>474912648.49755412</v>
      </c>
      <c r="G787">
        <v>600265548.56743538</v>
      </c>
      <c r="H787">
        <v>578923829.48986721</v>
      </c>
      <c r="I787">
        <v>704817144.18821335</v>
      </c>
      <c r="J787">
        <v>800614954.57721865</v>
      </c>
      <c r="K787">
        <v>887833682.73934305</v>
      </c>
      <c r="L787">
        <v>1008138830.6545539</v>
      </c>
      <c r="M787">
        <v>1118930817.6100628</v>
      </c>
      <c r="N787">
        <v>1109883531.3300722</v>
      </c>
      <c r="O787">
        <v>1210812951.3160958</v>
      </c>
      <c r="P787">
        <v>1360211972.9792686</v>
      </c>
      <c r="Q787">
        <v>1611108781.7377124</v>
      </c>
      <c r="R787">
        <v>717254000</v>
      </c>
      <c r="S787">
        <v>759277000</v>
      </c>
      <c r="T787">
        <v>770180000</v>
      </c>
      <c r="U787">
        <v>810657000</v>
      </c>
      <c r="V787">
        <v>895652000</v>
      </c>
      <c r="W787">
        <v>1003261000</v>
      </c>
      <c r="X787">
        <v>1077260000</v>
      </c>
      <c r="Y787">
        <v>1186587000</v>
      </c>
      <c r="Z787">
        <v>1331354000</v>
      </c>
      <c r="AA787">
        <v>1515337000</v>
      </c>
      <c r="AB787">
        <v>1592899000</v>
      </c>
      <c r="AC787">
        <v>1763893000</v>
      </c>
      <c r="AD787">
        <v>1623237000</v>
      </c>
      <c r="AE787">
        <v>1966731000</v>
      </c>
      <c r="AF787" t="s">
        <v>34</v>
      </c>
      <c r="AG787">
        <f t="shared" si="25"/>
        <v>1075223099.1622882</v>
      </c>
    </row>
    <row r="788" spans="1:33" x14ac:dyDescent="0.3">
      <c r="A788" t="s">
        <v>513</v>
      </c>
      <c r="B788" s="1" t="s">
        <v>514</v>
      </c>
      <c r="C788" t="s">
        <v>282</v>
      </c>
      <c r="D788" s="1" t="s">
        <v>283</v>
      </c>
      <c r="E788" t="s">
        <v>34</v>
      </c>
      <c r="F788" t="s">
        <v>34</v>
      </c>
      <c r="G788" t="s">
        <v>34</v>
      </c>
      <c r="H788" t="s">
        <v>34</v>
      </c>
      <c r="I788" t="s">
        <v>34</v>
      </c>
      <c r="J788" t="s">
        <v>34</v>
      </c>
      <c r="K788" t="s">
        <v>34</v>
      </c>
      <c r="L788" t="s">
        <v>34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>
        <v>10979040</v>
      </c>
      <c r="S788">
        <v>11203742</v>
      </c>
      <c r="T788">
        <v>10811629</v>
      </c>
      <c r="U788">
        <v>10940722</v>
      </c>
      <c r="V788">
        <v>11273994</v>
      </c>
      <c r="W788">
        <v>11865145</v>
      </c>
      <c r="X788">
        <v>11508824</v>
      </c>
      <c r="Y788">
        <v>11905940</v>
      </c>
      <c r="Z788">
        <v>13799837</v>
      </c>
      <c r="AA788">
        <v>14781817</v>
      </c>
      <c r="AB788">
        <v>15066000</v>
      </c>
      <c r="AC788">
        <v>16258254.615777399</v>
      </c>
      <c r="AD788">
        <v>16567000</v>
      </c>
      <c r="AE788" t="s">
        <v>34</v>
      </c>
      <c r="AF788" t="s">
        <v>34</v>
      </c>
      <c r="AG788">
        <f t="shared" si="25"/>
        <v>12843226.508905955</v>
      </c>
    </row>
    <row r="789" spans="1:33" x14ac:dyDescent="0.3">
      <c r="A789" t="s">
        <v>513</v>
      </c>
      <c r="B789" s="1" t="s">
        <v>514</v>
      </c>
      <c r="C789" t="s">
        <v>284</v>
      </c>
      <c r="D789" s="1" t="s">
        <v>285</v>
      </c>
      <c r="E789" t="s">
        <v>34</v>
      </c>
      <c r="F789" t="s">
        <v>34</v>
      </c>
      <c r="G789" t="s">
        <v>34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  <c r="U789" t="s">
        <v>34</v>
      </c>
      <c r="V789" t="s">
        <v>34</v>
      </c>
      <c r="W789" t="s">
        <v>34</v>
      </c>
      <c r="X789" t="s">
        <v>34</v>
      </c>
      <c r="Y789" t="s">
        <v>34</v>
      </c>
      <c r="Z789" t="s">
        <v>34</v>
      </c>
      <c r="AA789" t="s">
        <v>34</v>
      </c>
      <c r="AB789" t="s">
        <v>34</v>
      </c>
      <c r="AC789" t="s">
        <v>34</v>
      </c>
      <c r="AD789" t="s">
        <v>34</v>
      </c>
      <c r="AE789" t="s">
        <v>34</v>
      </c>
      <c r="AF789" t="s">
        <v>34</v>
      </c>
      <c r="AG789" t="str">
        <f t="shared" si="25"/>
        <v>NA</v>
      </c>
    </row>
    <row r="790" spans="1:33" x14ac:dyDescent="0.3">
      <c r="A790" t="s">
        <v>513</v>
      </c>
      <c r="B790" s="1" t="s">
        <v>514</v>
      </c>
      <c r="C790" t="s">
        <v>286</v>
      </c>
      <c r="D790" s="1" t="s">
        <v>287</v>
      </c>
      <c r="E790">
        <v>1804200000</v>
      </c>
      <c r="F790">
        <v>1972700000</v>
      </c>
      <c r="G790">
        <v>2287100000</v>
      </c>
      <c r="H790">
        <v>2409000000</v>
      </c>
      <c r="I790">
        <v>2700000000</v>
      </c>
      <c r="J790">
        <v>2881000000</v>
      </c>
      <c r="K790">
        <v>3039100000</v>
      </c>
      <c r="L790">
        <v>3493900000</v>
      </c>
      <c r="M790">
        <v>4013500000</v>
      </c>
      <c r="N790">
        <v>4669300000</v>
      </c>
      <c r="O790">
        <v>5829000000</v>
      </c>
      <c r="P790">
        <v>7468900000</v>
      </c>
      <c r="Q790">
        <v>7607600000</v>
      </c>
      <c r="R790">
        <v>10558200000</v>
      </c>
      <c r="S790">
        <v>15295800000</v>
      </c>
      <c r="T790">
        <v>13976300000</v>
      </c>
      <c r="U790">
        <v>13619700000</v>
      </c>
      <c r="V790">
        <v>14634100000</v>
      </c>
      <c r="W790">
        <v>15920000000</v>
      </c>
      <c r="X790">
        <v>17089100000</v>
      </c>
      <c r="Y790">
        <v>9257900000</v>
      </c>
      <c r="Z790">
        <v>19175870000</v>
      </c>
      <c r="AA790">
        <v>21778800000</v>
      </c>
      <c r="AB790">
        <v>23321400000</v>
      </c>
      <c r="AC790">
        <v>27027100000</v>
      </c>
      <c r="AD790">
        <v>27176800000</v>
      </c>
      <c r="AE790">
        <v>26031100000</v>
      </c>
      <c r="AF790">
        <v>32797500000</v>
      </c>
      <c r="AG790">
        <f t="shared" si="25"/>
        <v>12065534642.857143</v>
      </c>
    </row>
    <row r="791" spans="1:33" x14ac:dyDescent="0.3">
      <c r="A791" t="s">
        <v>513</v>
      </c>
      <c r="B791" s="1" t="s">
        <v>514</v>
      </c>
      <c r="C791" t="s">
        <v>288</v>
      </c>
      <c r="D791" s="1" t="s">
        <v>289</v>
      </c>
      <c r="E791">
        <v>76148000000</v>
      </c>
      <c r="F791">
        <v>102220000000</v>
      </c>
      <c r="G791">
        <v>144599000000</v>
      </c>
      <c r="H791">
        <v>181749000000</v>
      </c>
      <c r="I791">
        <v>231498000000</v>
      </c>
      <c r="J791">
        <v>276548000000</v>
      </c>
      <c r="K791" t="s">
        <v>34</v>
      </c>
      <c r="L791" t="s">
        <v>34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>
        <v>629134943974</v>
      </c>
      <c r="S791">
        <v>591942151449.85999</v>
      </c>
      <c r="T791">
        <v>683604260908.84998</v>
      </c>
      <c r="U791">
        <v>772704246624</v>
      </c>
      <c r="V791">
        <v>803071347154</v>
      </c>
      <c r="W791">
        <v>957213158308</v>
      </c>
      <c r="X791">
        <v>979290503383</v>
      </c>
      <c r="Y791">
        <v>1226809348626</v>
      </c>
      <c r="Z791">
        <v>1423120103237</v>
      </c>
      <c r="AA791">
        <v>1567624845658</v>
      </c>
      <c r="AB791">
        <v>1671512408333</v>
      </c>
      <c r="AC791">
        <v>1693497781067</v>
      </c>
      <c r="AD791">
        <v>1768160530280</v>
      </c>
      <c r="AE791">
        <v>1903047162740</v>
      </c>
      <c r="AF791" t="s">
        <v>34</v>
      </c>
      <c r="AG791">
        <f t="shared" si="25"/>
        <v>884174739587.1355</v>
      </c>
    </row>
    <row r="792" spans="1:33" x14ac:dyDescent="0.3">
      <c r="A792" t="s">
        <v>513</v>
      </c>
      <c r="B792" s="1" t="s">
        <v>514</v>
      </c>
      <c r="C792" t="s">
        <v>290</v>
      </c>
      <c r="D792" s="1" t="s">
        <v>291</v>
      </c>
      <c r="E792" t="s">
        <v>34</v>
      </c>
      <c r="F792" t="s">
        <v>34</v>
      </c>
      <c r="G792" t="s">
        <v>34</v>
      </c>
      <c r="H792" t="s">
        <v>34</v>
      </c>
      <c r="I792" t="s">
        <v>34</v>
      </c>
      <c r="J792" t="s">
        <v>34</v>
      </c>
      <c r="K792" t="s">
        <v>34</v>
      </c>
      <c r="L792" t="s">
        <v>34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>
        <v>3655980</v>
      </c>
      <c r="S792">
        <v>3510168</v>
      </c>
      <c r="T792">
        <v>4306765</v>
      </c>
      <c r="U792">
        <v>5872542</v>
      </c>
      <c r="V792">
        <v>6468386</v>
      </c>
      <c r="W792">
        <v>8258414</v>
      </c>
      <c r="X792">
        <v>31700214</v>
      </c>
      <c r="Y792">
        <v>8334108</v>
      </c>
      <c r="Z792">
        <v>10269577</v>
      </c>
      <c r="AA792">
        <v>27183370</v>
      </c>
      <c r="AB792">
        <v>89044855</v>
      </c>
      <c r="AC792">
        <v>66608445</v>
      </c>
      <c r="AD792">
        <v>15068004</v>
      </c>
      <c r="AE792" t="s">
        <v>34</v>
      </c>
      <c r="AF792" t="s">
        <v>34</v>
      </c>
      <c r="AG792">
        <f t="shared" si="25"/>
        <v>21560063.692307692</v>
      </c>
    </row>
    <row r="793" spans="1:33" x14ac:dyDescent="0.3">
      <c r="A793" t="s">
        <v>513</v>
      </c>
      <c r="B793" s="1" t="s">
        <v>514</v>
      </c>
      <c r="C793" t="s">
        <v>292</v>
      </c>
      <c r="D793" s="1" t="s">
        <v>293</v>
      </c>
      <c r="E793" t="s">
        <v>34</v>
      </c>
      <c r="F793">
        <v>116200000</v>
      </c>
      <c r="G793">
        <v>147900000</v>
      </c>
      <c r="H793">
        <v>106900000</v>
      </c>
      <c r="I793">
        <v>135200000</v>
      </c>
      <c r="J793">
        <v>136700000</v>
      </c>
      <c r="K793">
        <v>119600000</v>
      </c>
      <c r="L793">
        <v>140200000</v>
      </c>
      <c r="M793">
        <v>211800000</v>
      </c>
      <c r="N793">
        <v>282100000</v>
      </c>
      <c r="O793">
        <v>301900000</v>
      </c>
      <c r="P793">
        <v>422900000</v>
      </c>
      <c r="Q793">
        <v>644600000</v>
      </c>
      <c r="R793">
        <v>303200000</v>
      </c>
      <c r="S793">
        <v>183100000</v>
      </c>
      <c r="T793">
        <v>215600000</v>
      </c>
      <c r="U793">
        <v>258400000</v>
      </c>
      <c r="V793">
        <v>770400000</v>
      </c>
      <c r="W793">
        <v>801000000</v>
      </c>
      <c r="X793">
        <v>2626000000</v>
      </c>
      <c r="Y793">
        <v>3983100000</v>
      </c>
      <c r="Z793">
        <v>4663400000</v>
      </c>
      <c r="AA793">
        <v>5541400000</v>
      </c>
      <c r="AB793">
        <v>6865900000</v>
      </c>
      <c r="AC793">
        <v>6860400000</v>
      </c>
      <c r="AD793">
        <v>6469100000</v>
      </c>
      <c r="AE793">
        <v>7695100000</v>
      </c>
      <c r="AF793">
        <v>10629000000</v>
      </c>
      <c r="AG793">
        <f t="shared" ref="AG793:AG856" si="26">IFERROR(AVERAGE(E793:AF793),"NA")</f>
        <v>2245596296.2962961</v>
      </c>
    </row>
    <row r="794" spans="1:33" x14ac:dyDescent="0.3">
      <c r="A794" t="s">
        <v>513</v>
      </c>
      <c r="B794" s="1" t="s">
        <v>514</v>
      </c>
      <c r="C794" t="s">
        <v>294</v>
      </c>
      <c r="D794" s="1" t="s">
        <v>295</v>
      </c>
      <c r="E794" t="s">
        <v>34</v>
      </c>
      <c r="F794" t="s">
        <v>34</v>
      </c>
      <c r="G794" t="s">
        <v>34</v>
      </c>
      <c r="H794" t="s">
        <v>34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  <c r="U794" t="s">
        <v>34</v>
      </c>
      <c r="V794" t="s">
        <v>34</v>
      </c>
      <c r="W794" t="s">
        <v>34</v>
      </c>
      <c r="X794" t="s">
        <v>34</v>
      </c>
      <c r="Y794" t="s">
        <v>34</v>
      </c>
      <c r="Z794" t="s">
        <v>34</v>
      </c>
      <c r="AA794" t="s">
        <v>34</v>
      </c>
      <c r="AB794" t="s">
        <v>34</v>
      </c>
      <c r="AC794" t="s">
        <v>34</v>
      </c>
      <c r="AD794" t="s">
        <v>34</v>
      </c>
      <c r="AE794" t="s">
        <v>34</v>
      </c>
      <c r="AF794" t="s">
        <v>34</v>
      </c>
      <c r="AG794" t="str">
        <f t="shared" si="26"/>
        <v>NA</v>
      </c>
    </row>
    <row r="795" spans="1:33" x14ac:dyDescent="0.3">
      <c r="A795" t="s">
        <v>513</v>
      </c>
      <c r="B795" s="1" t="s">
        <v>514</v>
      </c>
      <c r="C795" t="s">
        <v>296</v>
      </c>
      <c r="D795" s="1" t="s">
        <v>297</v>
      </c>
      <c r="E795">
        <v>34484000000</v>
      </c>
      <c r="F795">
        <v>29147000000</v>
      </c>
      <c r="G795">
        <v>42225000000</v>
      </c>
      <c r="H795">
        <v>18964000000</v>
      </c>
      <c r="I795">
        <v>13843000000</v>
      </c>
      <c r="J795">
        <v>35832000000</v>
      </c>
      <c r="K795">
        <v>27875000000</v>
      </c>
      <c r="L795">
        <v>45964446300</v>
      </c>
      <c r="M795">
        <v>93092398400</v>
      </c>
      <c r="N795" t="s">
        <v>34</v>
      </c>
      <c r="O795" t="s">
        <v>34</v>
      </c>
      <c r="P795">
        <v>539884900000</v>
      </c>
      <c r="Q795">
        <v>282881183696.57001</v>
      </c>
      <c r="R795">
        <v>743706230763.79004</v>
      </c>
      <c r="S795">
        <v>391930015217.88</v>
      </c>
      <c r="T795">
        <v>813754000000</v>
      </c>
      <c r="U795">
        <v>601481625800</v>
      </c>
      <c r="V795">
        <v>524381798499.60999</v>
      </c>
      <c r="W795">
        <v>660159000000</v>
      </c>
      <c r="X795">
        <v>621237034316.42004</v>
      </c>
      <c r="Y795">
        <v>688496791827.02002</v>
      </c>
      <c r="Z795">
        <v>519958700000</v>
      </c>
      <c r="AA795">
        <v>962144871000</v>
      </c>
      <c r="AB795">
        <v>1601206009653.5701</v>
      </c>
      <c r="AC795">
        <v>2030747216912.45</v>
      </c>
      <c r="AD795">
        <v>1403436868896.45</v>
      </c>
      <c r="AE795">
        <v>2220122971599.4199</v>
      </c>
      <c r="AF795" t="s">
        <v>34</v>
      </c>
      <c r="AG795">
        <f t="shared" si="26"/>
        <v>597878242515.32715</v>
      </c>
    </row>
    <row r="796" spans="1:33" x14ac:dyDescent="0.3">
      <c r="A796" t="s">
        <v>513</v>
      </c>
      <c r="B796" s="1" t="s">
        <v>514</v>
      </c>
      <c r="C796" t="s">
        <v>298</v>
      </c>
      <c r="D796" s="1" t="s">
        <v>299</v>
      </c>
      <c r="E796" t="s">
        <v>34</v>
      </c>
      <c r="F796" t="s">
        <v>34</v>
      </c>
      <c r="G796" t="s">
        <v>34</v>
      </c>
      <c r="H796" t="s">
        <v>34</v>
      </c>
      <c r="I796" t="s">
        <v>34</v>
      </c>
      <c r="J796" t="s">
        <v>34</v>
      </c>
      <c r="K796" t="s">
        <v>34</v>
      </c>
      <c r="L796" t="s">
        <v>34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34</v>
      </c>
      <c r="X796" t="s">
        <v>34</v>
      </c>
      <c r="Y796" t="s">
        <v>34</v>
      </c>
      <c r="Z796" t="s">
        <v>34</v>
      </c>
      <c r="AA796" t="s">
        <v>34</v>
      </c>
      <c r="AB796" t="s">
        <v>34</v>
      </c>
      <c r="AC796" t="s">
        <v>34</v>
      </c>
      <c r="AD796" t="s">
        <v>34</v>
      </c>
      <c r="AE796" t="s">
        <v>34</v>
      </c>
      <c r="AF796" t="s">
        <v>34</v>
      </c>
      <c r="AG796" t="str">
        <f t="shared" si="26"/>
        <v>NA</v>
      </c>
    </row>
    <row r="797" spans="1:33" x14ac:dyDescent="0.3">
      <c r="A797" t="s">
        <v>513</v>
      </c>
      <c r="B797" s="1" t="s">
        <v>514</v>
      </c>
      <c r="C797" t="s">
        <v>300</v>
      </c>
      <c r="D797" s="1" t="s">
        <v>301</v>
      </c>
      <c r="E797">
        <v>15883000000</v>
      </c>
      <c r="F797" t="s">
        <v>34</v>
      </c>
      <c r="G797">
        <v>19785000000</v>
      </c>
      <c r="H797">
        <v>21285000000</v>
      </c>
      <c r="I797">
        <v>24625000000</v>
      </c>
      <c r="J797" t="s">
        <v>34</v>
      </c>
      <c r="K797" t="s">
        <v>34</v>
      </c>
      <c r="L797">
        <v>29414509000</v>
      </c>
      <c r="M797">
        <v>32987000000</v>
      </c>
      <c r="N797">
        <v>36415656565.656601</v>
      </c>
      <c r="O797">
        <v>42684848484.848503</v>
      </c>
      <c r="P797">
        <v>49215151515.151497</v>
      </c>
      <c r="Q797">
        <v>58753535353.5354</v>
      </c>
      <c r="R797">
        <v>80406060606.060593</v>
      </c>
      <c r="S797">
        <v>69994919175.458496</v>
      </c>
      <c r="T797">
        <v>62668090296.734802</v>
      </c>
      <c r="U797">
        <v>68459595959.596001</v>
      </c>
      <c r="V797">
        <v>77378787878.787903</v>
      </c>
      <c r="W797">
        <v>75703505050.505005</v>
      </c>
      <c r="X797">
        <v>76348484848.484802</v>
      </c>
      <c r="Y797">
        <v>78956565656.565704</v>
      </c>
      <c r="Z797">
        <v>83573469387.755096</v>
      </c>
      <c r="AA797">
        <v>92039175257.731995</v>
      </c>
      <c r="AB797">
        <v>95487500000</v>
      </c>
      <c r="AC797">
        <v>97815736842.105301</v>
      </c>
      <c r="AD797">
        <v>95831210526.315796</v>
      </c>
      <c r="AE797">
        <v>93423894736.842102</v>
      </c>
      <c r="AF797">
        <v>116318578947.368</v>
      </c>
      <c r="AG797">
        <f t="shared" si="26"/>
        <v>63818171043.580139</v>
      </c>
    </row>
    <row r="798" spans="1:33" x14ac:dyDescent="0.3">
      <c r="A798" t="s">
        <v>513</v>
      </c>
      <c r="B798" s="1" t="s">
        <v>514</v>
      </c>
      <c r="C798" t="s">
        <v>302</v>
      </c>
      <c r="D798" s="1" t="s">
        <v>303</v>
      </c>
      <c r="E798" t="s">
        <v>34</v>
      </c>
      <c r="F798" t="s">
        <v>34</v>
      </c>
      <c r="G798" t="s">
        <v>34</v>
      </c>
      <c r="H798" t="s">
        <v>34</v>
      </c>
      <c r="I798" t="s">
        <v>34</v>
      </c>
      <c r="J798" t="s">
        <v>34</v>
      </c>
      <c r="K798" t="s">
        <v>34</v>
      </c>
      <c r="L798" t="s">
        <v>34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>
        <v>18434559038.599998</v>
      </c>
      <c r="U798">
        <v>25031969511.730801</v>
      </c>
      <c r="V798">
        <v>36772004693.540001</v>
      </c>
      <c r="W798">
        <v>49322498417</v>
      </c>
      <c r="X798">
        <v>63026120000</v>
      </c>
      <c r="Y798">
        <v>57809653000</v>
      </c>
      <c r="Z798">
        <v>63547893000</v>
      </c>
      <c r="AA798">
        <v>96596997026.199997</v>
      </c>
      <c r="AB798">
        <v>89988504000</v>
      </c>
      <c r="AC798">
        <v>144635816000</v>
      </c>
      <c r="AD798">
        <v>99352700000</v>
      </c>
      <c r="AE798">
        <v>101021686000</v>
      </c>
      <c r="AF798" t="s">
        <v>34</v>
      </c>
      <c r="AG798">
        <f t="shared" si="26"/>
        <v>70461700057.255905</v>
      </c>
    </row>
    <row r="799" spans="1:33" x14ac:dyDescent="0.3">
      <c r="A799" t="s">
        <v>513</v>
      </c>
      <c r="B799" s="1" t="s">
        <v>514</v>
      </c>
      <c r="C799" t="s">
        <v>304</v>
      </c>
      <c r="D799" s="1" t="s">
        <v>305</v>
      </c>
      <c r="E799">
        <v>7793000000</v>
      </c>
      <c r="F799">
        <v>9217000000</v>
      </c>
      <c r="G799">
        <v>15457000000</v>
      </c>
      <c r="H799">
        <v>20515000000</v>
      </c>
      <c r="I799">
        <v>21169000000</v>
      </c>
      <c r="J799">
        <v>26140000000</v>
      </c>
      <c r="K799">
        <v>28287000000</v>
      </c>
      <c r="L799">
        <v>45589000000</v>
      </c>
      <c r="M799">
        <v>91860000000</v>
      </c>
      <c r="N799">
        <v>138866000000</v>
      </c>
      <c r="O799">
        <v>206676000000</v>
      </c>
      <c r="P799" t="s">
        <v>34</v>
      </c>
      <c r="Q799" t="s">
        <v>34</v>
      </c>
      <c r="R799" t="s">
        <v>34</v>
      </c>
      <c r="S799" t="s">
        <v>34</v>
      </c>
      <c r="T799" t="s">
        <v>34</v>
      </c>
      <c r="U799" t="s">
        <v>34</v>
      </c>
      <c r="V799">
        <v>765752071000</v>
      </c>
      <c r="W799">
        <v>1219860076000</v>
      </c>
      <c r="X799">
        <v>1461459099000</v>
      </c>
      <c r="Y799">
        <v>1656160528000</v>
      </c>
      <c r="Z799">
        <v>1905532772000</v>
      </c>
      <c r="AA799">
        <v>1935034808000</v>
      </c>
      <c r="AB799">
        <v>774526917000</v>
      </c>
      <c r="AC799">
        <v>2198143488000</v>
      </c>
      <c r="AD799" t="s">
        <v>34</v>
      </c>
      <c r="AE799" t="s">
        <v>34</v>
      </c>
      <c r="AF799" t="s">
        <v>34</v>
      </c>
      <c r="AG799">
        <f t="shared" si="26"/>
        <v>659370461000</v>
      </c>
    </row>
    <row r="800" spans="1:33" x14ac:dyDescent="0.3">
      <c r="A800" t="s">
        <v>513</v>
      </c>
      <c r="B800" s="1" t="s">
        <v>514</v>
      </c>
      <c r="C800" t="s">
        <v>306</v>
      </c>
      <c r="D800" s="1" t="s">
        <v>307</v>
      </c>
      <c r="E800">
        <v>1088800000</v>
      </c>
      <c r="F800">
        <v>1353900000</v>
      </c>
      <c r="G800">
        <v>1979100000</v>
      </c>
      <c r="H800">
        <v>2031300000</v>
      </c>
      <c r="I800">
        <v>2315400000</v>
      </c>
      <c r="J800">
        <v>2610224000</v>
      </c>
      <c r="K800">
        <v>3285602000</v>
      </c>
      <c r="L800">
        <v>4442342000</v>
      </c>
      <c r="M800">
        <v>3618467243</v>
      </c>
      <c r="N800">
        <v>4024239000</v>
      </c>
      <c r="O800">
        <v>4575652623.3000002</v>
      </c>
      <c r="P800">
        <v>5676000289</v>
      </c>
      <c r="Q800">
        <v>6729659000</v>
      </c>
      <c r="R800">
        <v>8069670000</v>
      </c>
      <c r="S800">
        <v>8136635000</v>
      </c>
      <c r="T800">
        <v>9912237000</v>
      </c>
      <c r="U800">
        <v>11597154000.870001</v>
      </c>
      <c r="V800">
        <v>14536730516.99</v>
      </c>
      <c r="W800">
        <v>14027433618.43</v>
      </c>
      <c r="X800">
        <v>17779828958.049999</v>
      </c>
      <c r="Y800">
        <v>19004426871.279999</v>
      </c>
      <c r="Z800">
        <v>20606830300</v>
      </c>
      <c r="AA800">
        <v>21947332503.150002</v>
      </c>
      <c r="AB800">
        <v>21855148855</v>
      </c>
      <c r="AC800">
        <v>22900963125.419998</v>
      </c>
      <c r="AD800">
        <v>22287967857</v>
      </c>
      <c r="AE800">
        <v>22438708550.48</v>
      </c>
      <c r="AF800" t="s">
        <v>34</v>
      </c>
      <c r="AG800">
        <f t="shared" si="26"/>
        <v>10327101974.517406</v>
      </c>
    </row>
    <row r="801" spans="1:33" x14ac:dyDescent="0.3">
      <c r="A801" t="s">
        <v>513</v>
      </c>
      <c r="B801" s="1" t="s">
        <v>514</v>
      </c>
      <c r="C801" t="s">
        <v>308</v>
      </c>
      <c r="D801" s="1" t="s">
        <v>309</v>
      </c>
      <c r="E801" t="s">
        <v>34</v>
      </c>
      <c r="F801" t="s">
        <v>34</v>
      </c>
      <c r="G801" t="s">
        <v>34</v>
      </c>
      <c r="H801" t="s">
        <v>34</v>
      </c>
      <c r="I801" t="s">
        <v>34</v>
      </c>
      <c r="J801" t="s">
        <v>34</v>
      </c>
      <c r="K801" t="s">
        <v>34</v>
      </c>
      <c r="L801" t="s">
        <v>34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34</v>
      </c>
      <c r="V801" t="s">
        <v>34</v>
      </c>
      <c r="W801" t="s">
        <v>34</v>
      </c>
      <c r="X801" t="s">
        <v>34</v>
      </c>
      <c r="Y801">
        <v>6593243</v>
      </c>
      <c r="Z801">
        <v>12592725</v>
      </c>
      <c r="AA801">
        <v>12588867</v>
      </c>
      <c r="AB801">
        <v>27319998.399999999</v>
      </c>
      <c r="AC801">
        <v>39731039.200000003</v>
      </c>
      <c r="AD801">
        <v>62057284.439999998</v>
      </c>
      <c r="AE801" t="s">
        <v>34</v>
      </c>
      <c r="AF801" t="s">
        <v>34</v>
      </c>
      <c r="AG801">
        <f t="shared" si="26"/>
        <v>26813859.506666664</v>
      </c>
    </row>
    <row r="802" spans="1:33" x14ac:dyDescent="0.3">
      <c r="A802" t="s">
        <v>513</v>
      </c>
      <c r="B802" s="1" t="s">
        <v>514</v>
      </c>
      <c r="C802" t="s">
        <v>310</v>
      </c>
      <c r="D802" s="1" t="s">
        <v>311</v>
      </c>
      <c r="E802">
        <v>2751000000</v>
      </c>
      <c r="F802">
        <v>3326000000</v>
      </c>
      <c r="G802">
        <v>3954000000</v>
      </c>
      <c r="H802">
        <v>4576000000</v>
      </c>
      <c r="I802">
        <v>5774000000</v>
      </c>
      <c r="J802">
        <v>6969000000</v>
      </c>
      <c r="K802">
        <v>8517000000</v>
      </c>
      <c r="L802">
        <v>8068000000</v>
      </c>
      <c r="M802">
        <v>6879300000</v>
      </c>
      <c r="N802">
        <v>8123300000</v>
      </c>
      <c r="O802">
        <v>8790400000</v>
      </c>
      <c r="P802">
        <v>9162391000</v>
      </c>
      <c r="Q802">
        <v>13723900000</v>
      </c>
      <c r="R802">
        <v>16626800000</v>
      </c>
      <c r="S802">
        <v>24051800000</v>
      </c>
      <c r="T802">
        <v>33821327000</v>
      </c>
      <c r="U802">
        <v>43121246000</v>
      </c>
      <c r="V802">
        <v>51303230000</v>
      </c>
      <c r="W802">
        <v>64186691000</v>
      </c>
      <c r="X802">
        <v>75608249000</v>
      </c>
      <c r="Y802">
        <v>86168029438.130005</v>
      </c>
      <c r="Z802">
        <v>114174718833.95</v>
      </c>
      <c r="AA802">
        <v>144846000000</v>
      </c>
      <c r="AB802">
        <v>154790708109.04001</v>
      </c>
      <c r="AC802">
        <v>188303814000</v>
      </c>
      <c r="AD802">
        <v>213233090000</v>
      </c>
      <c r="AE802">
        <v>221483510000</v>
      </c>
      <c r="AF802" t="s">
        <v>34</v>
      </c>
      <c r="AG802">
        <f t="shared" si="26"/>
        <v>56382722384.485931</v>
      </c>
    </row>
    <row r="803" spans="1:33" x14ac:dyDescent="0.3">
      <c r="A803" t="s">
        <v>513</v>
      </c>
      <c r="B803" s="1" t="s">
        <v>514</v>
      </c>
      <c r="C803" t="s">
        <v>312</v>
      </c>
      <c r="D803" s="1" t="s">
        <v>313</v>
      </c>
      <c r="E803">
        <v>33520000000</v>
      </c>
      <c r="F803">
        <v>36112000000</v>
      </c>
      <c r="G803">
        <v>37093000000</v>
      </c>
      <c r="H803">
        <v>38405000000</v>
      </c>
      <c r="I803">
        <v>40571000000</v>
      </c>
      <c r="J803">
        <v>43247000000</v>
      </c>
      <c r="K803">
        <v>46559000000</v>
      </c>
      <c r="L803">
        <v>48451000000</v>
      </c>
      <c r="M803">
        <v>45775000000</v>
      </c>
      <c r="N803">
        <v>45807000000</v>
      </c>
      <c r="O803">
        <v>52649000000</v>
      </c>
      <c r="P803">
        <v>57357000000</v>
      </c>
      <c r="Q803">
        <v>62417000000</v>
      </c>
      <c r="R803">
        <v>63323000000</v>
      </c>
      <c r="S803">
        <v>61443000000</v>
      </c>
      <c r="T803">
        <v>63543000000</v>
      </c>
      <c r="U803">
        <v>61663000000</v>
      </c>
      <c r="V803">
        <v>58468000000</v>
      </c>
      <c r="W803">
        <v>58740000000</v>
      </c>
      <c r="X803">
        <v>63392000000</v>
      </c>
      <c r="Y803">
        <v>70304000000</v>
      </c>
      <c r="Z803">
        <v>73993000000</v>
      </c>
      <c r="AA803">
        <v>85761000000</v>
      </c>
      <c r="AB803">
        <v>88769000000</v>
      </c>
      <c r="AC803">
        <v>99003000000</v>
      </c>
      <c r="AD803">
        <v>96870000000</v>
      </c>
      <c r="AE803">
        <v>107308000000</v>
      </c>
      <c r="AF803" t="s">
        <v>34</v>
      </c>
      <c r="AG803">
        <f t="shared" si="26"/>
        <v>60760851851.851852</v>
      </c>
    </row>
    <row r="804" spans="1:33" x14ac:dyDescent="0.3">
      <c r="A804" t="s">
        <v>513</v>
      </c>
      <c r="B804" s="1" t="s">
        <v>514</v>
      </c>
      <c r="C804" t="s">
        <v>314</v>
      </c>
      <c r="D804" s="1" t="s">
        <v>315</v>
      </c>
      <c r="E804" t="s">
        <v>34</v>
      </c>
      <c r="F804" t="s">
        <v>34</v>
      </c>
      <c r="G804" t="s">
        <v>34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34</v>
      </c>
      <c r="V804" t="s">
        <v>34</v>
      </c>
      <c r="W804" t="s">
        <v>34</v>
      </c>
      <c r="X804" t="s">
        <v>34</v>
      </c>
      <c r="Y804" t="s">
        <v>34</v>
      </c>
      <c r="Z804" t="s">
        <v>34</v>
      </c>
      <c r="AA804" t="s">
        <v>34</v>
      </c>
      <c r="AB804" t="s">
        <v>34</v>
      </c>
      <c r="AC804" t="s">
        <v>34</v>
      </c>
      <c r="AD804" t="s">
        <v>34</v>
      </c>
      <c r="AE804" t="s">
        <v>34</v>
      </c>
      <c r="AF804" t="s">
        <v>34</v>
      </c>
      <c r="AG804" t="str">
        <f t="shared" si="26"/>
        <v>NA</v>
      </c>
    </row>
    <row r="805" spans="1:33" x14ac:dyDescent="0.3">
      <c r="A805" t="s">
        <v>513</v>
      </c>
      <c r="B805" s="1" t="s">
        <v>514</v>
      </c>
      <c r="C805" t="s">
        <v>316</v>
      </c>
      <c r="D805" s="1" t="s">
        <v>317</v>
      </c>
      <c r="E805" t="s">
        <v>34</v>
      </c>
      <c r="F805" t="s">
        <v>34</v>
      </c>
      <c r="G805" t="s">
        <v>34</v>
      </c>
      <c r="H805" t="s">
        <v>34</v>
      </c>
      <c r="I805" t="s">
        <v>34</v>
      </c>
      <c r="J805" t="s">
        <v>34</v>
      </c>
      <c r="K805">
        <v>22983800000</v>
      </c>
      <c r="L805">
        <v>23597711000</v>
      </c>
      <c r="M805">
        <v>26358315000</v>
      </c>
      <c r="N805">
        <v>28160387000</v>
      </c>
      <c r="O805">
        <v>32376206000</v>
      </c>
      <c r="P805">
        <v>37096000000</v>
      </c>
      <c r="Q805">
        <v>37321000000</v>
      </c>
      <c r="R805">
        <v>40886220800</v>
      </c>
      <c r="S805">
        <v>38761980000</v>
      </c>
      <c r="T805">
        <v>33659270000</v>
      </c>
      <c r="U805">
        <v>32838790000</v>
      </c>
      <c r="V805">
        <v>35378520000</v>
      </c>
      <c r="W805">
        <v>38156460000</v>
      </c>
      <c r="X805">
        <v>40012080000</v>
      </c>
      <c r="Y805">
        <v>43224360000</v>
      </c>
      <c r="Z805">
        <v>45788790000</v>
      </c>
      <c r="AA805">
        <v>49543120000</v>
      </c>
      <c r="AB805">
        <v>52434100000</v>
      </c>
      <c r="AC805">
        <v>57563350000</v>
      </c>
      <c r="AD805">
        <v>55866120000</v>
      </c>
      <c r="AE805">
        <v>65113847000</v>
      </c>
      <c r="AF805">
        <v>76408702999.999893</v>
      </c>
      <c r="AG805">
        <f t="shared" si="26"/>
        <v>41524051354.545448</v>
      </c>
    </row>
    <row r="806" spans="1:33" x14ac:dyDescent="0.3">
      <c r="A806" t="s">
        <v>513</v>
      </c>
      <c r="B806" s="1" t="s">
        <v>514</v>
      </c>
      <c r="C806" t="s">
        <v>318</v>
      </c>
      <c r="D806" s="1" t="s">
        <v>319</v>
      </c>
      <c r="E806">
        <v>400500000</v>
      </c>
      <c r="F806">
        <v>511280000</v>
      </c>
      <c r="G806">
        <v>675300000</v>
      </c>
      <c r="H806">
        <v>810350000</v>
      </c>
      <c r="I806">
        <v>985930000</v>
      </c>
      <c r="J806">
        <v>1180440000</v>
      </c>
      <c r="K806">
        <v>1303000000</v>
      </c>
      <c r="L806">
        <v>1609845000</v>
      </c>
      <c r="M806">
        <v>2447902000</v>
      </c>
      <c r="N806">
        <v>3176027000</v>
      </c>
      <c r="O806">
        <v>3902000000</v>
      </c>
      <c r="P806">
        <v>4780000000</v>
      </c>
      <c r="Q806">
        <v>5745993000</v>
      </c>
      <c r="R806">
        <v>7001884000</v>
      </c>
      <c r="S806">
        <v>7817728000</v>
      </c>
      <c r="T806">
        <v>8350745000</v>
      </c>
      <c r="U806">
        <v>11143728000</v>
      </c>
      <c r="V806">
        <v>13107360437</v>
      </c>
      <c r="W806">
        <v>14520820000</v>
      </c>
      <c r="X806">
        <v>17658395000</v>
      </c>
      <c r="Y806">
        <v>20799950000</v>
      </c>
      <c r="Z806">
        <v>24307010000</v>
      </c>
      <c r="AA806">
        <v>27866514239.849998</v>
      </c>
      <c r="AB806">
        <v>29257728488.950001</v>
      </c>
      <c r="AC806">
        <v>33035800000</v>
      </c>
      <c r="AD806">
        <v>32469800000</v>
      </c>
      <c r="AE806">
        <v>40753100000</v>
      </c>
      <c r="AF806">
        <v>50714100000</v>
      </c>
      <c r="AG806">
        <f t="shared" si="26"/>
        <v>13083329648.778574</v>
      </c>
    </row>
    <row r="807" spans="1:33" x14ac:dyDescent="0.3">
      <c r="A807" t="s">
        <v>513</v>
      </c>
      <c r="B807" s="1" t="s">
        <v>514</v>
      </c>
      <c r="C807" t="s">
        <v>320</v>
      </c>
      <c r="D807" s="1" t="s">
        <v>321</v>
      </c>
      <c r="E807" t="s">
        <v>34</v>
      </c>
      <c r="F807" t="s">
        <v>34</v>
      </c>
      <c r="G807" t="s">
        <v>34</v>
      </c>
      <c r="H807" t="s">
        <v>34</v>
      </c>
      <c r="I807" t="s">
        <v>34</v>
      </c>
      <c r="J807" t="s">
        <v>34</v>
      </c>
      <c r="K807" t="s">
        <v>34</v>
      </c>
      <c r="L807" t="s">
        <v>34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34</v>
      </c>
      <c r="U807" t="s">
        <v>34</v>
      </c>
      <c r="V807" t="s">
        <v>34</v>
      </c>
      <c r="W807" t="s">
        <v>34</v>
      </c>
      <c r="X807" t="s">
        <v>34</v>
      </c>
      <c r="Y807" t="s">
        <v>34</v>
      </c>
      <c r="Z807" t="s">
        <v>34</v>
      </c>
      <c r="AA807" t="s">
        <v>34</v>
      </c>
      <c r="AB807" t="s">
        <v>34</v>
      </c>
      <c r="AC807" t="s">
        <v>34</v>
      </c>
      <c r="AD807" t="s">
        <v>34</v>
      </c>
      <c r="AE807" t="s">
        <v>34</v>
      </c>
      <c r="AF807" t="s">
        <v>34</v>
      </c>
      <c r="AG807" t="str">
        <f t="shared" si="26"/>
        <v>NA</v>
      </c>
    </row>
    <row r="808" spans="1:33" x14ac:dyDescent="0.3">
      <c r="A808" t="s">
        <v>513</v>
      </c>
      <c r="B808" s="1" t="s">
        <v>514</v>
      </c>
      <c r="C808" t="s">
        <v>322</v>
      </c>
      <c r="D808" s="1" t="s">
        <v>323</v>
      </c>
      <c r="E808" t="s">
        <v>34</v>
      </c>
      <c r="F808" t="s">
        <v>34</v>
      </c>
      <c r="G808" t="s">
        <v>34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34</v>
      </c>
      <c r="V808" t="s">
        <v>34</v>
      </c>
      <c r="W808" t="s">
        <v>34</v>
      </c>
      <c r="X808" t="s">
        <v>34</v>
      </c>
      <c r="Y808" t="s">
        <v>34</v>
      </c>
      <c r="Z808" t="s">
        <v>34</v>
      </c>
      <c r="AA808" t="s">
        <v>34</v>
      </c>
      <c r="AB808" t="s">
        <v>34</v>
      </c>
      <c r="AC808" t="s">
        <v>34</v>
      </c>
      <c r="AD808" t="s">
        <v>34</v>
      </c>
      <c r="AE808" t="s">
        <v>34</v>
      </c>
      <c r="AF808" t="s">
        <v>34</v>
      </c>
      <c r="AG808" t="str">
        <f t="shared" si="26"/>
        <v>NA</v>
      </c>
    </row>
    <row r="809" spans="1:33" x14ac:dyDescent="0.3">
      <c r="A809" t="s">
        <v>513</v>
      </c>
      <c r="B809" s="1" t="s">
        <v>514</v>
      </c>
      <c r="C809" t="s">
        <v>324</v>
      </c>
      <c r="D809" s="1" t="s">
        <v>325</v>
      </c>
      <c r="E809" t="s">
        <v>34</v>
      </c>
      <c r="F809" t="s">
        <v>34</v>
      </c>
      <c r="G809" t="s">
        <v>34</v>
      </c>
      <c r="H809" t="s">
        <v>34</v>
      </c>
      <c r="I809" t="s">
        <v>34</v>
      </c>
      <c r="J809" t="s">
        <v>34</v>
      </c>
      <c r="K809" t="s">
        <v>34</v>
      </c>
      <c r="L809" t="s">
        <v>34</v>
      </c>
      <c r="M809" t="s">
        <v>34</v>
      </c>
      <c r="N809" t="s">
        <v>34</v>
      </c>
      <c r="O809">
        <v>10925488563</v>
      </c>
      <c r="P809">
        <v>13122165451.5</v>
      </c>
      <c r="Q809">
        <v>14759638318.5</v>
      </c>
      <c r="R809">
        <v>17570000000</v>
      </c>
      <c r="S809">
        <v>13413000000</v>
      </c>
      <c r="T809">
        <v>96277000000</v>
      </c>
      <c r="U809">
        <v>14105000000</v>
      </c>
      <c r="V809">
        <v>14203000000</v>
      </c>
      <c r="W809">
        <v>14762578224</v>
      </c>
      <c r="X809">
        <v>17544224443</v>
      </c>
      <c r="Y809">
        <v>25008998966</v>
      </c>
      <c r="Z809">
        <v>24962264269</v>
      </c>
      <c r="AA809">
        <v>26619720713</v>
      </c>
      <c r="AB809">
        <v>32492701714</v>
      </c>
      <c r="AC809">
        <v>30302445156</v>
      </c>
      <c r="AD809">
        <v>29045511814</v>
      </c>
      <c r="AE809">
        <v>31256800000</v>
      </c>
      <c r="AF809" t="s">
        <v>34</v>
      </c>
      <c r="AG809">
        <f t="shared" si="26"/>
        <v>25080619860.705883</v>
      </c>
    </row>
    <row r="810" spans="1:33" x14ac:dyDescent="0.3">
      <c r="A810" t="s">
        <v>513</v>
      </c>
      <c r="B810" s="1" t="s">
        <v>514</v>
      </c>
      <c r="C810" t="s">
        <v>326</v>
      </c>
      <c r="D810" s="1" t="s">
        <v>327</v>
      </c>
      <c r="E810" t="s">
        <v>34</v>
      </c>
      <c r="F810" t="s">
        <v>34</v>
      </c>
      <c r="G810" t="s">
        <v>34</v>
      </c>
      <c r="H810" t="s">
        <v>34</v>
      </c>
      <c r="I810" t="s">
        <v>34</v>
      </c>
      <c r="J810" t="s">
        <v>34</v>
      </c>
      <c r="K810" t="s">
        <v>34</v>
      </c>
      <c r="L810" t="s">
        <v>34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34</v>
      </c>
      <c r="V810" t="s">
        <v>34</v>
      </c>
      <c r="W810" t="s">
        <v>34</v>
      </c>
      <c r="X810" t="s">
        <v>34</v>
      </c>
      <c r="Y810" t="s">
        <v>34</v>
      </c>
      <c r="Z810" t="s">
        <v>34</v>
      </c>
      <c r="AA810" t="s">
        <v>34</v>
      </c>
      <c r="AB810" t="s">
        <v>34</v>
      </c>
      <c r="AC810" t="s">
        <v>34</v>
      </c>
      <c r="AD810" t="s">
        <v>34</v>
      </c>
      <c r="AE810" t="s">
        <v>34</v>
      </c>
      <c r="AF810" t="s">
        <v>34</v>
      </c>
      <c r="AG810" t="str">
        <f t="shared" si="26"/>
        <v>NA</v>
      </c>
    </row>
    <row r="811" spans="1:33" x14ac:dyDescent="0.3">
      <c r="A811" t="s">
        <v>513</v>
      </c>
      <c r="B811" s="1" t="s">
        <v>514</v>
      </c>
      <c r="C811" t="s">
        <v>328</v>
      </c>
      <c r="D811" s="1" t="s">
        <v>329</v>
      </c>
      <c r="E811">
        <v>73112000000</v>
      </c>
      <c r="F811">
        <v>92019000000</v>
      </c>
      <c r="G811">
        <v>99526000000</v>
      </c>
      <c r="H811">
        <v>97086000000</v>
      </c>
      <c r="I811">
        <v>115412000000</v>
      </c>
      <c r="J811">
        <v>198961000000</v>
      </c>
      <c r="K811">
        <v>199129000000</v>
      </c>
      <c r="L811">
        <v>213534000000</v>
      </c>
      <c r="M811">
        <v>207039000000</v>
      </c>
      <c r="N811">
        <v>259653000000</v>
      </c>
      <c r="O811">
        <v>317631000000</v>
      </c>
      <c r="P811">
        <v>370081000000</v>
      </c>
      <c r="Q811">
        <v>367762000000</v>
      </c>
      <c r="R811">
        <v>435274000000</v>
      </c>
      <c r="S811">
        <v>336749000000</v>
      </c>
      <c r="T811">
        <v>381668000000</v>
      </c>
      <c r="U811">
        <v>447878000000</v>
      </c>
      <c r="V811">
        <v>461449000000</v>
      </c>
      <c r="W811">
        <v>417366000000</v>
      </c>
      <c r="X811">
        <v>372684000000</v>
      </c>
      <c r="Y811">
        <v>316092000000</v>
      </c>
      <c r="Z811">
        <v>291796000000</v>
      </c>
      <c r="AA811">
        <v>328547000000</v>
      </c>
      <c r="AB811">
        <v>404071000000</v>
      </c>
      <c r="AC811">
        <v>399605000000</v>
      </c>
      <c r="AD811">
        <v>296180000000</v>
      </c>
      <c r="AE811">
        <v>612708000000</v>
      </c>
      <c r="AF811" t="s">
        <v>34</v>
      </c>
      <c r="AG811">
        <f t="shared" si="26"/>
        <v>300481925925.9259</v>
      </c>
    </row>
    <row r="812" spans="1:33" x14ac:dyDescent="0.3">
      <c r="A812" t="s">
        <v>513</v>
      </c>
      <c r="B812" s="1" t="s">
        <v>514</v>
      </c>
      <c r="C812" t="s">
        <v>330</v>
      </c>
      <c r="D812" s="1" t="s">
        <v>331</v>
      </c>
      <c r="E812" t="s">
        <v>34</v>
      </c>
      <c r="F812" t="s">
        <v>34</v>
      </c>
      <c r="G812" t="s">
        <v>34</v>
      </c>
      <c r="H812" t="s">
        <v>34</v>
      </c>
      <c r="I812" t="s">
        <v>34</v>
      </c>
      <c r="J812" t="s">
        <v>34</v>
      </c>
      <c r="K812" t="s">
        <v>34</v>
      </c>
      <c r="L812" t="s">
        <v>34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34</v>
      </c>
      <c r="V812" t="s">
        <v>34</v>
      </c>
      <c r="W812" t="s">
        <v>34</v>
      </c>
      <c r="X812" t="s">
        <v>34</v>
      </c>
      <c r="Y812" t="s">
        <v>34</v>
      </c>
      <c r="Z812" t="s">
        <v>34</v>
      </c>
      <c r="AA812" t="s">
        <v>34</v>
      </c>
      <c r="AB812" t="s">
        <v>34</v>
      </c>
      <c r="AC812" t="s">
        <v>34</v>
      </c>
      <c r="AD812" t="s">
        <v>34</v>
      </c>
      <c r="AE812" t="s">
        <v>34</v>
      </c>
      <c r="AF812" t="s">
        <v>34</v>
      </c>
      <c r="AG812" t="str">
        <f t="shared" si="26"/>
        <v>NA</v>
      </c>
    </row>
    <row r="813" spans="1:33" x14ac:dyDescent="0.3">
      <c r="A813" t="s">
        <v>513</v>
      </c>
      <c r="B813" s="1" t="s">
        <v>514</v>
      </c>
      <c r="C813" t="s">
        <v>332</v>
      </c>
      <c r="D813" s="1" t="s">
        <v>333</v>
      </c>
      <c r="E813" t="s">
        <v>34</v>
      </c>
      <c r="F813" t="s">
        <v>34</v>
      </c>
      <c r="G813">
        <v>81155000000</v>
      </c>
      <c r="H813">
        <v>98160000000</v>
      </c>
      <c r="I813">
        <v>105381000000</v>
      </c>
      <c r="J813">
        <v>108331000000</v>
      </c>
      <c r="K813" t="s">
        <v>34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34</v>
      </c>
      <c r="V813" t="s">
        <v>34</v>
      </c>
      <c r="W813" t="s">
        <v>34</v>
      </c>
      <c r="X813" t="s">
        <v>34</v>
      </c>
      <c r="Y813" t="s">
        <v>34</v>
      </c>
      <c r="Z813" t="s">
        <v>34</v>
      </c>
      <c r="AA813" t="s">
        <v>34</v>
      </c>
      <c r="AB813" t="s">
        <v>34</v>
      </c>
      <c r="AC813" t="s">
        <v>34</v>
      </c>
      <c r="AD813" t="s">
        <v>34</v>
      </c>
      <c r="AE813" t="s">
        <v>34</v>
      </c>
      <c r="AF813" t="s">
        <v>34</v>
      </c>
      <c r="AG813">
        <f t="shared" si="26"/>
        <v>98256750000</v>
      </c>
    </row>
    <row r="814" spans="1:33" x14ac:dyDescent="0.3">
      <c r="A814" t="s">
        <v>513</v>
      </c>
      <c r="B814" s="1" t="s">
        <v>514</v>
      </c>
      <c r="C814" t="s">
        <v>334</v>
      </c>
      <c r="D814" s="1" t="s">
        <v>335</v>
      </c>
      <c r="E814" t="s">
        <v>34</v>
      </c>
      <c r="F814" t="s">
        <v>34</v>
      </c>
      <c r="G814" t="s">
        <v>34</v>
      </c>
      <c r="H814" t="s">
        <v>34</v>
      </c>
      <c r="I814" t="s">
        <v>34</v>
      </c>
      <c r="J814" t="s">
        <v>34</v>
      </c>
      <c r="K814" t="s">
        <v>34</v>
      </c>
      <c r="L814" t="s">
        <v>34</v>
      </c>
      <c r="M814" t="s">
        <v>34</v>
      </c>
      <c r="N814" t="s">
        <v>34</v>
      </c>
      <c r="O814" t="s">
        <v>34</v>
      </c>
      <c r="P814" t="s">
        <v>34</v>
      </c>
      <c r="Q814" t="s">
        <v>34</v>
      </c>
      <c r="R814">
        <v>6965363</v>
      </c>
      <c r="S814">
        <v>6643962</v>
      </c>
      <c r="T814">
        <v>6674973</v>
      </c>
      <c r="U814">
        <v>7129747</v>
      </c>
      <c r="V814">
        <v>7143717</v>
      </c>
      <c r="W814">
        <v>7356812</v>
      </c>
      <c r="X814">
        <v>8150739</v>
      </c>
      <c r="Y814">
        <v>9142875</v>
      </c>
      <c r="Z814">
        <v>10024467</v>
      </c>
      <c r="AA814">
        <v>10933714</v>
      </c>
      <c r="AB814">
        <v>10970116</v>
      </c>
      <c r="AC814">
        <v>10899157</v>
      </c>
      <c r="AD814">
        <v>11243000</v>
      </c>
      <c r="AE814" t="s">
        <v>34</v>
      </c>
      <c r="AF814" t="s">
        <v>34</v>
      </c>
      <c r="AG814">
        <f t="shared" si="26"/>
        <v>8713741.692307692</v>
      </c>
    </row>
    <row r="815" spans="1:33" x14ac:dyDescent="0.3">
      <c r="A815" t="s">
        <v>513</v>
      </c>
      <c r="B815" s="1" t="s">
        <v>514</v>
      </c>
      <c r="C815" t="s">
        <v>336</v>
      </c>
      <c r="D815" s="1" t="s">
        <v>337</v>
      </c>
      <c r="E815" t="s">
        <v>34</v>
      </c>
      <c r="F815" t="s">
        <v>34</v>
      </c>
      <c r="G815" t="s">
        <v>34</v>
      </c>
      <c r="H815" t="s">
        <v>34</v>
      </c>
      <c r="I815" t="s">
        <v>34</v>
      </c>
      <c r="J815" t="s">
        <v>34</v>
      </c>
      <c r="K815" t="s">
        <v>34</v>
      </c>
      <c r="L815" t="s">
        <v>34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34</v>
      </c>
      <c r="U815" t="s">
        <v>34</v>
      </c>
      <c r="V815" t="s">
        <v>34</v>
      </c>
      <c r="W815" t="s">
        <v>34</v>
      </c>
      <c r="X815">
        <v>2048521620.72</v>
      </c>
      <c r="Y815">
        <v>2260959228.48</v>
      </c>
      <c r="Z815">
        <v>2622225441.48</v>
      </c>
      <c r="AA815">
        <v>2692517964.9400001</v>
      </c>
      <c r="AB815">
        <v>2949316107.25</v>
      </c>
      <c r="AC815">
        <v>2649050109.1199999</v>
      </c>
      <c r="AD815">
        <v>2042636408.22</v>
      </c>
      <c r="AE815">
        <v>2199414471.98</v>
      </c>
      <c r="AF815" t="s">
        <v>34</v>
      </c>
      <c r="AG815">
        <f t="shared" si="26"/>
        <v>2433080169.0237503</v>
      </c>
    </row>
    <row r="816" spans="1:33" x14ac:dyDescent="0.3">
      <c r="A816" t="s">
        <v>513</v>
      </c>
      <c r="B816" s="1" t="s">
        <v>514</v>
      </c>
      <c r="C816" t="s">
        <v>338</v>
      </c>
      <c r="D816" s="1" t="s">
        <v>339</v>
      </c>
      <c r="E816">
        <v>643203000</v>
      </c>
      <c r="F816">
        <v>873052000</v>
      </c>
      <c r="G816">
        <v>959681000</v>
      </c>
      <c r="H816">
        <v>915010000</v>
      </c>
      <c r="I816">
        <v>1080380000</v>
      </c>
      <c r="J816">
        <v>862936000</v>
      </c>
      <c r="K816">
        <v>1567900000</v>
      </c>
      <c r="L816">
        <v>1322151000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34</v>
      </c>
      <c r="V816" t="s">
        <v>34</v>
      </c>
      <c r="W816" t="s">
        <v>34</v>
      </c>
      <c r="X816">
        <v>6778900000</v>
      </c>
      <c r="Y816">
        <v>5894204850</v>
      </c>
      <c r="Z816">
        <v>5286222000</v>
      </c>
      <c r="AA816">
        <v>5317387957.5</v>
      </c>
      <c r="AB816">
        <v>6119211293.5900002</v>
      </c>
      <c r="AC816">
        <v>6070392000</v>
      </c>
      <c r="AD816">
        <v>5668614567.9700003</v>
      </c>
      <c r="AE816" t="s">
        <v>34</v>
      </c>
      <c r="AF816" t="s">
        <v>34</v>
      </c>
      <c r="AG816">
        <f t="shared" si="26"/>
        <v>3290616377.9373331</v>
      </c>
    </row>
    <row r="817" spans="1:33" x14ac:dyDescent="0.3">
      <c r="A817" t="s">
        <v>513</v>
      </c>
      <c r="B817" s="1" t="s">
        <v>514</v>
      </c>
      <c r="C817" t="s">
        <v>340</v>
      </c>
      <c r="D817" s="1" t="s">
        <v>341</v>
      </c>
      <c r="E817" t="s">
        <v>34</v>
      </c>
      <c r="F817" t="s">
        <v>34</v>
      </c>
      <c r="G817" t="s">
        <v>34</v>
      </c>
      <c r="H817" t="s">
        <v>34</v>
      </c>
      <c r="I817" t="s">
        <v>34</v>
      </c>
      <c r="J817" t="s">
        <v>34</v>
      </c>
      <c r="K817" t="s">
        <v>34</v>
      </c>
      <c r="L817" t="s">
        <v>34</v>
      </c>
      <c r="M817" t="s">
        <v>34</v>
      </c>
      <c r="N817" t="s">
        <v>34</v>
      </c>
      <c r="O817">
        <v>952800000000</v>
      </c>
      <c r="P817">
        <v>959700000000</v>
      </c>
      <c r="Q817">
        <v>1228524663173</v>
      </c>
      <c r="R817">
        <v>1573182413198</v>
      </c>
      <c r="S817">
        <v>2192946957159</v>
      </c>
      <c r="T817">
        <v>2095599821827</v>
      </c>
      <c r="U817">
        <v>2610609111427</v>
      </c>
      <c r="V817">
        <v>2903239072775</v>
      </c>
      <c r="W817">
        <v>3097576331850</v>
      </c>
      <c r="X817">
        <v>3681548993026</v>
      </c>
      <c r="Y817">
        <v>3917535197548</v>
      </c>
      <c r="Z817">
        <v>4412024880862</v>
      </c>
      <c r="AA817">
        <v>5047090617126</v>
      </c>
      <c r="AB817">
        <v>5260302720801</v>
      </c>
      <c r="AC817">
        <v>6012718019013</v>
      </c>
      <c r="AD817">
        <v>5970239217052</v>
      </c>
      <c r="AE817">
        <v>6933990469346</v>
      </c>
      <c r="AF817" t="s">
        <v>34</v>
      </c>
      <c r="AG817">
        <f t="shared" si="26"/>
        <v>3461742852128.4116</v>
      </c>
    </row>
    <row r="818" spans="1:33" x14ac:dyDescent="0.3">
      <c r="A818" t="s">
        <v>513</v>
      </c>
      <c r="B818" s="1" t="s">
        <v>514</v>
      </c>
      <c r="C818" t="s">
        <v>342</v>
      </c>
      <c r="D818" s="1" t="s">
        <v>343</v>
      </c>
      <c r="E818">
        <v>3133200000</v>
      </c>
      <c r="F818">
        <v>4615600000</v>
      </c>
      <c r="G818">
        <v>5374900000</v>
      </c>
      <c r="H818">
        <v>5821600000</v>
      </c>
      <c r="I818">
        <v>6042200000</v>
      </c>
      <c r="J818">
        <v>6140900000</v>
      </c>
      <c r="K818">
        <v>6450400000</v>
      </c>
      <c r="L818">
        <v>6412600000</v>
      </c>
      <c r="M818">
        <v>8396800000</v>
      </c>
      <c r="N818">
        <v>9429400000</v>
      </c>
      <c r="O818">
        <v>11187500000</v>
      </c>
      <c r="P818">
        <v>18423849289.790001</v>
      </c>
      <c r="Q818">
        <v>22855817765.32</v>
      </c>
      <c r="R818">
        <v>24152642278.143902</v>
      </c>
      <c r="S818">
        <v>20346338939.459999</v>
      </c>
      <c r="T818">
        <v>25801716448.790001</v>
      </c>
      <c r="U818">
        <v>33627930935.119999</v>
      </c>
      <c r="V818">
        <v>37278035399.959999</v>
      </c>
      <c r="W818">
        <v>36512407243.110001</v>
      </c>
      <c r="X818">
        <v>40157059544.160004</v>
      </c>
      <c r="Y818">
        <v>34745435952.459999</v>
      </c>
      <c r="Z818">
        <v>37213763752.949997</v>
      </c>
      <c r="AA818">
        <v>36755412835.519997</v>
      </c>
      <c r="AB818">
        <v>41598152976.300003</v>
      </c>
      <c r="AC818">
        <v>44015396429.720001</v>
      </c>
      <c r="AD818">
        <v>38166711760.169998</v>
      </c>
      <c r="AE818">
        <v>54876988764.360001</v>
      </c>
      <c r="AF818" t="s">
        <v>34</v>
      </c>
      <c r="AG818">
        <f t="shared" si="26"/>
        <v>22945657789.456814</v>
      </c>
    </row>
    <row r="819" spans="1:33" x14ac:dyDescent="0.3">
      <c r="A819" t="s">
        <v>513</v>
      </c>
      <c r="B819" s="1" t="s">
        <v>514</v>
      </c>
      <c r="C819" t="s">
        <v>344</v>
      </c>
      <c r="D819" s="1" t="s">
        <v>345</v>
      </c>
      <c r="E819">
        <v>111165000000</v>
      </c>
      <c r="F819">
        <v>136356000000</v>
      </c>
      <c r="G819">
        <v>164170000000</v>
      </c>
      <c r="H819">
        <v>183115000000</v>
      </c>
      <c r="I819">
        <v>184023000000</v>
      </c>
      <c r="J819">
        <v>202635000000</v>
      </c>
      <c r="K819">
        <v>223417000000</v>
      </c>
      <c r="L819">
        <v>226501000000</v>
      </c>
      <c r="M819">
        <v>245300000000</v>
      </c>
      <c r="N819">
        <v>278210000000</v>
      </c>
      <c r="O819">
        <v>323330000000</v>
      </c>
      <c r="P819">
        <v>376991000000</v>
      </c>
      <c r="Q819">
        <v>426902000000</v>
      </c>
      <c r="R819">
        <v>482248000000</v>
      </c>
      <c r="S819">
        <v>435372000000</v>
      </c>
      <c r="T819">
        <v>489221000000</v>
      </c>
      <c r="U819">
        <v>571947000000</v>
      </c>
      <c r="V819">
        <v>642512000000</v>
      </c>
      <c r="W819">
        <v>718361000000</v>
      </c>
      <c r="X819">
        <v>784859000000</v>
      </c>
      <c r="Y819">
        <v>846201000000</v>
      </c>
      <c r="Z819">
        <v>921217000000</v>
      </c>
      <c r="AA819">
        <v>1025244000000</v>
      </c>
      <c r="AB819">
        <v>1035380680000</v>
      </c>
      <c r="AC819">
        <v>1164702640000</v>
      </c>
      <c r="AD819">
        <v>1045524090000</v>
      </c>
      <c r="AE819">
        <v>1057345740000</v>
      </c>
      <c r="AF819">
        <v>1237175000000</v>
      </c>
      <c r="AG819">
        <f t="shared" si="26"/>
        <v>554979469642.85718</v>
      </c>
    </row>
    <row r="820" spans="1:33" x14ac:dyDescent="0.3">
      <c r="A820" t="s">
        <v>513</v>
      </c>
      <c r="B820" s="1" t="s">
        <v>514</v>
      </c>
      <c r="C820" t="s">
        <v>346</v>
      </c>
      <c r="D820" s="1" t="s">
        <v>347</v>
      </c>
      <c r="E820">
        <v>32774000000</v>
      </c>
      <c r="F820">
        <v>36975000000</v>
      </c>
      <c r="G820">
        <v>43205000000</v>
      </c>
      <c r="H820">
        <v>49473000000</v>
      </c>
      <c r="I820">
        <v>38175000000</v>
      </c>
      <c r="J820">
        <v>39957000000</v>
      </c>
      <c r="K820">
        <v>36316000000</v>
      </c>
      <c r="L820">
        <v>39504000000</v>
      </c>
      <c r="M820">
        <v>39343000000</v>
      </c>
      <c r="N820">
        <v>34848000000</v>
      </c>
      <c r="O820">
        <v>40398000000</v>
      </c>
      <c r="P820">
        <v>47807000000</v>
      </c>
      <c r="Q820">
        <v>60421000000</v>
      </c>
      <c r="R820">
        <v>65896000000</v>
      </c>
      <c r="S820">
        <v>59581000000</v>
      </c>
      <c r="T820">
        <v>57708000000</v>
      </c>
      <c r="U820">
        <v>63050000000</v>
      </c>
      <c r="V820">
        <v>67412000000</v>
      </c>
      <c r="W820">
        <v>64522000000</v>
      </c>
      <c r="X820">
        <v>66829000000</v>
      </c>
      <c r="Y820">
        <v>71381000000</v>
      </c>
      <c r="Z820">
        <v>75236000000</v>
      </c>
      <c r="AA820">
        <v>83426000000</v>
      </c>
      <c r="AB820">
        <v>95153000000</v>
      </c>
      <c r="AC820">
        <v>105141000000</v>
      </c>
      <c r="AD820">
        <v>108211000000</v>
      </c>
      <c r="AE820">
        <v>133916000000</v>
      </c>
      <c r="AF820" t="s">
        <v>34</v>
      </c>
      <c r="AG820">
        <f t="shared" si="26"/>
        <v>61357703703.703705</v>
      </c>
    </row>
    <row r="821" spans="1:33" x14ac:dyDescent="0.3">
      <c r="A821" t="s">
        <v>513</v>
      </c>
      <c r="B821" s="1" t="s">
        <v>514</v>
      </c>
      <c r="C821" t="s">
        <v>348</v>
      </c>
      <c r="D821" s="1" t="s">
        <v>349</v>
      </c>
      <c r="E821">
        <v>6557352000</v>
      </c>
      <c r="F821">
        <v>7514575000</v>
      </c>
      <c r="G821">
        <v>8211680000</v>
      </c>
      <c r="H821">
        <v>8707026000</v>
      </c>
      <c r="I821">
        <v>9793423000</v>
      </c>
      <c r="J821">
        <v>11117908000</v>
      </c>
      <c r="K821">
        <v>11162058000</v>
      </c>
      <c r="L821">
        <v>11462598000</v>
      </c>
      <c r="M821">
        <v>10479286000</v>
      </c>
      <c r="N821">
        <v>11274769000</v>
      </c>
      <c r="O821">
        <v>11576473000</v>
      </c>
      <c r="P821">
        <v>12624644000</v>
      </c>
      <c r="Q821">
        <v>14469384000</v>
      </c>
      <c r="R821">
        <v>14943764000</v>
      </c>
      <c r="S821">
        <v>13476242000</v>
      </c>
      <c r="T821">
        <v>13506716000</v>
      </c>
      <c r="U821">
        <v>15000760000</v>
      </c>
      <c r="V821">
        <v>13368850000</v>
      </c>
      <c r="W821">
        <v>17423762000</v>
      </c>
      <c r="X821">
        <v>17086278000</v>
      </c>
      <c r="Y821">
        <v>17515943000</v>
      </c>
      <c r="Z821">
        <v>17030652000</v>
      </c>
      <c r="AA821">
        <v>17688365000</v>
      </c>
      <c r="AB821">
        <v>18829524000</v>
      </c>
      <c r="AC821">
        <v>18896191000</v>
      </c>
      <c r="AD821">
        <v>18197369000</v>
      </c>
      <c r="AE821">
        <v>18818331000</v>
      </c>
      <c r="AF821" t="s">
        <v>34</v>
      </c>
      <c r="AG821">
        <f t="shared" si="26"/>
        <v>13582737888.888889</v>
      </c>
    </row>
    <row r="822" spans="1:33" x14ac:dyDescent="0.3">
      <c r="A822" t="s">
        <v>513</v>
      </c>
      <c r="B822" s="1" t="s">
        <v>514</v>
      </c>
      <c r="C822" t="s">
        <v>350</v>
      </c>
      <c r="D822" s="1" t="s">
        <v>351</v>
      </c>
      <c r="E822" t="s">
        <v>34</v>
      </c>
      <c r="F822" t="s">
        <v>34</v>
      </c>
      <c r="G822" t="s">
        <v>34</v>
      </c>
      <c r="H822" t="s">
        <v>34</v>
      </c>
      <c r="I822" t="s">
        <v>34</v>
      </c>
      <c r="J822" t="s">
        <v>34</v>
      </c>
      <c r="K822" t="s">
        <v>34</v>
      </c>
      <c r="L822" t="s">
        <v>34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34</v>
      </c>
      <c r="V822" t="s">
        <v>34</v>
      </c>
      <c r="W822" t="s">
        <v>34</v>
      </c>
      <c r="X822" t="s">
        <v>34</v>
      </c>
      <c r="Y822" t="s">
        <v>34</v>
      </c>
      <c r="Z822" t="s">
        <v>34</v>
      </c>
      <c r="AA822" t="s">
        <v>34</v>
      </c>
      <c r="AB822" t="s">
        <v>34</v>
      </c>
      <c r="AC822" t="s">
        <v>34</v>
      </c>
      <c r="AD822" t="s">
        <v>34</v>
      </c>
      <c r="AE822" t="s">
        <v>34</v>
      </c>
      <c r="AF822" t="s">
        <v>34</v>
      </c>
      <c r="AG822" t="str">
        <f t="shared" si="26"/>
        <v>NA</v>
      </c>
    </row>
    <row r="823" spans="1:33" x14ac:dyDescent="0.3">
      <c r="A823" t="s">
        <v>513</v>
      </c>
      <c r="B823" s="1" t="s">
        <v>514</v>
      </c>
      <c r="C823" t="s">
        <v>352</v>
      </c>
      <c r="D823" s="1" t="s">
        <v>353</v>
      </c>
      <c r="E823" t="s">
        <v>34</v>
      </c>
      <c r="F823" t="s">
        <v>34</v>
      </c>
      <c r="G823" t="s">
        <v>34</v>
      </c>
      <c r="H823" t="s">
        <v>34</v>
      </c>
      <c r="I823" t="s">
        <v>34</v>
      </c>
      <c r="J823" t="s">
        <v>34</v>
      </c>
      <c r="K823" t="s">
        <v>34</v>
      </c>
      <c r="L823" t="s">
        <v>34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34</v>
      </c>
      <c r="V823" t="s">
        <v>34</v>
      </c>
      <c r="W823" t="s">
        <v>34</v>
      </c>
      <c r="X823" t="s">
        <v>34</v>
      </c>
      <c r="Y823" t="s">
        <v>34</v>
      </c>
      <c r="Z823" t="s">
        <v>34</v>
      </c>
      <c r="AA823" t="s">
        <v>34</v>
      </c>
      <c r="AB823" t="s">
        <v>34</v>
      </c>
      <c r="AC823" t="s">
        <v>34</v>
      </c>
      <c r="AD823" t="s">
        <v>34</v>
      </c>
      <c r="AE823" t="s">
        <v>34</v>
      </c>
      <c r="AF823" t="s">
        <v>34</v>
      </c>
      <c r="AG823" t="str">
        <f t="shared" si="26"/>
        <v>NA</v>
      </c>
    </row>
    <row r="824" spans="1:33" x14ac:dyDescent="0.3">
      <c r="A824" t="s">
        <v>513</v>
      </c>
      <c r="B824" s="1" t="s">
        <v>514</v>
      </c>
      <c r="C824" t="s">
        <v>354</v>
      </c>
      <c r="D824" s="1" t="s">
        <v>355</v>
      </c>
      <c r="E824">
        <v>642200000</v>
      </c>
      <c r="F824">
        <v>867600000</v>
      </c>
      <c r="G824">
        <v>2074100000</v>
      </c>
      <c r="H824">
        <v>2423400000</v>
      </c>
      <c r="I824">
        <v>2830600000</v>
      </c>
      <c r="J824">
        <v>5121500000</v>
      </c>
      <c r="K824">
        <v>6666100000</v>
      </c>
      <c r="L824">
        <v>8042700000</v>
      </c>
      <c r="M824">
        <v>11070200000</v>
      </c>
      <c r="N824">
        <v>15057600000</v>
      </c>
      <c r="O824">
        <v>14462700000</v>
      </c>
      <c r="P824">
        <v>19673900000</v>
      </c>
      <c r="Q824">
        <v>26431500000</v>
      </c>
      <c r="R824">
        <v>33066500000</v>
      </c>
      <c r="S824">
        <v>30024100000</v>
      </c>
      <c r="T824">
        <v>28744000000</v>
      </c>
      <c r="U824">
        <v>31924300000</v>
      </c>
      <c r="V824">
        <v>31980500000</v>
      </c>
      <c r="W824">
        <v>34835000000</v>
      </c>
      <c r="X824">
        <v>38503900000</v>
      </c>
      <c r="Y824">
        <v>43985600000</v>
      </c>
      <c r="Z824">
        <v>45954300000</v>
      </c>
      <c r="AA824">
        <v>48970600000</v>
      </c>
      <c r="AB824">
        <v>43501700000</v>
      </c>
      <c r="AC824">
        <v>48134600000</v>
      </c>
      <c r="AD824">
        <v>46826500000</v>
      </c>
      <c r="AE824">
        <v>57087100000</v>
      </c>
      <c r="AF824" t="s">
        <v>34</v>
      </c>
      <c r="AG824">
        <f t="shared" si="26"/>
        <v>25144548148.148148</v>
      </c>
    </row>
    <row r="825" spans="1:33" x14ac:dyDescent="0.3">
      <c r="A825" t="s">
        <v>513</v>
      </c>
      <c r="B825" s="1" t="s">
        <v>514</v>
      </c>
      <c r="C825" t="s">
        <v>356</v>
      </c>
      <c r="D825" s="1" t="s">
        <v>357</v>
      </c>
      <c r="E825" t="s">
        <v>34</v>
      </c>
      <c r="F825" t="s">
        <v>34</v>
      </c>
      <c r="G825" t="s">
        <v>34</v>
      </c>
      <c r="H825">
        <v>37402000000</v>
      </c>
      <c r="I825">
        <v>102591000000</v>
      </c>
      <c r="J825">
        <v>207915000000</v>
      </c>
      <c r="K825">
        <v>219044000000</v>
      </c>
      <c r="L825">
        <v>174691000000</v>
      </c>
      <c r="M825">
        <v>166254759600</v>
      </c>
      <c r="N825">
        <v>205093998100</v>
      </c>
      <c r="O825">
        <v>384210900000</v>
      </c>
      <c r="P825">
        <v>523900000000</v>
      </c>
      <c r="Q825">
        <v>626900000000</v>
      </c>
      <c r="R825">
        <v>663100000000</v>
      </c>
      <c r="S825">
        <v>140000000000</v>
      </c>
      <c r="T825">
        <v>267300000000</v>
      </c>
      <c r="U825">
        <v>304600000000</v>
      </c>
      <c r="V825">
        <v>361100000000</v>
      </c>
      <c r="W825">
        <v>336600000000</v>
      </c>
      <c r="X825">
        <v>408403391767.85999</v>
      </c>
      <c r="Y825">
        <v>486272450840.34998</v>
      </c>
      <c r="Z825">
        <v>-351363000000</v>
      </c>
      <c r="AA825">
        <v>584628000000</v>
      </c>
      <c r="AB825">
        <v>778528000000</v>
      </c>
      <c r="AC825">
        <v>945407000000</v>
      </c>
      <c r="AD825">
        <v>791637000000</v>
      </c>
      <c r="AE825">
        <v>1179629000000</v>
      </c>
      <c r="AF825" t="s">
        <v>34</v>
      </c>
      <c r="AG825">
        <f t="shared" si="26"/>
        <v>397660187512.8421</v>
      </c>
    </row>
    <row r="826" spans="1:33" x14ac:dyDescent="0.3">
      <c r="A826" t="s">
        <v>513</v>
      </c>
      <c r="B826" s="1" t="s">
        <v>514</v>
      </c>
      <c r="C826" t="s">
        <v>358</v>
      </c>
      <c r="D826" s="1" t="s">
        <v>359</v>
      </c>
      <c r="E826" t="s">
        <v>34</v>
      </c>
      <c r="F826" t="s">
        <v>34</v>
      </c>
      <c r="G826" t="s">
        <v>34</v>
      </c>
      <c r="H826" t="s">
        <v>34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 t="s">
        <v>34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34</v>
      </c>
      <c r="V826" t="s">
        <v>34</v>
      </c>
      <c r="W826" t="s">
        <v>34</v>
      </c>
      <c r="X826">
        <v>287884980830</v>
      </c>
      <c r="Y826">
        <v>334578464136</v>
      </c>
      <c r="Z826">
        <v>393458035477.55798</v>
      </c>
      <c r="AA826">
        <v>403672330698.37903</v>
      </c>
      <c r="AB826">
        <v>472791715800.659</v>
      </c>
      <c r="AC826">
        <v>576983773476.35706</v>
      </c>
      <c r="AD826">
        <v>630224168923.69995</v>
      </c>
      <c r="AE826" t="s">
        <v>34</v>
      </c>
      <c r="AF826" t="s">
        <v>34</v>
      </c>
      <c r="AG826">
        <f t="shared" si="26"/>
        <v>442799067048.9505</v>
      </c>
    </row>
    <row r="827" spans="1:33" x14ac:dyDescent="0.3">
      <c r="A827" t="s">
        <v>513</v>
      </c>
      <c r="B827" s="1" t="s">
        <v>514</v>
      </c>
      <c r="C827" t="s">
        <v>360</v>
      </c>
      <c r="D827" s="1" t="s">
        <v>361</v>
      </c>
      <c r="E827" t="s">
        <v>34</v>
      </c>
      <c r="F827" t="s">
        <v>34</v>
      </c>
      <c r="G827" t="s">
        <v>34</v>
      </c>
      <c r="H827" t="s">
        <v>34</v>
      </c>
      <c r="I827" t="s">
        <v>34</v>
      </c>
      <c r="J827" t="s">
        <v>34</v>
      </c>
      <c r="K827" t="s">
        <v>34</v>
      </c>
      <c r="L827" t="s">
        <v>34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34</v>
      </c>
      <c r="S827" t="s">
        <v>34</v>
      </c>
      <c r="T827" t="s">
        <v>34</v>
      </c>
      <c r="U827" t="s">
        <v>34</v>
      </c>
      <c r="V827">
        <v>91392141.489999995</v>
      </c>
      <c r="W827">
        <v>101116194.09</v>
      </c>
      <c r="X827">
        <v>103318988.09999999</v>
      </c>
      <c r="Y827">
        <v>107384663.5</v>
      </c>
      <c r="Z827">
        <v>114322711.51000001</v>
      </c>
      <c r="AA827">
        <v>117036819.16</v>
      </c>
      <c r="AB827">
        <v>115519292.23</v>
      </c>
      <c r="AC827">
        <v>131598914.44</v>
      </c>
      <c r="AD827">
        <v>129534553.27</v>
      </c>
      <c r="AE827">
        <v>129098211.12</v>
      </c>
      <c r="AF827" t="s">
        <v>34</v>
      </c>
      <c r="AG827">
        <f t="shared" si="26"/>
        <v>114032248.89099999</v>
      </c>
    </row>
    <row r="828" spans="1:33" x14ac:dyDescent="0.3">
      <c r="A828" t="s">
        <v>513</v>
      </c>
      <c r="B828" s="1" t="s">
        <v>514</v>
      </c>
      <c r="C828" t="s">
        <v>362</v>
      </c>
      <c r="D828" s="1" t="s">
        <v>363</v>
      </c>
      <c r="E828">
        <v>110100000000</v>
      </c>
      <c r="F828" t="s">
        <v>34</v>
      </c>
      <c r="G828" t="s">
        <v>34</v>
      </c>
      <c r="H828" t="s">
        <v>34</v>
      </c>
      <c r="I828" t="s">
        <v>34</v>
      </c>
      <c r="J828" t="s">
        <v>34</v>
      </c>
      <c r="K828" t="s">
        <v>34</v>
      </c>
      <c r="L828">
        <v>102254857</v>
      </c>
      <c r="M828">
        <v>98527131.5</v>
      </c>
      <c r="N828">
        <v>95953813.209999993</v>
      </c>
      <c r="O828">
        <v>101756514.83</v>
      </c>
      <c r="P828">
        <v>100263799.97</v>
      </c>
      <c r="Q828">
        <v>105551084.70999999</v>
      </c>
      <c r="R828">
        <v>109203493.79000001</v>
      </c>
      <c r="S828">
        <v>97996901.799999997</v>
      </c>
      <c r="T828">
        <v>82831985.200000003</v>
      </c>
      <c r="U828">
        <v>88202361.680000007</v>
      </c>
      <c r="V828">
        <v>80707553</v>
      </c>
      <c r="W828">
        <v>81708775.209999993</v>
      </c>
      <c r="X828">
        <v>94499431.689999998</v>
      </c>
      <c r="Y828">
        <v>92137746.790000007</v>
      </c>
      <c r="Z828">
        <v>86661516.5</v>
      </c>
      <c r="AA828">
        <v>91924068</v>
      </c>
      <c r="AB828">
        <v>99083394</v>
      </c>
      <c r="AC828">
        <v>109220569</v>
      </c>
      <c r="AD828">
        <v>101482052</v>
      </c>
      <c r="AE828">
        <v>122798201</v>
      </c>
      <c r="AF828" t="s">
        <v>34</v>
      </c>
      <c r="AG828">
        <f t="shared" si="26"/>
        <v>5335369773.851429</v>
      </c>
    </row>
    <row r="829" spans="1:33" x14ac:dyDescent="0.3">
      <c r="A829" t="s">
        <v>513</v>
      </c>
      <c r="B829" s="1" t="s">
        <v>514</v>
      </c>
      <c r="C829" t="s">
        <v>364</v>
      </c>
      <c r="D829" s="1" t="s">
        <v>365</v>
      </c>
      <c r="E829" t="s">
        <v>34</v>
      </c>
      <c r="F829" t="s">
        <v>34</v>
      </c>
      <c r="G829" t="s">
        <v>34</v>
      </c>
      <c r="H829" t="s">
        <v>34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34</v>
      </c>
      <c r="V829" t="s">
        <v>34</v>
      </c>
      <c r="W829" t="s">
        <v>34</v>
      </c>
      <c r="X829" t="s">
        <v>34</v>
      </c>
      <c r="Y829" t="s">
        <v>34</v>
      </c>
      <c r="Z829" t="s">
        <v>34</v>
      </c>
      <c r="AA829" t="s">
        <v>34</v>
      </c>
      <c r="AB829" t="s">
        <v>34</v>
      </c>
      <c r="AC829" t="s">
        <v>34</v>
      </c>
      <c r="AD829" t="s">
        <v>34</v>
      </c>
      <c r="AE829" t="s">
        <v>34</v>
      </c>
      <c r="AF829" t="s">
        <v>34</v>
      </c>
      <c r="AG829" t="str">
        <f t="shared" si="26"/>
        <v>NA</v>
      </c>
    </row>
    <row r="830" spans="1:33" x14ac:dyDescent="0.3">
      <c r="A830" t="s">
        <v>513</v>
      </c>
      <c r="B830" s="1" t="s">
        <v>514</v>
      </c>
      <c r="C830" t="s">
        <v>366</v>
      </c>
      <c r="D830" s="1" t="s">
        <v>367</v>
      </c>
      <c r="E830" t="s">
        <v>34</v>
      </c>
      <c r="F830" t="s">
        <v>34</v>
      </c>
      <c r="G830" t="s">
        <v>34</v>
      </c>
      <c r="H830" t="s">
        <v>34</v>
      </c>
      <c r="I830" t="s">
        <v>34</v>
      </c>
      <c r="J830" t="s">
        <v>34</v>
      </c>
      <c r="K830" t="s">
        <v>34</v>
      </c>
      <c r="L830" t="s">
        <v>34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>
        <v>7125000000</v>
      </c>
      <c r="U830">
        <v>9472000000</v>
      </c>
      <c r="V830">
        <v>12512000000</v>
      </c>
      <c r="W830">
        <v>12246000000</v>
      </c>
      <c r="X830">
        <v>13925000000</v>
      </c>
      <c r="Y830">
        <v>14598000000</v>
      </c>
      <c r="Z830">
        <v>14655000320.129999</v>
      </c>
      <c r="AA830">
        <v>14013467396.209999</v>
      </c>
      <c r="AB830">
        <v>16735000000</v>
      </c>
      <c r="AC830">
        <v>17204121743.23</v>
      </c>
      <c r="AD830">
        <v>18109000000.360001</v>
      </c>
      <c r="AE830" t="s">
        <v>34</v>
      </c>
      <c r="AF830" t="s">
        <v>34</v>
      </c>
      <c r="AG830">
        <f t="shared" si="26"/>
        <v>13690417223.629999</v>
      </c>
    </row>
    <row r="831" spans="1:33" x14ac:dyDescent="0.3">
      <c r="A831" t="s">
        <v>513</v>
      </c>
      <c r="B831" s="1" t="s">
        <v>514</v>
      </c>
      <c r="C831" t="s">
        <v>368</v>
      </c>
      <c r="D831" s="1" t="s">
        <v>369</v>
      </c>
      <c r="E831" t="s">
        <v>34</v>
      </c>
      <c r="F831" t="s">
        <v>34</v>
      </c>
      <c r="G831" t="s">
        <v>34</v>
      </c>
      <c r="H831" t="s">
        <v>34</v>
      </c>
      <c r="I831" t="s">
        <v>34</v>
      </c>
      <c r="J831" t="s">
        <v>34</v>
      </c>
      <c r="K831" t="s">
        <v>34</v>
      </c>
      <c r="L831" t="s">
        <v>34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34</v>
      </c>
      <c r="U831" t="s">
        <v>34</v>
      </c>
      <c r="V831" t="s">
        <v>34</v>
      </c>
      <c r="W831" t="s">
        <v>34</v>
      </c>
      <c r="X831" t="s">
        <v>34</v>
      </c>
      <c r="Y831">
        <v>435418054843</v>
      </c>
      <c r="Z831">
        <v>505317549977</v>
      </c>
      <c r="AA831">
        <v>543570987596</v>
      </c>
      <c r="AB831">
        <v>601821244715</v>
      </c>
      <c r="AC831">
        <v>719033917737</v>
      </c>
      <c r="AD831">
        <v>746868573890</v>
      </c>
      <c r="AE831">
        <v>781188645986.5</v>
      </c>
      <c r="AF831">
        <v>995876819222.37</v>
      </c>
      <c r="AG831">
        <f t="shared" si="26"/>
        <v>666136974245.85876</v>
      </c>
    </row>
    <row r="832" spans="1:33" x14ac:dyDescent="0.3">
      <c r="A832" t="s">
        <v>513</v>
      </c>
      <c r="B832" s="1" t="s">
        <v>514</v>
      </c>
      <c r="C832" t="s">
        <v>370</v>
      </c>
      <c r="D832" s="1" t="s">
        <v>371</v>
      </c>
      <c r="E832" t="s">
        <v>34</v>
      </c>
      <c r="F832" t="s">
        <v>34</v>
      </c>
      <c r="G832" t="s">
        <v>34</v>
      </c>
      <c r="H832" t="s">
        <v>34</v>
      </c>
      <c r="I832" t="s">
        <v>34</v>
      </c>
      <c r="J832" t="s">
        <v>34</v>
      </c>
      <c r="K832" t="s">
        <v>34</v>
      </c>
      <c r="L832" t="s">
        <v>34</v>
      </c>
      <c r="M832" t="s">
        <v>34</v>
      </c>
      <c r="N832" t="s">
        <v>34</v>
      </c>
      <c r="O832" t="s">
        <v>34</v>
      </c>
      <c r="P832" t="s">
        <v>34</v>
      </c>
      <c r="Q832">
        <v>89972300000</v>
      </c>
      <c r="R832">
        <v>109663400000</v>
      </c>
      <c r="S832">
        <v>100802700000</v>
      </c>
      <c r="T832">
        <v>105066457000</v>
      </c>
      <c r="U832">
        <v>104496263000</v>
      </c>
      <c r="V832">
        <v>95235201064</v>
      </c>
      <c r="W832">
        <v>215797131986.79001</v>
      </c>
      <c r="X832">
        <v>229388202332.07001</v>
      </c>
      <c r="Y832">
        <v>231299025674.54999</v>
      </c>
      <c r="Z832">
        <v>256566076778.57999</v>
      </c>
      <c r="AA832">
        <v>300159006815.40997</v>
      </c>
      <c r="AB832">
        <v>312910438435.57001</v>
      </c>
      <c r="AC832">
        <v>343407661436.57001</v>
      </c>
      <c r="AD832">
        <v>327363061441.172</v>
      </c>
      <c r="AE832">
        <v>327363061441.172</v>
      </c>
      <c r="AF832" t="s">
        <v>34</v>
      </c>
      <c r="AG832">
        <f t="shared" si="26"/>
        <v>209965999160.39224</v>
      </c>
    </row>
    <row r="833" spans="1:33" x14ac:dyDescent="0.3">
      <c r="A833" t="s">
        <v>513</v>
      </c>
      <c r="B833" s="1" t="s">
        <v>514</v>
      </c>
      <c r="C833" t="s">
        <v>372</v>
      </c>
      <c r="D833" s="1" t="s">
        <v>373</v>
      </c>
      <c r="E833">
        <v>125800000</v>
      </c>
      <c r="F833">
        <v>115900000</v>
      </c>
      <c r="G833">
        <v>129200000</v>
      </c>
      <c r="H833">
        <v>164900000</v>
      </c>
      <c r="I833">
        <v>223100000</v>
      </c>
      <c r="J833">
        <v>244300000</v>
      </c>
      <c r="K833" t="s">
        <v>34</v>
      </c>
      <c r="L833" t="s">
        <v>34</v>
      </c>
      <c r="M833" t="s">
        <v>34</v>
      </c>
      <c r="N833" t="s">
        <v>34</v>
      </c>
      <c r="O833">
        <v>279438046</v>
      </c>
      <c r="P833">
        <v>296916000</v>
      </c>
      <c r="Q833">
        <v>360473139</v>
      </c>
      <c r="R833">
        <v>504477442</v>
      </c>
      <c r="S833">
        <v>800889901.33000004</v>
      </c>
      <c r="T833">
        <v>1040310065.83</v>
      </c>
      <c r="U833">
        <v>1518304812.8499999</v>
      </c>
      <c r="V833">
        <v>1517464431.6800001</v>
      </c>
      <c r="W833">
        <v>1635871797.3599999</v>
      </c>
      <c r="X833">
        <v>1784037753.75</v>
      </c>
      <c r="Y833">
        <v>1831250505.6400001</v>
      </c>
      <c r="Z833">
        <v>2108848458.4400001</v>
      </c>
      <c r="AA833">
        <v>2362811611.48</v>
      </c>
      <c r="AB833">
        <v>2725647000</v>
      </c>
      <c r="AC833">
        <v>2552553192.77</v>
      </c>
      <c r="AD833">
        <v>2390487228.4499998</v>
      </c>
      <c r="AE833" t="s">
        <v>34</v>
      </c>
      <c r="AF833" t="s">
        <v>34</v>
      </c>
      <c r="AG833">
        <f t="shared" si="26"/>
        <v>1123317335.7536364</v>
      </c>
    </row>
    <row r="834" spans="1:33" x14ac:dyDescent="0.3">
      <c r="A834" t="s">
        <v>513</v>
      </c>
      <c r="B834" s="1" t="s">
        <v>514</v>
      </c>
      <c r="C834" t="s">
        <v>374</v>
      </c>
      <c r="D834" s="1" t="s">
        <v>375</v>
      </c>
      <c r="E834" t="s">
        <v>34</v>
      </c>
      <c r="F834" t="s">
        <v>34</v>
      </c>
      <c r="G834" t="s">
        <v>34</v>
      </c>
      <c r="H834" t="s">
        <v>34</v>
      </c>
      <c r="I834" t="s">
        <v>34</v>
      </c>
      <c r="J834" t="s">
        <v>34</v>
      </c>
      <c r="K834" t="s">
        <v>34</v>
      </c>
      <c r="L834" t="s">
        <v>34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34</v>
      </c>
      <c r="U834" t="s">
        <v>34</v>
      </c>
      <c r="V834" t="s">
        <v>34</v>
      </c>
      <c r="W834" t="s">
        <v>34</v>
      </c>
      <c r="X834" t="s">
        <v>34</v>
      </c>
      <c r="Y834" t="s">
        <v>34</v>
      </c>
      <c r="Z834" t="s">
        <v>34</v>
      </c>
      <c r="AA834" t="s">
        <v>34</v>
      </c>
      <c r="AB834" t="s">
        <v>34</v>
      </c>
      <c r="AC834" t="s">
        <v>34</v>
      </c>
      <c r="AD834" t="s">
        <v>34</v>
      </c>
      <c r="AE834" t="s">
        <v>34</v>
      </c>
      <c r="AF834" t="s">
        <v>34</v>
      </c>
      <c r="AG834" t="str">
        <f t="shared" si="26"/>
        <v>NA</v>
      </c>
    </row>
    <row r="835" spans="1:33" x14ac:dyDescent="0.3">
      <c r="A835" t="s">
        <v>513</v>
      </c>
      <c r="B835" s="1" t="s">
        <v>514</v>
      </c>
      <c r="C835" t="s">
        <v>376</v>
      </c>
      <c r="D835" s="1" t="s">
        <v>377</v>
      </c>
      <c r="E835">
        <v>8145000000</v>
      </c>
      <c r="F835">
        <v>9074000000</v>
      </c>
      <c r="G835">
        <v>9494000000</v>
      </c>
      <c r="H835">
        <v>9531000000</v>
      </c>
      <c r="I835">
        <v>10073000000</v>
      </c>
      <c r="J835">
        <v>12347000000</v>
      </c>
      <c r="K835">
        <v>12369000000</v>
      </c>
      <c r="L835">
        <v>10871000000</v>
      </c>
      <c r="M835">
        <v>9783000000</v>
      </c>
      <c r="N835">
        <v>10063000000</v>
      </c>
      <c r="O835">
        <v>11663000000</v>
      </c>
      <c r="P835">
        <v>13181000000</v>
      </c>
      <c r="Q835">
        <v>14938000000</v>
      </c>
      <c r="R835">
        <v>19257000000</v>
      </c>
      <c r="S835">
        <v>17179000000</v>
      </c>
      <c r="T835">
        <v>18645800000</v>
      </c>
      <c r="U835">
        <v>20552200000</v>
      </c>
      <c r="V835">
        <v>22374500000</v>
      </c>
      <c r="W835">
        <v>21981400000</v>
      </c>
      <c r="X835">
        <v>23913800000</v>
      </c>
      <c r="Y835">
        <v>24882600000</v>
      </c>
      <c r="Z835">
        <v>26341667051.970001</v>
      </c>
      <c r="AA835">
        <v>32017500000</v>
      </c>
      <c r="AB835">
        <v>30770344449.950001</v>
      </c>
      <c r="AC835">
        <v>32508941693.299999</v>
      </c>
      <c r="AD835">
        <v>32980559658.16</v>
      </c>
      <c r="AE835">
        <v>37099049246.5</v>
      </c>
      <c r="AF835" t="s">
        <v>34</v>
      </c>
      <c r="AG835">
        <f t="shared" si="26"/>
        <v>18593939337.032589</v>
      </c>
    </row>
    <row r="836" spans="1:33" x14ac:dyDescent="0.3">
      <c r="A836" t="s">
        <v>513</v>
      </c>
      <c r="B836" s="1" t="s">
        <v>514</v>
      </c>
      <c r="C836" t="s">
        <v>378</v>
      </c>
      <c r="D836" s="1" t="s">
        <v>379</v>
      </c>
      <c r="E836" t="s">
        <v>34</v>
      </c>
      <c r="F836" t="s">
        <v>34</v>
      </c>
      <c r="G836" t="s">
        <v>34</v>
      </c>
      <c r="H836" t="s">
        <v>34</v>
      </c>
      <c r="I836" t="s">
        <v>34</v>
      </c>
      <c r="J836" t="s">
        <v>34</v>
      </c>
      <c r="K836" t="s">
        <v>34</v>
      </c>
      <c r="L836" t="s">
        <v>34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34</v>
      </c>
      <c r="V836" t="s">
        <v>34</v>
      </c>
      <c r="W836" t="s">
        <v>34</v>
      </c>
      <c r="X836" t="s">
        <v>34</v>
      </c>
      <c r="Y836" t="s">
        <v>34</v>
      </c>
      <c r="Z836" t="s">
        <v>34</v>
      </c>
      <c r="AA836" t="s">
        <v>34</v>
      </c>
      <c r="AB836" t="s">
        <v>34</v>
      </c>
      <c r="AC836" t="s">
        <v>34</v>
      </c>
      <c r="AD836" t="s">
        <v>34</v>
      </c>
      <c r="AE836" t="s">
        <v>34</v>
      </c>
      <c r="AF836" t="s">
        <v>34</v>
      </c>
      <c r="AG836" t="str">
        <f t="shared" si="26"/>
        <v>NA</v>
      </c>
    </row>
    <row r="837" spans="1:33" x14ac:dyDescent="0.3">
      <c r="A837" t="s">
        <v>513</v>
      </c>
      <c r="B837" s="1" t="s">
        <v>514</v>
      </c>
      <c r="C837" t="s">
        <v>380</v>
      </c>
      <c r="D837" s="1" t="s">
        <v>381</v>
      </c>
      <c r="E837">
        <v>1814047000</v>
      </c>
      <c r="F837">
        <v>1754033000</v>
      </c>
      <c r="G837">
        <v>1885647000</v>
      </c>
      <c r="H837">
        <v>2010556000</v>
      </c>
      <c r="I837">
        <v>2170351000</v>
      </c>
      <c r="J837">
        <v>1931222000</v>
      </c>
      <c r="K837">
        <v>2095632000</v>
      </c>
      <c r="L837">
        <v>2140310000</v>
      </c>
      <c r="M837">
        <v>2408783000</v>
      </c>
      <c r="N837">
        <v>2389760000</v>
      </c>
      <c r="O837">
        <v>2968462000</v>
      </c>
      <c r="P837">
        <v>3387043000</v>
      </c>
      <c r="Q837">
        <v>3844248000</v>
      </c>
      <c r="R837">
        <v>4388612000</v>
      </c>
      <c r="S837">
        <v>3526420000</v>
      </c>
      <c r="T837">
        <v>3601127000</v>
      </c>
      <c r="U837">
        <v>3842269000</v>
      </c>
      <c r="V837">
        <v>4004699000</v>
      </c>
      <c r="W837">
        <v>4470642000</v>
      </c>
      <c r="X837">
        <v>4954580000</v>
      </c>
      <c r="Y837">
        <v>5542454000</v>
      </c>
      <c r="Z837">
        <v>5675770000</v>
      </c>
      <c r="AA837">
        <v>5958965000</v>
      </c>
      <c r="AB837">
        <v>6369698000</v>
      </c>
      <c r="AC837">
        <v>6657426000</v>
      </c>
      <c r="AD837">
        <v>6534565000</v>
      </c>
      <c r="AE837">
        <v>7699202000</v>
      </c>
      <c r="AF837" t="s">
        <v>34</v>
      </c>
      <c r="AG837">
        <f t="shared" si="26"/>
        <v>3852834185.185185</v>
      </c>
    </row>
    <row r="838" spans="1:33" x14ac:dyDescent="0.3">
      <c r="A838" t="s">
        <v>513</v>
      </c>
      <c r="B838" s="1" t="s">
        <v>514</v>
      </c>
      <c r="C838" t="s">
        <v>382</v>
      </c>
      <c r="D838" s="1" t="s">
        <v>383</v>
      </c>
      <c r="E838">
        <v>489168000</v>
      </c>
      <c r="F838">
        <v>616152000</v>
      </c>
      <c r="G838">
        <v>725565000</v>
      </c>
      <c r="H838">
        <v>786928000</v>
      </c>
      <c r="I838">
        <v>840105000</v>
      </c>
      <c r="J838">
        <v>924265000</v>
      </c>
      <c r="K838">
        <v>1066821000</v>
      </c>
      <c r="L838">
        <v>1259859000</v>
      </c>
      <c r="M838">
        <v>1409044000</v>
      </c>
      <c r="N838">
        <v>1576310000</v>
      </c>
      <c r="O838">
        <v>1848639000</v>
      </c>
      <c r="P838">
        <v>2091844000</v>
      </c>
      <c r="Q838">
        <v>2152899000</v>
      </c>
      <c r="R838">
        <v>2188400000</v>
      </c>
      <c r="S838">
        <v>1695529000</v>
      </c>
      <c r="T838">
        <v>1551349000</v>
      </c>
      <c r="U838">
        <v>1525536000</v>
      </c>
      <c r="V838">
        <v>1342694000</v>
      </c>
      <c r="W838">
        <v>1153771000</v>
      </c>
      <c r="X838">
        <v>1309980000</v>
      </c>
      <c r="Y838">
        <v>1528440000</v>
      </c>
      <c r="Z838">
        <v>1709463000</v>
      </c>
      <c r="AA838">
        <v>1861063000</v>
      </c>
      <c r="AB838">
        <v>2175007000</v>
      </c>
      <c r="AC838">
        <v>2301011000</v>
      </c>
      <c r="AD838">
        <v>2079765000</v>
      </c>
      <c r="AE838">
        <v>2801081000</v>
      </c>
      <c r="AF838" t="s">
        <v>34</v>
      </c>
      <c r="AG838">
        <f t="shared" si="26"/>
        <v>1518914370.3703704</v>
      </c>
    </row>
    <row r="839" spans="1:33" x14ac:dyDescent="0.3">
      <c r="A839" t="s">
        <v>513</v>
      </c>
      <c r="B839" s="1" t="s">
        <v>514</v>
      </c>
      <c r="C839" t="s">
        <v>384</v>
      </c>
      <c r="D839" s="1" t="s">
        <v>385</v>
      </c>
      <c r="E839" t="s">
        <v>34</v>
      </c>
      <c r="F839" t="s">
        <v>34</v>
      </c>
      <c r="G839" t="s">
        <v>34</v>
      </c>
      <c r="H839" t="s">
        <v>34</v>
      </c>
      <c r="I839" t="s">
        <v>34</v>
      </c>
      <c r="J839" t="s">
        <v>34</v>
      </c>
      <c r="K839" t="s">
        <v>34</v>
      </c>
      <c r="L839" t="s">
        <v>34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34</v>
      </c>
      <c r="S839" t="s">
        <v>34</v>
      </c>
      <c r="T839" t="s">
        <v>34</v>
      </c>
      <c r="U839">
        <v>683356580.37</v>
      </c>
      <c r="V839">
        <v>772517431.63999999</v>
      </c>
      <c r="W839">
        <v>908458500.83000004</v>
      </c>
      <c r="X839">
        <v>834311044.89999998</v>
      </c>
      <c r="Y839">
        <v>955305657.07000005</v>
      </c>
      <c r="Z839">
        <v>913231636.37</v>
      </c>
      <c r="AA839">
        <v>986058237.30999994</v>
      </c>
      <c r="AB839">
        <v>1037512584.9</v>
      </c>
      <c r="AC839">
        <v>1006102671.53</v>
      </c>
      <c r="AD839">
        <v>918352057.75</v>
      </c>
      <c r="AE839" t="s">
        <v>34</v>
      </c>
      <c r="AF839" t="s">
        <v>34</v>
      </c>
      <c r="AG839">
        <f t="shared" si="26"/>
        <v>901520640.26699984</v>
      </c>
    </row>
    <row r="840" spans="1:33" x14ac:dyDescent="0.3">
      <c r="A840" t="s">
        <v>513</v>
      </c>
      <c r="B840" s="1" t="s">
        <v>514</v>
      </c>
      <c r="C840" t="s">
        <v>386</v>
      </c>
      <c r="D840" s="1" t="s">
        <v>387</v>
      </c>
      <c r="E840" t="s">
        <v>34</v>
      </c>
      <c r="F840" t="s">
        <v>34</v>
      </c>
      <c r="G840" t="s">
        <v>34</v>
      </c>
      <c r="H840" t="s">
        <v>34</v>
      </c>
      <c r="I840" t="s">
        <v>34</v>
      </c>
      <c r="J840" t="s">
        <v>34</v>
      </c>
      <c r="K840" t="s">
        <v>34</v>
      </c>
      <c r="L840" t="s">
        <v>34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34</v>
      </c>
      <c r="V840" t="s">
        <v>34</v>
      </c>
      <c r="W840" t="s">
        <v>34</v>
      </c>
      <c r="X840" t="s">
        <v>34</v>
      </c>
      <c r="Y840" t="s">
        <v>34</v>
      </c>
      <c r="Z840" t="s">
        <v>34</v>
      </c>
      <c r="AA840">
        <v>3447681.32</v>
      </c>
      <c r="AB840">
        <v>8636252.4560000002</v>
      </c>
      <c r="AC840">
        <v>11462407.73</v>
      </c>
      <c r="AD840">
        <v>12420638.75</v>
      </c>
      <c r="AE840" t="s">
        <v>34</v>
      </c>
      <c r="AF840" t="s">
        <v>34</v>
      </c>
      <c r="AG840">
        <f t="shared" si="26"/>
        <v>8991745.0639999993</v>
      </c>
    </row>
    <row r="841" spans="1:33" x14ac:dyDescent="0.3">
      <c r="A841" t="s">
        <v>513</v>
      </c>
      <c r="B841" s="1" t="s">
        <v>514</v>
      </c>
      <c r="C841" t="s">
        <v>388</v>
      </c>
      <c r="D841" s="1" t="s">
        <v>389</v>
      </c>
      <c r="E841">
        <v>68317000000</v>
      </c>
      <c r="F841">
        <v>82852000000</v>
      </c>
      <c r="G841">
        <v>95003800000</v>
      </c>
      <c r="H841">
        <v>108380600000</v>
      </c>
      <c r="I841">
        <v>116148900000</v>
      </c>
      <c r="J841">
        <v>126145200000</v>
      </c>
      <c r="K841">
        <v>147311000000</v>
      </c>
      <c r="L841">
        <v>164566000000</v>
      </c>
      <c r="M841">
        <v>171962800000</v>
      </c>
      <c r="N841">
        <v>195219000000</v>
      </c>
      <c r="O841">
        <v>230804000000</v>
      </c>
      <c r="P841">
        <v>279990000000</v>
      </c>
      <c r="Q841">
        <v>332058000000</v>
      </c>
      <c r="R841">
        <v>383483000000</v>
      </c>
      <c r="S841">
        <v>359044846795.87</v>
      </c>
      <c r="T841">
        <v>379941232665.09998</v>
      </c>
      <c r="U841">
        <v>426583730530.47998</v>
      </c>
      <c r="V841">
        <v>457317482568.96997</v>
      </c>
      <c r="W841">
        <v>507759154457.04999</v>
      </c>
      <c r="X841">
        <v>561789779510.37</v>
      </c>
      <c r="Y841">
        <v>606820534542.23999</v>
      </c>
      <c r="Z841">
        <v>664526445797.87</v>
      </c>
      <c r="AA841">
        <v>711703019241.59998</v>
      </c>
      <c r="AB841">
        <v>738740596844.77002</v>
      </c>
      <c r="AC841">
        <v>772680576009.84998</v>
      </c>
      <c r="AD841">
        <v>718180499012.29004</v>
      </c>
      <c r="AE841">
        <v>912870032130.07996</v>
      </c>
      <c r="AF841" t="s">
        <v>34</v>
      </c>
      <c r="AG841">
        <f t="shared" si="26"/>
        <v>382229601115.05707</v>
      </c>
    </row>
    <row r="842" spans="1:33" x14ac:dyDescent="0.3">
      <c r="A842" t="s">
        <v>513</v>
      </c>
      <c r="B842" s="1" t="s">
        <v>514</v>
      </c>
      <c r="C842" t="s">
        <v>390</v>
      </c>
      <c r="D842" s="1" t="s">
        <v>391</v>
      </c>
      <c r="E842" t="s">
        <v>34</v>
      </c>
      <c r="F842" t="s">
        <v>34</v>
      </c>
      <c r="G842" t="s">
        <v>34</v>
      </c>
      <c r="H842" t="s">
        <v>34</v>
      </c>
      <c r="I842" t="s">
        <v>34</v>
      </c>
      <c r="J842" t="s">
        <v>34</v>
      </c>
      <c r="K842" t="s">
        <v>34</v>
      </c>
      <c r="L842" t="s">
        <v>34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  <c r="U842" t="s">
        <v>34</v>
      </c>
      <c r="V842" t="s">
        <v>34</v>
      </c>
      <c r="W842" t="s">
        <v>34</v>
      </c>
      <c r="X842" t="s">
        <v>34</v>
      </c>
      <c r="Y842" t="s">
        <v>34</v>
      </c>
      <c r="Z842" t="s">
        <v>34</v>
      </c>
      <c r="AA842" t="s">
        <v>34</v>
      </c>
      <c r="AB842" t="s">
        <v>34</v>
      </c>
      <c r="AC842" t="s">
        <v>34</v>
      </c>
      <c r="AD842" t="s">
        <v>34</v>
      </c>
      <c r="AE842" t="s">
        <v>34</v>
      </c>
      <c r="AF842" t="s">
        <v>34</v>
      </c>
      <c r="AG842" t="str">
        <f t="shared" si="26"/>
        <v>NA</v>
      </c>
    </row>
    <row r="843" spans="1:33" x14ac:dyDescent="0.3">
      <c r="A843" t="s">
        <v>513</v>
      </c>
      <c r="B843" s="1" t="s">
        <v>514</v>
      </c>
      <c r="C843" t="s">
        <v>392</v>
      </c>
      <c r="D843" s="1" t="s">
        <v>393</v>
      </c>
      <c r="E843" t="s">
        <v>34</v>
      </c>
      <c r="F843" t="s">
        <v>34</v>
      </c>
      <c r="G843" t="s">
        <v>34</v>
      </c>
      <c r="H843" t="s">
        <v>34</v>
      </c>
      <c r="I843" t="s">
        <v>34</v>
      </c>
      <c r="J843" t="s">
        <v>34</v>
      </c>
      <c r="K843" t="s">
        <v>34</v>
      </c>
      <c r="L843" t="s">
        <v>34</v>
      </c>
      <c r="M843" t="s">
        <v>34</v>
      </c>
      <c r="N843" t="s">
        <v>34</v>
      </c>
      <c r="O843" t="s">
        <v>34</v>
      </c>
      <c r="P843" t="s">
        <v>34</v>
      </c>
      <c r="Q843" t="s">
        <v>34</v>
      </c>
      <c r="R843" t="s">
        <v>34</v>
      </c>
      <c r="S843" t="s">
        <v>34</v>
      </c>
      <c r="T843" t="s">
        <v>34</v>
      </c>
      <c r="U843" t="s">
        <v>34</v>
      </c>
      <c r="V843">
        <v>48726000000</v>
      </c>
      <c r="W843">
        <v>59437000000</v>
      </c>
      <c r="X843">
        <v>62304000000</v>
      </c>
      <c r="Y843">
        <v>62756000000</v>
      </c>
      <c r="Z843">
        <v>62283000000</v>
      </c>
      <c r="AA843">
        <v>64754000000</v>
      </c>
      <c r="AB843">
        <v>72641000000</v>
      </c>
      <c r="AC843">
        <v>70688000000</v>
      </c>
      <c r="AD843">
        <v>62205000000</v>
      </c>
      <c r="AE843">
        <v>80215000000</v>
      </c>
      <c r="AF843" t="s">
        <v>34</v>
      </c>
      <c r="AG843">
        <f t="shared" si="26"/>
        <v>64600900000</v>
      </c>
    </row>
    <row r="844" spans="1:33" x14ac:dyDescent="0.3">
      <c r="A844" t="s">
        <v>513</v>
      </c>
      <c r="B844" s="1" t="s">
        <v>514</v>
      </c>
      <c r="C844" t="s">
        <v>394</v>
      </c>
      <c r="D844" s="1" t="s">
        <v>395</v>
      </c>
      <c r="E844">
        <v>17161000000</v>
      </c>
      <c r="F844">
        <v>20751000000</v>
      </c>
      <c r="G844">
        <v>21547000000</v>
      </c>
      <c r="H844">
        <v>20429000000</v>
      </c>
      <c r="I844">
        <v>28227000000</v>
      </c>
      <c r="J844">
        <v>27457000000</v>
      </c>
      <c r="K844">
        <v>34636000000</v>
      </c>
      <c r="L844">
        <v>37619000000</v>
      </c>
      <c r="M844">
        <v>39397000000</v>
      </c>
      <c r="N844">
        <v>41372000000</v>
      </c>
      <c r="O844">
        <v>52535000000</v>
      </c>
      <c r="P844">
        <v>80484000000</v>
      </c>
      <c r="Q844">
        <v>107168000000</v>
      </c>
      <c r="R844">
        <v>126541000000</v>
      </c>
      <c r="S844">
        <v>139558000000</v>
      </c>
      <c r="T844">
        <v>135622500000</v>
      </c>
      <c r="U844">
        <v>157309000000</v>
      </c>
      <c r="V844">
        <v>172592000000</v>
      </c>
      <c r="W844">
        <v>205665000000</v>
      </c>
      <c r="X844">
        <v>198114559416.20001</v>
      </c>
      <c r="Y844">
        <v>262583388228.57999</v>
      </c>
      <c r="Z844">
        <v>258856786003.45999</v>
      </c>
      <c r="AA844">
        <v>274561564595.98001</v>
      </c>
      <c r="AB844">
        <v>310449314854.09998</v>
      </c>
      <c r="AC844">
        <v>427699517596.47998</v>
      </c>
      <c r="AD844">
        <v>238325000000</v>
      </c>
      <c r="AE844">
        <v>286034333954.07001</v>
      </c>
      <c r="AF844" t="s">
        <v>34</v>
      </c>
      <c r="AG844">
        <f t="shared" si="26"/>
        <v>137877591283.29147</v>
      </c>
    </row>
    <row r="845" spans="1:33" x14ac:dyDescent="0.3">
      <c r="A845" t="s">
        <v>513</v>
      </c>
      <c r="B845" s="1" t="s">
        <v>514</v>
      </c>
      <c r="C845" t="s">
        <v>396</v>
      </c>
      <c r="D845" s="1" t="s">
        <v>397</v>
      </c>
      <c r="E845" t="s">
        <v>34</v>
      </c>
      <c r="F845" t="s">
        <v>34</v>
      </c>
      <c r="G845" t="s">
        <v>34</v>
      </c>
      <c r="H845" t="s">
        <v>34</v>
      </c>
      <c r="I845" t="s">
        <v>34</v>
      </c>
      <c r="J845">
        <v>59200000</v>
      </c>
      <c r="K845">
        <v>57700000</v>
      </c>
      <c r="L845">
        <v>87861000</v>
      </c>
      <c r="M845">
        <v>77004000</v>
      </c>
      <c r="N845">
        <v>80387000</v>
      </c>
      <c r="O845">
        <v>89805576</v>
      </c>
      <c r="P845">
        <v>98798887</v>
      </c>
      <c r="Q845">
        <v>103573264</v>
      </c>
      <c r="R845">
        <v>136628952.03999999</v>
      </c>
      <c r="S845">
        <v>149452328.61000001</v>
      </c>
      <c r="T845">
        <v>94054359.640000001</v>
      </c>
      <c r="U845">
        <v>86844496.640000001</v>
      </c>
      <c r="V845">
        <v>81455863.650000006</v>
      </c>
      <c r="W845">
        <v>82090078.299999997</v>
      </c>
      <c r="X845">
        <v>94460000</v>
      </c>
      <c r="Y845">
        <v>127050000</v>
      </c>
      <c r="Z845">
        <v>126520000</v>
      </c>
      <c r="AA845">
        <v>134160000</v>
      </c>
      <c r="AB845" t="s">
        <v>34</v>
      </c>
      <c r="AC845" t="s">
        <v>34</v>
      </c>
      <c r="AD845">
        <v>109600000</v>
      </c>
      <c r="AE845" t="s">
        <v>34</v>
      </c>
      <c r="AF845" t="s">
        <v>34</v>
      </c>
      <c r="AG845">
        <f t="shared" si="26"/>
        <v>98770831.888421059</v>
      </c>
    </row>
    <row r="846" spans="1:33" x14ac:dyDescent="0.3">
      <c r="A846" t="s">
        <v>513</v>
      </c>
      <c r="B846" s="1" t="s">
        <v>514</v>
      </c>
      <c r="C846" t="s">
        <v>398</v>
      </c>
      <c r="D846" s="1" t="s">
        <v>399</v>
      </c>
      <c r="E846" t="s">
        <v>34</v>
      </c>
      <c r="F846" t="s">
        <v>34</v>
      </c>
      <c r="G846" t="s">
        <v>34</v>
      </c>
      <c r="H846" t="s">
        <v>34</v>
      </c>
      <c r="I846" t="s">
        <v>34</v>
      </c>
      <c r="J846">
        <v>134534000</v>
      </c>
      <c r="K846">
        <v>133744000</v>
      </c>
      <c r="L846">
        <v>107596000</v>
      </c>
      <c r="M846">
        <v>109714000</v>
      </c>
      <c r="N846">
        <v>116447773</v>
      </c>
      <c r="O846">
        <v>139637027</v>
      </c>
      <c r="P846">
        <v>148420513</v>
      </c>
      <c r="Q846">
        <v>176608383</v>
      </c>
      <c r="R846">
        <v>225719555</v>
      </c>
      <c r="S846">
        <v>226256704</v>
      </c>
      <c r="T846">
        <v>223192602</v>
      </c>
      <c r="U846">
        <v>245164159</v>
      </c>
      <c r="V846">
        <v>226106006</v>
      </c>
      <c r="W846">
        <v>223045043</v>
      </c>
      <c r="X846">
        <v>218786855</v>
      </c>
      <c r="Y846">
        <v>230190000</v>
      </c>
      <c r="Z846">
        <v>251590000</v>
      </c>
      <c r="AA846">
        <v>254150000</v>
      </c>
      <c r="AB846" t="s">
        <v>34</v>
      </c>
      <c r="AC846" t="s">
        <v>34</v>
      </c>
      <c r="AD846" t="s">
        <v>34</v>
      </c>
      <c r="AE846" t="s">
        <v>34</v>
      </c>
      <c r="AF846" t="s">
        <v>34</v>
      </c>
      <c r="AG846">
        <f t="shared" si="26"/>
        <v>188383478.8888889</v>
      </c>
    </row>
    <row r="847" spans="1:33" x14ac:dyDescent="0.3">
      <c r="A847" t="s">
        <v>513</v>
      </c>
      <c r="B847" s="1" t="s">
        <v>514</v>
      </c>
      <c r="C847" t="s">
        <v>400</v>
      </c>
      <c r="D847" s="1" t="s">
        <v>401</v>
      </c>
      <c r="E847" t="s">
        <v>34</v>
      </c>
      <c r="F847" t="s">
        <v>34</v>
      </c>
      <c r="G847" t="s">
        <v>34</v>
      </c>
      <c r="H847" t="s">
        <v>34</v>
      </c>
      <c r="I847" t="s">
        <v>34</v>
      </c>
      <c r="J847" t="s">
        <v>34</v>
      </c>
      <c r="K847" t="s">
        <v>34</v>
      </c>
      <c r="L847" t="s">
        <v>34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  <c r="U847" t="s">
        <v>34</v>
      </c>
      <c r="V847" t="s">
        <v>34</v>
      </c>
      <c r="W847" t="s">
        <v>34</v>
      </c>
      <c r="X847" t="s">
        <v>34</v>
      </c>
      <c r="Y847" t="s">
        <v>34</v>
      </c>
      <c r="Z847" t="s">
        <v>34</v>
      </c>
      <c r="AA847" t="s">
        <v>34</v>
      </c>
      <c r="AB847" t="s">
        <v>34</v>
      </c>
      <c r="AC847" t="s">
        <v>34</v>
      </c>
      <c r="AD847" t="s">
        <v>34</v>
      </c>
      <c r="AE847" t="s">
        <v>34</v>
      </c>
      <c r="AF847" t="s">
        <v>34</v>
      </c>
      <c r="AG847" t="str">
        <f t="shared" si="26"/>
        <v>NA</v>
      </c>
    </row>
    <row r="848" spans="1:33" x14ac:dyDescent="0.3">
      <c r="A848" t="s">
        <v>513</v>
      </c>
      <c r="B848" s="1" t="s">
        <v>514</v>
      </c>
      <c r="C848" t="s">
        <v>402</v>
      </c>
      <c r="D848" s="1" t="s">
        <v>403</v>
      </c>
      <c r="E848">
        <v>49400000</v>
      </c>
      <c r="F848">
        <v>55900000</v>
      </c>
      <c r="G848">
        <v>61000000</v>
      </c>
      <c r="H848">
        <v>72900000</v>
      </c>
      <c r="I848">
        <v>70600000</v>
      </c>
      <c r="J848">
        <v>71498000</v>
      </c>
      <c r="K848">
        <v>70849000</v>
      </c>
      <c r="L848">
        <v>87861000</v>
      </c>
      <c r="M848">
        <v>77004000</v>
      </c>
      <c r="N848">
        <v>80387000</v>
      </c>
      <c r="O848">
        <v>89810000</v>
      </c>
      <c r="P848">
        <v>98798214</v>
      </c>
      <c r="Q848">
        <v>103573264</v>
      </c>
      <c r="R848">
        <v>110391731</v>
      </c>
      <c r="S848">
        <v>110353508</v>
      </c>
      <c r="T848">
        <v>108810122</v>
      </c>
      <c r="U848">
        <v>114397916</v>
      </c>
      <c r="V848">
        <v>122410478</v>
      </c>
      <c r="W848">
        <v>111440844</v>
      </c>
      <c r="X848">
        <v>140030000</v>
      </c>
      <c r="Y848">
        <v>129700000</v>
      </c>
      <c r="Z848">
        <v>155830000</v>
      </c>
      <c r="AA848">
        <v>150930000</v>
      </c>
      <c r="AB848" t="s">
        <v>34</v>
      </c>
      <c r="AC848" t="s">
        <v>34</v>
      </c>
      <c r="AD848" t="s">
        <v>34</v>
      </c>
      <c r="AE848" t="s">
        <v>34</v>
      </c>
      <c r="AF848" t="s">
        <v>34</v>
      </c>
      <c r="AG848">
        <f t="shared" si="26"/>
        <v>97559785.956521735</v>
      </c>
    </row>
    <row r="849" spans="1:33" x14ac:dyDescent="0.3">
      <c r="A849" t="s">
        <v>513</v>
      </c>
      <c r="B849" s="1" t="s">
        <v>514</v>
      </c>
      <c r="C849" t="s">
        <v>404</v>
      </c>
      <c r="D849" s="1" t="s">
        <v>405</v>
      </c>
      <c r="E849" t="s">
        <v>34</v>
      </c>
      <c r="F849" t="s">
        <v>34</v>
      </c>
      <c r="G849" t="s">
        <v>34</v>
      </c>
      <c r="H849">
        <v>281230000</v>
      </c>
      <c r="I849">
        <v>314980000</v>
      </c>
      <c r="J849" t="s">
        <v>34</v>
      </c>
      <c r="K849" t="s">
        <v>34</v>
      </c>
      <c r="L849" t="s">
        <v>34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>
        <v>930200000</v>
      </c>
      <c r="T849">
        <v>1136000000</v>
      </c>
      <c r="U849">
        <v>1044500000</v>
      </c>
      <c r="V849">
        <v>1432600000</v>
      </c>
      <c r="W849">
        <v>1713600000</v>
      </c>
      <c r="X849">
        <v>3003900000</v>
      </c>
      <c r="Y849">
        <v>3103000000</v>
      </c>
      <c r="Z849">
        <v>3387600000</v>
      </c>
      <c r="AA849" t="s">
        <v>34</v>
      </c>
      <c r="AB849" t="s">
        <v>34</v>
      </c>
      <c r="AC849" t="s">
        <v>34</v>
      </c>
      <c r="AD849" t="s">
        <v>34</v>
      </c>
      <c r="AE849" t="s">
        <v>34</v>
      </c>
      <c r="AF849" t="s">
        <v>34</v>
      </c>
      <c r="AG849">
        <f t="shared" si="26"/>
        <v>1634761000</v>
      </c>
    </row>
    <row r="850" spans="1:33" x14ac:dyDescent="0.3">
      <c r="A850" t="s">
        <v>513</v>
      </c>
      <c r="B850" s="1" t="s">
        <v>514</v>
      </c>
      <c r="C850" t="s">
        <v>406</v>
      </c>
      <c r="D850" s="1" t="s">
        <v>407</v>
      </c>
      <c r="E850" t="s">
        <v>34</v>
      </c>
      <c r="F850" t="s">
        <v>34</v>
      </c>
      <c r="G850" t="s">
        <v>34</v>
      </c>
      <c r="H850" t="s">
        <v>34</v>
      </c>
      <c r="I850" t="s">
        <v>34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34</v>
      </c>
      <c r="V850" t="s">
        <v>34</v>
      </c>
      <c r="W850" t="s">
        <v>34</v>
      </c>
      <c r="X850" t="s">
        <v>34</v>
      </c>
      <c r="Y850" t="s">
        <v>34</v>
      </c>
      <c r="Z850" t="s">
        <v>34</v>
      </c>
      <c r="AA850" t="s">
        <v>34</v>
      </c>
      <c r="AB850" t="s">
        <v>34</v>
      </c>
      <c r="AC850" t="s">
        <v>34</v>
      </c>
      <c r="AD850" t="s">
        <v>34</v>
      </c>
      <c r="AE850" t="s">
        <v>34</v>
      </c>
      <c r="AF850" t="s">
        <v>34</v>
      </c>
      <c r="AG850" t="str">
        <f t="shared" si="26"/>
        <v>NA</v>
      </c>
    </row>
    <row r="851" spans="1:33" x14ac:dyDescent="0.3">
      <c r="A851" t="s">
        <v>513</v>
      </c>
      <c r="B851" s="1" t="s">
        <v>514</v>
      </c>
      <c r="C851" t="s">
        <v>408</v>
      </c>
      <c r="D851" s="1" t="s">
        <v>409</v>
      </c>
      <c r="E851">
        <v>92416000000</v>
      </c>
      <c r="F851">
        <v>88104000000</v>
      </c>
      <c r="G851">
        <v>104237000000</v>
      </c>
      <c r="H851">
        <v>105908000000</v>
      </c>
      <c r="I851">
        <v>126367000000</v>
      </c>
      <c r="J851">
        <v>159280000000</v>
      </c>
      <c r="K851">
        <v>114819000000</v>
      </c>
      <c r="L851">
        <v>86968000000</v>
      </c>
      <c r="M851">
        <v>96781000000</v>
      </c>
      <c r="N851">
        <v>123115000000</v>
      </c>
      <c r="O851">
        <v>160484000000</v>
      </c>
      <c r="P851">
        <v>185763000000</v>
      </c>
      <c r="Q851">
        <v>205691000000</v>
      </c>
      <c r="R851">
        <v>162520000000</v>
      </c>
      <c r="S851">
        <v>146575000000</v>
      </c>
      <c r="T851">
        <v>177585000000</v>
      </c>
      <c r="U851">
        <v>172551000000</v>
      </c>
      <c r="V851">
        <v>150898000000</v>
      </c>
      <c r="W851">
        <v>160743000000</v>
      </c>
      <c r="X851">
        <v>181023000000</v>
      </c>
      <c r="Y851">
        <v>221515000000</v>
      </c>
      <c r="Z851">
        <v>234628000000</v>
      </c>
      <c r="AA851">
        <v>252355000000</v>
      </c>
      <c r="AB851">
        <v>251759000000</v>
      </c>
      <c r="AC851">
        <v>259347000000</v>
      </c>
      <c r="AD851">
        <v>245605000000</v>
      </c>
      <c r="AE851">
        <v>297926000000</v>
      </c>
      <c r="AF851" t="s">
        <v>34</v>
      </c>
      <c r="AG851">
        <f t="shared" si="26"/>
        <v>169072703703.7037</v>
      </c>
    </row>
    <row r="852" spans="1:33" x14ac:dyDescent="0.3">
      <c r="A852" t="s">
        <v>513</v>
      </c>
      <c r="B852" s="1" t="s">
        <v>514</v>
      </c>
      <c r="C852" t="s">
        <v>410</v>
      </c>
      <c r="D852" s="1" t="s">
        <v>411</v>
      </c>
      <c r="E852">
        <v>10468193253.09</v>
      </c>
      <c r="F852">
        <v>12442589865.360001</v>
      </c>
      <c r="G852">
        <v>12210746895.059999</v>
      </c>
      <c r="H852">
        <v>15230894257.139999</v>
      </c>
      <c r="I852">
        <v>12342571078.700001</v>
      </c>
      <c r="J852">
        <v>17049900188.940001</v>
      </c>
      <c r="K852">
        <v>13286067008.68</v>
      </c>
      <c r="L852">
        <v>14110704524.469999</v>
      </c>
      <c r="M852">
        <v>14232957068.02</v>
      </c>
      <c r="N852">
        <v>14664659340.870001</v>
      </c>
      <c r="O852">
        <v>16341169164.73</v>
      </c>
      <c r="P852">
        <v>18318633531.509998</v>
      </c>
      <c r="Q852">
        <v>19737744033.360001</v>
      </c>
      <c r="R852">
        <v>24076424881.68</v>
      </c>
      <c r="S852">
        <v>22367567988.959999</v>
      </c>
      <c r="T852">
        <v>22749953447.57</v>
      </c>
      <c r="U852">
        <v>22907369557.48</v>
      </c>
      <c r="V852">
        <v>22747272886.099998</v>
      </c>
      <c r="W852">
        <v>23905690410.32</v>
      </c>
      <c r="X852">
        <v>23656222689.75</v>
      </c>
      <c r="Y852">
        <v>26838207185.610001</v>
      </c>
      <c r="Z852">
        <v>26847027469.369999</v>
      </c>
      <c r="AA852">
        <v>30773314183.18</v>
      </c>
      <c r="AB852">
        <v>30947179695.349998</v>
      </c>
      <c r="AC852">
        <v>33260065485.599998</v>
      </c>
      <c r="AD852">
        <v>27641685100.529999</v>
      </c>
      <c r="AE852">
        <v>35565117791.160004</v>
      </c>
      <c r="AF852" t="s">
        <v>34</v>
      </c>
      <c r="AG852">
        <f t="shared" si="26"/>
        <v>20915552925.281109</v>
      </c>
    </row>
    <row r="853" spans="1:33" x14ac:dyDescent="0.3">
      <c r="A853" t="s">
        <v>513</v>
      </c>
      <c r="B853" s="1" t="s">
        <v>514</v>
      </c>
      <c r="C853" t="s">
        <v>412</v>
      </c>
      <c r="D853" s="1" t="s">
        <v>413</v>
      </c>
      <c r="E853" t="s">
        <v>34</v>
      </c>
      <c r="F853" t="s">
        <v>34</v>
      </c>
      <c r="G853" t="s">
        <v>34</v>
      </c>
      <c r="H853" t="s">
        <v>34</v>
      </c>
      <c r="I853" t="s">
        <v>34</v>
      </c>
      <c r="J853" t="s">
        <v>34</v>
      </c>
      <c r="K853" t="s">
        <v>34</v>
      </c>
      <c r="L853" t="s">
        <v>34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34</v>
      </c>
      <c r="V853" t="s">
        <v>34</v>
      </c>
      <c r="W853" t="s">
        <v>34</v>
      </c>
      <c r="X853" t="s">
        <v>34</v>
      </c>
      <c r="Y853" t="s">
        <v>34</v>
      </c>
      <c r="Z853" t="s">
        <v>34</v>
      </c>
      <c r="AA853" t="s">
        <v>34</v>
      </c>
      <c r="AB853" t="s">
        <v>34</v>
      </c>
      <c r="AC853" t="s">
        <v>34</v>
      </c>
      <c r="AD853" t="s">
        <v>34</v>
      </c>
      <c r="AE853" t="s">
        <v>34</v>
      </c>
      <c r="AF853" t="s">
        <v>34</v>
      </c>
      <c r="AG853" t="str">
        <f t="shared" si="26"/>
        <v>NA</v>
      </c>
    </row>
    <row r="854" spans="1:33" x14ac:dyDescent="0.3">
      <c r="A854" t="s">
        <v>513</v>
      </c>
      <c r="B854" s="1" t="s">
        <v>514</v>
      </c>
      <c r="C854" t="s">
        <v>414</v>
      </c>
      <c r="D854" s="1" t="s">
        <v>415</v>
      </c>
      <c r="E854" t="s">
        <v>34</v>
      </c>
      <c r="F854" t="s">
        <v>34</v>
      </c>
      <c r="G854" t="s">
        <v>34</v>
      </c>
      <c r="H854">
        <v>5783000</v>
      </c>
      <c r="I854">
        <v>9426000</v>
      </c>
      <c r="J854">
        <v>5904000</v>
      </c>
      <c r="K854">
        <v>7842000</v>
      </c>
      <c r="L854" t="s">
        <v>34</v>
      </c>
      <c r="M854">
        <v>14162000</v>
      </c>
      <c r="N854">
        <v>27096000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34</v>
      </c>
      <c r="V854" t="s">
        <v>34</v>
      </c>
      <c r="W854" t="s">
        <v>34</v>
      </c>
      <c r="X854" t="s">
        <v>34</v>
      </c>
      <c r="Y854" t="s">
        <v>34</v>
      </c>
      <c r="Z854" t="s">
        <v>34</v>
      </c>
      <c r="AA854" t="s">
        <v>34</v>
      </c>
      <c r="AB854" t="s">
        <v>34</v>
      </c>
      <c r="AC854" t="s">
        <v>34</v>
      </c>
      <c r="AD854" t="s">
        <v>34</v>
      </c>
      <c r="AE854">
        <v>1446673357</v>
      </c>
      <c r="AF854" t="s">
        <v>34</v>
      </c>
      <c r="AG854">
        <f t="shared" si="26"/>
        <v>216698051</v>
      </c>
    </row>
    <row r="855" spans="1:33" x14ac:dyDescent="0.3">
      <c r="A855" t="s">
        <v>513</v>
      </c>
      <c r="B855" s="1" t="s">
        <v>514</v>
      </c>
      <c r="C855" t="s">
        <v>416</v>
      </c>
      <c r="D855" s="1" t="s">
        <v>417</v>
      </c>
      <c r="E855" t="s">
        <v>34</v>
      </c>
      <c r="F855" t="s">
        <v>34</v>
      </c>
      <c r="G855" t="s">
        <v>34</v>
      </c>
      <c r="H855" t="s">
        <v>34</v>
      </c>
      <c r="I855" t="s">
        <v>34</v>
      </c>
      <c r="J855" t="s">
        <v>34</v>
      </c>
      <c r="K855" t="s">
        <v>34</v>
      </c>
      <c r="L855" t="s">
        <v>34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>
        <v>1304537000000</v>
      </c>
      <c r="T855">
        <v>1304537000000</v>
      </c>
      <c r="U855">
        <v>1627349000000</v>
      </c>
      <c r="V855">
        <v>2214326600000</v>
      </c>
      <c r="W855">
        <v>2950142600000</v>
      </c>
      <c r="X855">
        <v>3699502000000</v>
      </c>
      <c r="Y855">
        <v>3647813400000</v>
      </c>
      <c r="Z855">
        <v>4524645900000</v>
      </c>
      <c r="AA855">
        <v>4738516300000</v>
      </c>
      <c r="AB855">
        <v>5064062000000</v>
      </c>
      <c r="AC855" t="s">
        <v>34</v>
      </c>
      <c r="AD855" t="s">
        <v>34</v>
      </c>
      <c r="AE855" t="s">
        <v>34</v>
      </c>
      <c r="AF855" t="s">
        <v>34</v>
      </c>
      <c r="AG855">
        <f t="shared" si="26"/>
        <v>3107543180000</v>
      </c>
    </row>
    <row r="856" spans="1:33" x14ac:dyDescent="0.3">
      <c r="A856" t="s">
        <v>513</v>
      </c>
      <c r="B856" s="1" t="s">
        <v>514</v>
      </c>
      <c r="C856" t="s">
        <v>418</v>
      </c>
      <c r="D856" s="1" t="s">
        <v>419</v>
      </c>
      <c r="E856">
        <v>241814000000</v>
      </c>
      <c r="F856">
        <v>277671000000</v>
      </c>
      <c r="G856">
        <v>276238000000</v>
      </c>
      <c r="H856">
        <v>214892000000</v>
      </c>
      <c r="I856">
        <v>213673000000</v>
      </c>
      <c r="J856">
        <v>235421000000</v>
      </c>
      <c r="K856">
        <v>253566000000</v>
      </c>
      <c r="L856">
        <v>279325975072.17999</v>
      </c>
      <c r="M856">
        <v>332603870932.14001</v>
      </c>
      <c r="N856">
        <v>407871145759.83002</v>
      </c>
      <c r="O856">
        <v>491796236486.96997</v>
      </c>
      <c r="P856">
        <v>576667390000</v>
      </c>
      <c r="Q856">
        <v>614883030000</v>
      </c>
      <c r="R856">
        <v>712700000000</v>
      </c>
      <c r="S856">
        <v>638395780000</v>
      </c>
      <c r="T856">
        <v>682859680000</v>
      </c>
      <c r="U856">
        <v>852749390000</v>
      </c>
      <c r="V856">
        <v>863268442121.35596</v>
      </c>
      <c r="W856">
        <v>943207788849.93103</v>
      </c>
      <c r="X856">
        <v>881590601488.64099</v>
      </c>
      <c r="Y856">
        <v>895204867333.28296</v>
      </c>
      <c r="Z856">
        <v>894057998127.68005</v>
      </c>
      <c r="AA856">
        <v>893753967434.46704</v>
      </c>
      <c r="AB856">
        <v>975029617627.61499</v>
      </c>
      <c r="AC856">
        <v>1031929444762.76</v>
      </c>
      <c r="AD856">
        <v>912617926882.20996</v>
      </c>
      <c r="AE856">
        <v>923793937417.828</v>
      </c>
      <c r="AF856" t="s">
        <v>34</v>
      </c>
      <c r="AG856">
        <f t="shared" si="26"/>
        <v>611762299640.62561</v>
      </c>
    </row>
    <row r="857" spans="1:33" x14ac:dyDescent="0.3">
      <c r="A857" t="s">
        <v>513</v>
      </c>
      <c r="B857" s="1" t="s">
        <v>514</v>
      </c>
      <c r="C857" t="s">
        <v>420</v>
      </c>
      <c r="D857" s="1" t="s">
        <v>421</v>
      </c>
      <c r="E857" t="s">
        <v>34</v>
      </c>
      <c r="F857" t="s">
        <v>34</v>
      </c>
      <c r="G857" t="s">
        <v>34</v>
      </c>
      <c r="H857" t="s">
        <v>34</v>
      </c>
      <c r="I857" t="s">
        <v>34</v>
      </c>
      <c r="J857" t="s">
        <v>34</v>
      </c>
      <c r="K857" t="s">
        <v>34</v>
      </c>
      <c r="L857" t="s">
        <v>34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34</v>
      </c>
      <c r="S857" t="s">
        <v>34</v>
      </c>
      <c r="T857">
        <v>927167693.70202506</v>
      </c>
      <c r="U857">
        <v>1342833090.7477801</v>
      </c>
      <c r="V857">
        <v>1631743512.4400001</v>
      </c>
      <c r="W857">
        <v>1190700000</v>
      </c>
      <c r="X857">
        <v>805228221</v>
      </c>
      <c r="Y857">
        <v>467695998</v>
      </c>
      <c r="Z857">
        <v>160592319.99000001</v>
      </c>
      <c r="AA857">
        <v>235210757.83000001</v>
      </c>
      <c r="AB857">
        <v>302149293.18728799</v>
      </c>
      <c r="AC857">
        <v>380194918.47000003</v>
      </c>
      <c r="AD857">
        <v>196571231.06</v>
      </c>
      <c r="AE857">
        <v>458354775.45999998</v>
      </c>
      <c r="AF857" t="s">
        <v>34</v>
      </c>
      <c r="AG857">
        <f t="shared" ref="AG857:AG880" si="27">IFERROR(AVERAGE(E857:AF857),"NA")</f>
        <v>674870150.99059117</v>
      </c>
    </row>
    <row r="858" spans="1:33" x14ac:dyDescent="0.3">
      <c r="A858" t="s">
        <v>513</v>
      </c>
      <c r="B858" s="1" t="s">
        <v>514</v>
      </c>
      <c r="C858" t="s">
        <v>422</v>
      </c>
      <c r="D858" s="1" t="s">
        <v>423</v>
      </c>
      <c r="E858" t="s">
        <v>34</v>
      </c>
      <c r="F858" t="s">
        <v>34</v>
      </c>
      <c r="G858" t="s">
        <v>34</v>
      </c>
      <c r="H858" t="s">
        <v>34</v>
      </c>
      <c r="I858" t="s">
        <v>34</v>
      </c>
      <c r="J858" t="s">
        <v>34</v>
      </c>
      <c r="K858" t="s">
        <v>34</v>
      </c>
      <c r="L858" t="s">
        <v>34</v>
      </c>
      <c r="M858" t="s">
        <v>34</v>
      </c>
      <c r="N858">
        <v>43774937374</v>
      </c>
      <c r="O858">
        <v>30925775469</v>
      </c>
      <c r="P858">
        <v>36226300603</v>
      </c>
      <c r="Q858">
        <v>42580491553</v>
      </c>
      <c r="R858">
        <v>42635051451</v>
      </c>
      <c r="S858">
        <v>53105529735</v>
      </c>
      <c r="T858">
        <v>35970043324</v>
      </c>
      <c r="U858">
        <v>41380000000</v>
      </c>
      <c r="V858">
        <v>41515237592.616699</v>
      </c>
      <c r="W858">
        <v>57880885262</v>
      </c>
      <c r="X858">
        <v>59051104962</v>
      </c>
      <c r="Y858">
        <v>98003532281</v>
      </c>
      <c r="Z858">
        <v>75992924323</v>
      </c>
      <c r="AA858">
        <v>86185977574.456894</v>
      </c>
      <c r="AB858">
        <v>101125914610</v>
      </c>
      <c r="AC858">
        <v>119292328093</v>
      </c>
      <c r="AD858" t="s">
        <v>34</v>
      </c>
      <c r="AE858" t="s">
        <v>34</v>
      </c>
      <c r="AF858" t="s">
        <v>34</v>
      </c>
      <c r="AG858">
        <f t="shared" si="27"/>
        <v>60352877137.942101</v>
      </c>
    </row>
    <row r="859" spans="1:33" x14ac:dyDescent="0.3">
      <c r="A859" t="s">
        <v>513</v>
      </c>
      <c r="B859" s="1" t="s">
        <v>514</v>
      </c>
      <c r="C859" t="s">
        <v>424</v>
      </c>
      <c r="D859" s="1" t="s">
        <v>425</v>
      </c>
      <c r="E859" t="s">
        <v>34</v>
      </c>
      <c r="F859" t="s">
        <v>34</v>
      </c>
      <c r="G859" t="s">
        <v>34</v>
      </c>
      <c r="H859" t="s">
        <v>34</v>
      </c>
      <c r="I859" t="s">
        <v>34</v>
      </c>
      <c r="J859" t="s">
        <v>34</v>
      </c>
      <c r="K859" t="s">
        <v>34</v>
      </c>
      <c r="L859" t="s">
        <v>34</v>
      </c>
      <c r="M859" t="s">
        <v>34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34</v>
      </c>
      <c r="V859" t="s">
        <v>34</v>
      </c>
      <c r="W859" t="s">
        <v>34</v>
      </c>
      <c r="X859" t="s">
        <v>34</v>
      </c>
      <c r="Y859" t="s">
        <v>34</v>
      </c>
      <c r="Z859" t="s">
        <v>34</v>
      </c>
      <c r="AA859" t="s">
        <v>34</v>
      </c>
      <c r="AB859" t="s">
        <v>34</v>
      </c>
      <c r="AC859" t="s">
        <v>34</v>
      </c>
      <c r="AD859" t="s">
        <v>34</v>
      </c>
      <c r="AE859" t="s">
        <v>34</v>
      </c>
      <c r="AF859" t="s">
        <v>34</v>
      </c>
      <c r="AG859" t="str">
        <f t="shared" si="27"/>
        <v>NA</v>
      </c>
    </row>
    <row r="860" spans="1:33" x14ac:dyDescent="0.3">
      <c r="A860" t="s">
        <v>513</v>
      </c>
      <c r="B860" s="1" t="s">
        <v>514</v>
      </c>
      <c r="C860" t="s">
        <v>426</v>
      </c>
      <c r="D860" s="1" t="s">
        <v>427</v>
      </c>
      <c r="E860" t="s">
        <v>34</v>
      </c>
      <c r="F860" t="s">
        <v>34</v>
      </c>
      <c r="G860" t="s">
        <v>34</v>
      </c>
      <c r="H860" t="s">
        <v>34</v>
      </c>
      <c r="I860" t="s">
        <v>34</v>
      </c>
      <c r="J860" t="s">
        <v>34</v>
      </c>
      <c r="K860">
        <v>5322700000</v>
      </c>
      <c r="L860">
        <v>3910600000</v>
      </c>
      <c r="M860">
        <v>7489900000</v>
      </c>
      <c r="N860">
        <v>9170100000</v>
      </c>
      <c r="O860">
        <v>15938500000</v>
      </c>
      <c r="P860">
        <v>24309600000</v>
      </c>
      <c r="Q860">
        <v>23890000000</v>
      </c>
      <c r="R860">
        <v>37052700000</v>
      </c>
      <c r="S860">
        <v>19750500000</v>
      </c>
      <c r="T860">
        <v>23071000000</v>
      </c>
      <c r="U860">
        <v>30225900000</v>
      </c>
      <c r="V860">
        <v>27670400000</v>
      </c>
      <c r="W860">
        <v>27301400000</v>
      </c>
      <c r="X860">
        <v>30132400000</v>
      </c>
      <c r="Y860">
        <v>22528900000</v>
      </c>
      <c r="Z860">
        <v>16387600000</v>
      </c>
      <c r="AA860">
        <v>10481900000</v>
      </c>
      <c r="AB860">
        <v>13625500000</v>
      </c>
      <c r="AC860">
        <v>10041100000</v>
      </c>
      <c r="AD860" t="s">
        <v>34</v>
      </c>
      <c r="AE860" t="s">
        <v>34</v>
      </c>
      <c r="AF860" t="s">
        <v>34</v>
      </c>
      <c r="AG860">
        <f t="shared" si="27"/>
        <v>18857931578.947369</v>
      </c>
    </row>
    <row r="861" spans="1:33" x14ac:dyDescent="0.3">
      <c r="A861" t="s">
        <v>513</v>
      </c>
      <c r="B861" s="1" t="s">
        <v>514</v>
      </c>
      <c r="C861" t="s">
        <v>428</v>
      </c>
      <c r="D861" s="1" t="s">
        <v>429</v>
      </c>
      <c r="E861">
        <v>807400000</v>
      </c>
      <c r="F861">
        <v>888200000</v>
      </c>
      <c r="G861">
        <v>1109900000</v>
      </c>
      <c r="H861">
        <v>1285900000</v>
      </c>
      <c r="I861">
        <v>1383700000</v>
      </c>
      <c r="J861">
        <v>1596800000</v>
      </c>
      <c r="K861">
        <v>1827700000</v>
      </c>
      <c r="L861">
        <v>2024300000</v>
      </c>
      <c r="M861">
        <v>2176900000</v>
      </c>
      <c r="N861">
        <v>2385200000</v>
      </c>
      <c r="O861">
        <v>2886200000</v>
      </c>
      <c r="P861">
        <v>3106700000</v>
      </c>
      <c r="Q861">
        <v>3697700000</v>
      </c>
      <c r="R861">
        <v>4560900000</v>
      </c>
      <c r="S861">
        <v>4645500000</v>
      </c>
      <c r="T861">
        <v>5032700000</v>
      </c>
      <c r="U861">
        <v>5935600000</v>
      </c>
      <c r="V861">
        <v>6061800000</v>
      </c>
      <c r="W861" t="s">
        <v>34</v>
      </c>
      <c r="X861" t="s">
        <v>34</v>
      </c>
      <c r="Y861" t="s">
        <v>34</v>
      </c>
      <c r="Z861" t="s">
        <v>34</v>
      </c>
      <c r="AA861" t="s">
        <v>34</v>
      </c>
      <c r="AB861" t="s">
        <v>34</v>
      </c>
      <c r="AC861" t="s">
        <v>34</v>
      </c>
      <c r="AD861" t="s">
        <v>34</v>
      </c>
      <c r="AE861" t="s">
        <v>34</v>
      </c>
      <c r="AF861" t="s">
        <v>34</v>
      </c>
      <c r="AG861">
        <f t="shared" si="27"/>
        <v>2856283333.3333335</v>
      </c>
    </row>
    <row r="862" spans="1:33" x14ac:dyDescent="0.3">
      <c r="A862" t="s">
        <v>513</v>
      </c>
      <c r="B862" s="1" t="s">
        <v>514</v>
      </c>
      <c r="C862" t="s">
        <v>430</v>
      </c>
      <c r="D862" s="1" t="s">
        <v>431</v>
      </c>
      <c r="E862">
        <v>435999000</v>
      </c>
      <c r="F862">
        <v>865909000</v>
      </c>
      <c r="G862">
        <v>2265094000</v>
      </c>
      <c r="H862">
        <v>4977307000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>
        <v>54697020017.029999</v>
      </c>
      <c r="S862">
        <v>56408353767.339996</v>
      </c>
      <c r="T862">
        <v>63645549184.720001</v>
      </c>
      <c r="U862">
        <v>75737466490.529999</v>
      </c>
      <c r="V862">
        <v>86011060808.160004</v>
      </c>
      <c r="W862">
        <v>92265447831.5</v>
      </c>
      <c r="X862">
        <v>110123348134</v>
      </c>
      <c r="Y862">
        <v>121543178222.92999</v>
      </c>
      <c r="Z862">
        <v>142430937975.89001</v>
      </c>
      <c r="AA862">
        <v>167743526158.62</v>
      </c>
      <c r="AB862">
        <v>221971450946.53</v>
      </c>
      <c r="AC862">
        <v>247412242606.29001</v>
      </c>
      <c r="AD862">
        <v>280052244229.09998</v>
      </c>
      <c r="AE862">
        <v>456345965294.95001</v>
      </c>
      <c r="AF862">
        <v>811470867129.55005</v>
      </c>
      <c r="AG862">
        <f t="shared" si="27"/>
        <v>157705419357.74423</v>
      </c>
    </row>
    <row r="863" spans="1:33" x14ac:dyDescent="0.3">
      <c r="A863" t="s">
        <v>513</v>
      </c>
      <c r="B863" s="1" t="s">
        <v>514</v>
      </c>
      <c r="C863" t="s">
        <v>432</v>
      </c>
      <c r="D863" s="1" t="s">
        <v>433</v>
      </c>
      <c r="E863" t="s">
        <v>34</v>
      </c>
      <c r="F863" t="s">
        <v>34</v>
      </c>
      <c r="G863" t="s">
        <v>34</v>
      </c>
      <c r="H863" t="s">
        <v>34</v>
      </c>
      <c r="I863" t="s">
        <v>34</v>
      </c>
      <c r="J863" t="s">
        <v>34</v>
      </c>
      <c r="K863" t="s">
        <v>34</v>
      </c>
      <c r="L863" t="s">
        <v>34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34</v>
      </c>
      <c r="V863" t="s">
        <v>34</v>
      </c>
      <c r="W863" t="s">
        <v>34</v>
      </c>
      <c r="X863" t="s">
        <v>34</v>
      </c>
      <c r="Y863" t="s">
        <v>34</v>
      </c>
      <c r="Z863" t="s">
        <v>34</v>
      </c>
      <c r="AA863" t="s">
        <v>34</v>
      </c>
      <c r="AB863" t="s">
        <v>34</v>
      </c>
      <c r="AC863" t="s">
        <v>34</v>
      </c>
      <c r="AD863" t="s">
        <v>34</v>
      </c>
      <c r="AE863" t="s">
        <v>34</v>
      </c>
      <c r="AF863" t="s">
        <v>34</v>
      </c>
      <c r="AG863" t="str">
        <f t="shared" si="27"/>
        <v>NA</v>
      </c>
    </row>
    <row r="864" spans="1:33" x14ac:dyDescent="0.3">
      <c r="A864" t="s">
        <v>513</v>
      </c>
      <c r="B864" s="1" t="s">
        <v>514</v>
      </c>
      <c r="C864" t="s">
        <v>434</v>
      </c>
      <c r="D864" s="1" t="s">
        <v>435</v>
      </c>
      <c r="E864" t="s">
        <v>34</v>
      </c>
      <c r="F864" t="s">
        <v>34</v>
      </c>
      <c r="G864" t="s">
        <v>34</v>
      </c>
      <c r="H864" t="s">
        <v>34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34</v>
      </c>
      <c r="V864" t="s">
        <v>34</v>
      </c>
      <c r="W864" t="s">
        <v>34</v>
      </c>
      <c r="X864" t="s">
        <v>34</v>
      </c>
      <c r="Y864" t="s">
        <v>34</v>
      </c>
      <c r="Z864" t="s">
        <v>34</v>
      </c>
      <c r="AA864" t="s">
        <v>34</v>
      </c>
      <c r="AB864" t="s">
        <v>34</v>
      </c>
      <c r="AC864" t="s">
        <v>34</v>
      </c>
      <c r="AD864" t="s">
        <v>34</v>
      </c>
      <c r="AE864" t="s">
        <v>34</v>
      </c>
      <c r="AF864" t="s">
        <v>34</v>
      </c>
      <c r="AG864" t="str">
        <f t="shared" si="27"/>
        <v>NA</v>
      </c>
    </row>
    <row r="865" spans="1:33" x14ac:dyDescent="0.3">
      <c r="A865" t="s">
        <v>513</v>
      </c>
      <c r="B865" s="1" t="s">
        <v>514</v>
      </c>
      <c r="C865" t="s">
        <v>436</v>
      </c>
      <c r="D865" s="1" t="s">
        <v>437</v>
      </c>
      <c r="E865" t="s">
        <v>34</v>
      </c>
      <c r="F865" t="s">
        <v>34</v>
      </c>
      <c r="G865" t="s">
        <v>34</v>
      </c>
      <c r="H865" t="s">
        <v>34</v>
      </c>
      <c r="I865" t="s">
        <v>34</v>
      </c>
      <c r="J865" t="s">
        <v>34</v>
      </c>
      <c r="K865" t="s">
        <v>34</v>
      </c>
      <c r="L865" t="s">
        <v>34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34</v>
      </c>
      <c r="U865" t="s">
        <v>34</v>
      </c>
      <c r="V865" t="s">
        <v>34</v>
      </c>
      <c r="W865" t="s">
        <v>34</v>
      </c>
      <c r="X865" t="s">
        <v>34</v>
      </c>
      <c r="Y865" t="s">
        <v>34</v>
      </c>
      <c r="Z865" t="s">
        <v>34</v>
      </c>
      <c r="AA865" t="s">
        <v>34</v>
      </c>
      <c r="AB865" t="s">
        <v>34</v>
      </c>
      <c r="AC865" t="s">
        <v>34</v>
      </c>
      <c r="AD865" t="s">
        <v>34</v>
      </c>
      <c r="AE865" t="s">
        <v>34</v>
      </c>
      <c r="AF865" t="s">
        <v>34</v>
      </c>
      <c r="AG865" t="str">
        <f t="shared" si="27"/>
        <v>NA</v>
      </c>
    </row>
    <row r="866" spans="1:33" x14ac:dyDescent="0.3">
      <c r="A866" t="s">
        <v>513</v>
      </c>
      <c r="B866" s="1" t="s">
        <v>514</v>
      </c>
      <c r="C866" t="s">
        <v>438</v>
      </c>
      <c r="D866" s="1" t="s">
        <v>439</v>
      </c>
      <c r="E866" t="s">
        <v>34</v>
      </c>
      <c r="F866" t="s">
        <v>34</v>
      </c>
      <c r="G866" t="s">
        <v>34</v>
      </c>
      <c r="H866" t="s">
        <v>34</v>
      </c>
      <c r="I866" t="s">
        <v>34</v>
      </c>
      <c r="J866" t="s">
        <v>34</v>
      </c>
      <c r="K866" t="s">
        <v>34</v>
      </c>
      <c r="L866" t="s">
        <v>34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34</v>
      </c>
      <c r="T866" t="s">
        <v>34</v>
      </c>
      <c r="U866" t="s">
        <v>34</v>
      </c>
      <c r="V866" t="s">
        <v>34</v>
      </c>
      <c r="W866" t="s">
        <v>34</v>
      </c>
      <c r="X866" t="s">
        <v>34</v>
      </c>
      <c r="Y866">
        <v>3354738490176.0801</v>
      </c>
      <c r="Z866">
        <v>3809580075254.4302</v>
      </c>
      <c r="AA866">
        <v>4278776265909.1401</v>
      </c>
      <c r="AB866">
        <v>4641463466045.5</v>
      </c>
      <c r="AC866">
        <v>5483780506385.7197</v>
      </c>
      <c r="AD866">
        <v>5859590646530</v>
      </c>
      <c r="AE866">
        <v>6747088304818.9805</v>
      </c>
      <c r="AF866" t="s">
        <v>34</v>
      </c>
      <c r="AG866">
        <f t="shared" si="27"/>
        <v>4882145393588.5498</v>
      </c>
    </row>
    <row r="867" spans="1:33" x14ac:dyDescent="0.3">
      <c r="A867" t="s">
        <v>513</v>
      </c>
      <c r="B867" s="1" t="s">
        <v>514</v>
      </c>
      <c r="C867" t="s">
        <v>440</v>
      </c>
      <c r="D867" s="1" t="s">
        <v>441</v>
      </c>
      <c r="E867" t="s">
        <v>34</v>
      </c>
      <c r="F867" t="s">
        <v>34</v>
      </c>
      <c r="G867" t="s">
        <v>34</v>
      </c>
      <c r="H867" t="s">
        <v>34</v>
      </c>
      <c r="I867">
        <v>3364000000</v>
      </c>
      <c r="J867">
        <v>5802300000</v>
      </c>
      <c r="K867">
        <v>6313800000</v>
      </c>
      <c r="L867">
        <v>8161926170</v>
      </c>
      <c r="M867">
        <v>13086878656.09</v>
      </c>
      <c r="N867">
        <v>16659815155.66</v>
      </c>
      <c r="O867">
        <v>24110800000</v>
      </c>
      <c r="P867">
        <v>25863100000</v>
      </c>
      <c r="Q867">
        <v>33964000000</v>
      </c>
      <c r="R867">
        <v>47456340000</v>
      </c>
      <c r="S867">
        <v>32569800000</v>
      </c>
      <c r="T867">
        <v>39969200000</v>
      </c>
      <c r="U867">
        <v>60898920000</v>
      </c>
      <c r="V867">
        <v>62376050000</v>
      </c>
      <c r="W867">
        <v>61883452820</v>
      </c>
      <c r="X867">
        <v>52587700000</v>
      </c>
      <c r="Y867">
        <v>79838300000</v>
      </c>
      <c r="Z867">
        <v>114154600000</v>
      </c>
      <c r="AA867">
        <v>141945300000</v>
      </c>
      <c r="AB867">
        <v>188624100000</v>
      </c>
      <c r="AC867">
        <v>217040300000</v>
      </c>
      <c r="AD867">
        <v>225976300000</v>
      </c>
      <c r="AE867">
        <v>285307000000</v>
      </c>
      <c r="AF867">
        <v>265477200000</v>
      </c>
      <c r="AG867">
        <f t="shared" si="27"/>
        <v>83892965950.072922</v>
      </c>
    </row>
    <row r="868" spans="1:33" x14ac:dyDescent="0.3">
      <c r="A868" t="s">
        <v>513</v>
      </c>
      <c r="B868" s="1" t="s">
        <v>514</v>
      </c>
      <c r="C868" t="s">
        <v>442</v>
      </c>
      <c r="D868" s="1" t="s">
        <v>443</v>
      </c>
      <c r="E868" t="s">
        <v>34</v>
      </c>
      <c r="F868" t="s">
        <v>34</v>
      </c>
      <c r="G868" t="s">
        <v>34</v>
      </c>
      <c r="H868" t="s">
        <v>34</v>
      </c>
      <c r="I868" t="s">
        <v>34</v>
      </c>
      <c r="J868" t="s">
        <v>34</v>
      </c>
      <c r="K868" t="s">
        <v>34</v>
      </c>
      <c r="L868" t="s">
        <v>34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34</v>
      </c>
      <c r="V868" t="s">
        <v>34</v>
      </c>
      <c r="W868" t="s">
        <v>34</v>
      </c>
      <c r="X868" t="s">
        <v>34</v>
      </c>
      <c r="Y868" t="s">
        <v>34</v>
      </c>
      <c r="Z868" t="s">
        <v>34</v>
      </c>
      <c r="AA868" t="s">
        <v>34</v>
      </c>
      <c r="AB868" t="s">
        <v>34</v>
      </c>
      <c r="AC868" t="s">
        <v>34</v>
      </c>
      <c r="AD868" t="s">
        <v>34</v>
      </c>
      <c r="AE868" t="s">
        <v>34</v>
      </c>
      <c r="AF868" t="s">
        <v>34</v>
      </c>
      <c r="AG868" t="str">
        <f t="shared" si="27"/>
        <v>NA</v>
      </c>
    </row>
    <row r="869" spans="1:33" x14ac:dyDescent="0.3">
      <c r="A869" t="s">
        <v>513</v>
      </c>
      <c r="B869" s="1" t="s">
        <v>514</v>
      </c>
      <c r="C869" t="s">
        <v>444</v>
      </c>
      <c r="D869" s="1" t="s">
        <v>445</v>
      </c>
      <c r="E869">
        <v>95060000000</v>
      </c>
      <c r="F869">
        <v>99317000000</v>
      </c>
      <c r="G869">
        <v>107734000000</v>
      </c>
      <c r="H869">
        <v>123683000000</v>
      </c>
      <c r="I869">
        <v>129552000000</v>
      </c>
      <c r="J869">
        <v>143608000000</v>
      </c>
      <c r="K869">
        <v>146418000000</v>
      </c>
      <c r="L869">
        <v>143742000000</v>
      </c>
      <c r="M869">
        <v>148082000000</v>
      </c>
      <c r="N869">
        <v>162876000000</v>
      </c>
      <c r="O869">
        <v>182434000000</v>
      </c>
      <c r="P869">
        <v>195083000000</v>
      </c>
      <c r="Q869">
        <v>206763000000</v>
      </c>
      <c r="R869">
        <v>207159000000</v>
      </c>
      <c r="S869">
        <v>191425000000</v>
      </c>
      <c r="T869">
        <v>199597000000</v>
      </c>
      <c r="U869">
        <v>204221000000</v>
      </c>
      <c r="V869">
        <v>198391000000</v>
      </c>
      <c r="W869">
        <v>203286000000</v>
      </c>
      <c r="X869">
        <v>208857000000</v>
      </c>
      <c r="Y869">
        <v>216741000000</v>
      </c>
      <c r="Z869">
        <v>232034000000</v>
      </c>
      <c r="AA869">
        <v>244977000000</v>
      </c>
      <c r="AB869">
        <v>252226000000</v>
      </c>
      <c r="AC869">
        <v>254465000000</v>
      </c>
      <c r="AD869">
        <v>253471000000</v>
      </c>
      <c r="AE869">
        <v>296354000000</v>
      </c>
      <c r="AF869" t="s">
        <v>34</v>
      </c>
      <c r="AG869">
        <f t="shared" si="27"/>
        <v>186946518518.51852</v>
      </c>
    </row>
    <row r="870" spans="1:33" x14ac:dyDescent="0.3">
      <c r="A870" t="s">
        <v>513</v>
      </c>
      <c r="B870" s="1" t="s">
        <v>514</v>
      </c>
      <c r="C870" t="s">
        <v>446</v>
      </c>
      <c r="D870" s="1" t="s">
        <v>447</v>
      </c>
      <c r="E870">
        <v>747430000000</v>
      </c>
      <c r="F870">
        <v>828530000000</v>
      </c>
      <c r="G870">
        <v>920250000000</v>
      </c>
      <c r="H870">
        <v>1017270000000</v>
      </c>
      <c r="I870">
        <v>1064250000000</v>
      </c>
      <c r="J870">
        <v>1212030000000</v>
      </c>
      <c r="K870">
        <v>1141539700000</v>
      </c>
      <c r="L870">
        <v>966360000000</v>
      </c>
      <c r="M870">
        <v>963656700000</v>
      </c>
      <c r="N870">
        <v>1045333100000</v>
      </c>
      <c r="O870">
        <v>1268411800000</v>
      </c>
      <c r="P870">
        <v>1435528000000</v>
      </c>
      <c r="Q870">
        <v>1513031800000</v>
      </c>
      <c r="R870">
        <v>1395528400000</v>
      </c>
      <c r="S870">
        <v>1032281500000</v>
      </c>
      <c r="T870">
        <v>1176818000000</v>
      </c>
      <c r="U870">
        <v>1369780200000</v>
      </c>
      <c r="V870">
        <v>1457785700000</v>
      </c>
      <c r="W870">
        <v>1619408300000</v>
      </c>
      <c r="X870">
        <v>1763762400000</v>
      </c>
      <c r="Y870">
        <v>1883845200000</v>
      </c>
      <c r="Z870">
        <v>1883861900000</v>
      </c>
      <c r="AA870">
        <v>1868369800000</v>
      </c>
      <c r="AB870">
        <v>1864984500000</v>
      </c>
      <c r="AC870">
        <v>1938278100000</v>
      </c>
      <c r="AD870">
        <v>2002897600000</v>
      </c>
      <c r="AE870">
        <v>2460254000000</v>
      </c>
      <c r="AF870">
        <v>2908068400000</v>
      </c>
      <c r="AG870">
        <f t="shared" si="27"/>
        <v>1455340896428.5715</v>
      </c>
    </row>
    <row r="871" spans="1:33" x14ac:dyDescent="0.3">
      <c r="A871" t="s">
        <v>513</v>
      </c>
      <c r="B871" s="1" t="s">
        <v>514</v>
      </c>
      <c r="C871" t="s">
        <v>448</v>
      </c>
      <c r="D871" s="1" t="s">
        <v>449</v>
      </c>
      <c r="E871">
        <v>3211000000</v>
      </c>
      <c r="F871">
        <v>5991000000</v>
      </c>
      <c r="G871">
        <v>7154000000</v>
      </c>
      <c r="H871">
        <v>8891000000</v>
      </c>
      <c r="I871">
        <v>9945000000</v>
      </c>
      <c r="J871">
        <v>10194000000</v>
      </c>
      <c r="K871">
        <v>5311217475</v>
      </c>
      <c r="L871">
        <v>5185783235</v>
      </c>
      <c r="M871">
        <v>5407572781</v>
      </c>
      <c r="N871">
        <v>9650566522</v>
      </c>
      <c r="O871">
        <v>11969122550</v>
      </c>
      <c r="P871">
        <v>14429516761</v>
      </c>
      <c r="Q871">
        <v>18682613646</v>
      </c>
      <c r="R871">
        <v>33681887395</v>
      </c>
      <c r="S871">
        <v>37338844266.860901</v>
      </c>
      <c r="T871">
        <v>43604967875.336304</v>
      </c>
      <c r="U871">
        <v>48271500000</v>
      </c>
      <c r="V871">
        <v>55019800000</v>
      </c>
      <c r="W871">
        <v>68397100000</v>
      </c>
      <c r="X871">
        <v>72164100000</v>
      </c>
      <c r="Y871">
        <v>82996100000</v>
      </c>
      <c r="Z871">
        <v>177916100000</v>
      </c>
      <c r="AA871">
        <v>123644800000</v>
      </c>
      <c r="AB871">
        <v>138307400000</v>
      </c>
      <c r="AC871">
        <v>147428500917.88501</v>
      </c>
      <c r="AD871">
        <v>156046137921.54999</v>
      </c>
      <c r="AE871" t="s">
        <v>34</v>
      </c>
      <c r="AF871" t="s">
        <v>34</v>
      </c>
      <c r="AG871">
        <f t="shared" si="27"/>
        <v>50032293513.332016</v>
      </c>
    </row>
    <row r="872" spans="1:33" x14ac:dyDescent="0.3">
      <c r="A872" t="s">
        <v>513</v>
      </c>
      <c r="B872" s="1" t="s">
        <v>514</v>
      </c>
      <c r="C872" t="s">
        <v>450</v>
      </c>
      <c r="D872" s="1" t="s">
        <v>451</v>
      </c>
      <c r="E872" t="s">
        <v>34</v>
      </c>
      <c r="F872" t="s">
        <v>34</v>
      </c>
      <c r="G872" t="s">
        <v>34</v>
      </c>
      <c r="H872" t="s">
        <v>34</v>
      </c>
      <c r="I872" t="s">
        <v>34</v>
      </c>
      <c r="J872" t="s">
        <v>34</v>
      </c>
      <c r="K872" t="s">
        <v>34</v>
      </c>
      <c r="L872" t="s">
        <v>34</v>
      </c>
      <c r="M872" t="s">
        <v>34</v>
      </c>
      <c r="N872" t="s">
        <v>34</v>
      </c>
      <c r="O872" t="s">
        <v>34</v>
      </c>
      <c r="P872" t="s">
        <v>34</v>
      </c>
      <c r="Q872" t="s">
        <v>34</v>
      </c>
      <c r="R872" t="s">
        <v>34</v>
      </c>
      <c r="S872" t="s">
        <v>34</v>
      </c>
      <c r="T872" t="s">
        <v>34</v>
      </c>
      <c r="U872">
        <v>4820684100000</v>
      </c>
      <c r="V872">
        <v>5856967400000</v>
      </c>
      <c r="W872">
        <v>6612110000000</v>
      </c>
      <c r="X872">
        <v>7727786624220</v>
      </c>
      <c r="Y872">
        <v>8101121636364.9805</v>
      </c>
      <c r="Z872">
        <v>10029413409406.801</v>
      </c>
      <c r="AA872">
        <v>12883474308743.199</v>
      </c>
      <c r="AB872">
        <v>16045960724039.1</v>
      </c>
      <c r="AC872">
        <v>16291584613958.9</v>
      </c>
      <c r="AD872">
        <v>32739992433830.102</v>
      </c>
      <c r="AE872" t="s">
        <v>34</v>
      </c>
      <c r="AF872" t="s">
        <v>34</v>
      </c>
      <c r="AG872">
        <f t="shared" si="27"/>
        <v>12110909525056.309</v>
      </c>
    </row>
    <row r="873" spans="1:33" x14ac:dyDescent="0.3">
      <c r="A873" t="s">
        <v>513</v>
      </c>
      <c r="B873" s="1" t="s">
        <v>514</v>
      </c>
      <c r="C873" t="s">
        <v>452</v>
      </c>
      <c r="D873" s="1" t="s">
        <v>453</v>
      </c>
      <c r="E873" t="s">
        <v>34</v>
      </c>
      <c r="F873" t="s">
        <v>34</v>
      </c>
      <c r="G873" t="s">
        <v>34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34</v>
      </c>
      <c r="V873" t="s">
        <v>34</v>
      </c>
      <c r="W873" t="s">
        <v>34</v>
      </c>
      <c r="X873" t="s">
        <v>34</v>
      </c>
      <c r="Y873" t="s">
        <v>34</v>
      </c>
      <c r="Z873" t="s">
        <v>34</v>
      </c>
      <c r="AA873" t="s">
        <v>34</v>
      </c>
      <c r="AB873" t="s">
        <v>34</v>
      </c>
      <c r="AC873" t="s">
        <v>34</v>
      </c>
      <c r="AD873" t="s">
        <v>34</v>
      </c>
      <c r="AE873" t="s">
        <v>34</v>
      </c>
      <c r="AF873" t="s">
        <v>34</v>
      </c>
      <c r="AG873" t="str">
        <f t="shared" si="27"/>
        <v>NA</v>
      </c>
    </row>
    <row r="874" spans="1:33" x14ac:dyDescent="0.3">
      <c r="A874" t="s">
        <v>513</v>
      </c>
      <c r="B874" s="1" t="s">
        <v>514</v>
      </c>
      <c r="C874" t="s">
        <v>454</v>
      </c>
      <c r="D874" s="1" t="s">
        <v>455</v>
      </c>
      <c r="E874" t="s">
        <v>34</v>
      </c>
      <c r="F874" t="s">
        <v>34</v>
      </c>
      <c r="G874" t="s">
        <v>34</v>
      </c>
      <c r="H874" t="s">
        <v>34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 t="s">
        <v>34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34</v>
      </c>
      <c r="U874" t="s">
        <v>34</v>
      </c>
      <c r="V874" t="s">
        <v>34</v>
      </c>
      <c r="W874" t="s">
        <v>34</v>
      </c>
      <c r="X874" t="s">
        <v>34</v>
      </c>
      <c r="Y874" t="s">
        <v>34</v>
      </c>
      <c r="Z874" t="s">
        <v>34</v>
      </c>
      <c r="AA874" t="s">
        <v>34</v>
      </c>
      <c r="AB874" t="s">
        <v>34</v>
      </c>
      <c r="AC874" t="s">
        <v>34</v>
      </c>
      <c r="AD874" t="s">
        <v>34</v>
      </c>
      <c r="AE874" t="s">
        <v>34</v>
      </c>
      <c r="AF874" t="s">
        <v>34</v>
      </c>
      <c r="AG874" t="str">
        <f t="shared" si="27"/>
        <v>NA</v>
      </c>
    </row>
    <row r="875" spans="1:33" x14ac:dyDescent="0.3">
      <c r="A875" t="s">
        <v>513</v>
      </c>
      <c r="B875" s="1" t="s">
        <v>514</v>
      </c>
      <c r="C875" t="s">
        <v>456</v>
      </c>
      <c r="D875" s="1" t="s">
        <v>457</v>
      </c>
      <c r="E875" t="s">
        <v>34</v>
      </c>
      <c r="F875" t="s">
        <v>34</v>
      </c>
      <c r="G875" t="s">
        <v>34</v>
      </c>
      <c r="H875" t="s">
        <v>34</v>
      </c>
      <c r="I875" t="s">
        <v>34</v>
      </c>
      <c r="J875" t="s">
        <v>34</v>
      </c>
      <c r="K875" t="s">
        <v>34</v>
      </c>
      <c r="L875" t="s">
        <v>34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34</v>
      </c>
      <c r="V875" t="s">
        <v>34</v>
      </c>
      <c r="W875" t="s">
        <v>34</v>
      </c>
      <c r="X875" t="s">
        <v>34</v>
      </c>
      <c r="Y875" t="s">
        <v>34</v>
      </c>
      <c r="Z875" t="s">
        <v>34</v>
      </c>
      <c r="AA875" t="s">
        <v>34</v>
      </c>
      <c r="AB875" t="s">
        <v>34</v>
      </c>
      <c r="AC875" t="s">
        <v>34</v>
      </c>
      <c r="AD875" t="s">
        <v>34</v>
      </c>
      <c r="AE875" t="s">
        <v>34</v>
      </c>
      <c r="AF875" t="s">
        <v>34</v>
      </c>
      <c r="AG875" t="str">
        <f t="shared" si="27"/>
        <v>NA</v>
      </c>
    </row>
    <row r="876" spans="1:33" x14ac:dyDescent="0.3">
      <c r="A876" t="s">
        <v>513</v>
      </c>
      <c r="B876" s="1" t="s">
        <v>514</v>
      </c>
      <c r="C876" t="s">
        <v>458</v>
      </c>
      <c r="D876" s="1" t="s">
        <v>459</v>
      </c>
      <c r="E876" t="s">
        <v>34</v>
      </c>
      <c r="F876" t="s">
        <v>34</v>
      </c>
      <c r="G876" t="s">
        <v>34</v>
      </c>
      <c r="H876" t="s">
        <v>34</v>
      </c>
      <c r="I876" t="s">
        <v>34</v>
      </c>
      <c r="J876" t="s">
        <v>34</v>
      </c>
      <c r="K876" t="s">
        <v>34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34</v>
      </c>
      <c r="V876" t="s">
        <v>34</v>
      </c>
      <c r="W876" t="s">
        <v>34</v>
      </c>
      <c r="X876" t="s">
        <v>34</v>
      </c>
      <c r="Y876" t="s">
        <v>34</v>
      </c>
      <c r="Z876" t="s">
        <v>34</v>
      </c>
      <c r="AA876" t="s">
        <v>34</v>
      </c>
      <c r="AB876" t="s">
        <v>34</v>
      </c>
      <c r="AC876" t="s">
        <v>34</v>
      </c>
      <c r="AD876" t="s">
        <v>34</v>
      </c>
      <c r="AE876" t="s">
        <v>34</v>
      </c>
      <c r="AF876" t="s">
        <v>34</v>
      </c>
      <c r="AG876" t="str">
        <f t="shared" si="27"/>
        <v>NA</v>
      </c>
    </row>
    <row r="877" spans="1:33" x14ac:dyDescent="0.3">
      <c r="A877" t="s">
        <v>513</v>
      </c>
      <c r="B877" s="1" t="s">
        <v>514</v>
      </c>
      <c r="C877" t="s">
        <v>460</v>
      </c>
      <c r="D877" s="1" t="s">
        <v>461</v>
      </c>
      <c r="E877" t="s">
        <v>34</v>
      </c>
      <c r="F877" t="s">
        <v>34</v>
      </c>
      <c r="G877" t="s">
        <v>34</v>
      </c>
      <c r="H877" t="s">
        <v>34</v>
      </c>
      <c r="I877" t="s">
        <v>34</v>
      </c>
      <c r="J877" t="s">
        <v>34</v>
      </c>
      <c r="K877" t="s">
        <v>34</v>
      </c>
      <c r="L877" t="s">
        <v>34</v>
      </c>
      <c r="M877" t="s">
        <v>34</v>
      </c>
      <c r="N877" t="s">
        <v>34</v>
      </c>
      <c r="O877">
        <v>10661485.460258037</v>
      </c>
      <c r="P877">
        <v>12502805.33237578</v>
      </c>
      <c r="Q877">
        <v>20934251.843918111</v>
      </c>
      <c r="R877">
        <v>21038013.37792642</v>
      </c>
      <c r="S877">
        <v>25259340.581847772</v>
      </c>
      <c r="T877">
        <v>36887681.5512169</v>
      </c>
      <c r="U877">
        <v>39856338.528828144</v>
      </c>
      <c r="V877">
        <v>31805632.218159184</v>
      </c>
      <c r="W877">
        <v>40334904.730253689</v>
      </c>
      <c r="X877">
        <v>39433467.500489116</v>
      </c>
      <c r="Y877">
        <v>31348373.021508697</v>
      </c>
      <c r="Z877">
        <v>31938698.646044888</v>
      </c>
      <c r="AA877">
        <v>55091037.823171169</v>
      </c>
      <c r="AB877">
        <v>184749583.106987</v>
      </c>
      <c r="AC877">
        <v>197332515.05825999</v>
      </c>
      <c r="AD877">
        <v>152829211.05786699</v>
      </c>
      <c r="AE877">
        <v>225884757.816515</v>
      </c>
      <c r="AF877" t="s">
        <v>34</v>
      </c>
      <c r="AG877">
        <f t="shared" si="27"/>
        <v>68111064.567978039</v>
      </c>
    </row>
    <row r="878" spans="1:33" x14ac:dyDescent="0.3">
      <c r="A878" t="s">
        <v>513</v>
      </c>
      <c r="B878" s="1" t="s">
        <v>514</v>
      </c>
      <c r="C878" t="s">
        <v>462</v>
      </c>
      <c r="D878" s="1" t="s">
        <v>463</v>
      </c>
      <c r="E878" t="s">
        <v>34</v>
      </c>
      <c r="F878" t="s">
        <v>34</v>
      </c>
      <c r="G878" t="s">
        <v>34</v>
      </c>
      <c r="H878" t="s">
        <v>34</v>
      </c>
      <c r="I878" t="s">
        <v>34</v>
      </c>
      <c r="J878" t="s">
        <v>34</v>
      </c>
      <c r="K878" t="s">
        <v>34</v>
      </c>
      <c r="L878" t="s">
        <v>34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34</v>
      </c>
      <c r="V878" t="s">
        <v>34</v>
      </c>
      <c r="W878" t="s">
        <v>34</v>
      </c>
      <c r="X878" t="s">
        <v>34</v>
      </c>
      <c r="Y878" t="s">
        <v>34</v>
      </c>
      <c r="Z878" t="s">
        <v>34</v>
      </c>
      <c r="AA878" t="s">
        <v>34</v>
      </c>
      <c r="AB878" t="s">
        <v>34</v>
      </c>
      <c r="AC878" t="s">
        <v>34</v>
      </c>
      <c r="AD878" t="s">
        <v>34</v>
      </c>
      <c r="AE878" t="s">
        <v>34</v>
      </c>
      <c r="AF878" t="s">
        <v>34</v>
      </c>
      <c r="AG878" t="str">
        <f t="shared" si="27"/>
        <v>NA</v>
      </c>
    </row>
    <row r="879" spans="1:33" x14ac:dyDescent="0.3">
      <c r="A879" t="s">
        <v>513</v>
      </c>
      <c r="B879" s="1" t="s">
        <v>514</v>
      </c>
      <c r="C879" t="s">
        <v>464</v>
      </c>
      <c r="D879" s="1" t="s">
        <v>465</v>
      </c>
      <c r="E879">
        <v>162200000</v>
      </c>
      <c r="F879">
        <v>242700000</v>
      </c>
      <c r="G879">
        <v>305100000</v>
      </c>
      <c r="H879">
        <v>395800000</v>
      </c>
      <c r="I879">
        <v>477700000</v>
      </c>
      <c r="J879" t="s">
        <v>34</v>
      </c>
      <c r="K879">
        <v>927526083.15900004</v>
      </c>
      <c r="L879">
        <v>1236297150.2739999</v>
      </c>
      <c r="M879">
        <v>1598556558.7780001</v>
      </c>
      <c r="N879">
        <v>2017318739.526</v>
      </c>
      <c r="O879">
        <v>2403131193.6999998</v>
      </c>
      <c r="P879">
        <v>2883000000</v>
      </c>
      <c r="Q879">
        <v>3516016459.7249999</v>
      </c>
      <c r="R879">
        <v>3910205242.8080001</v>
      </c>
      <c r="S879">
        <v>4417241126.0139999</v>
      </c>
      <c r="T879">
        <v>6424628930.8470001</v>
      </c>
      <c r="U879">
        <v>9009815000</v>
      </c>
      <c r="V879">
        <v>10193669000</v>
      </c>
      <c r="W879">
        <v>9495297000</v>
      </c>
      <c r="X879">
        <v>10826361000</v>
      </c>
      <c r="Y879">
        <v>12233153000</v>
      </c>
      <c r="Z879">
        <v>14573122000</v>
      </c>
      <c r="AA879">
        <v>16106438111</v>
      </c>
      <c r="AB879">
        <v>20206000281</v>
      </c>
      <c r="AC879">
        <v>23213897711</v>
      </c>
      <c r="AD879">
        <v>28899019237</v>
      </c>
      <c r="AE879">
        <v>42111502397</v>
      </c>
      <c r="AF879" t="s">
        <v>34</v>
      </c>
      <c r="AG879">
        <f t="shared" si="27"/>
        <v>8760988316.2242699</v>
      </c>
    </row>
    <row r="880" spans="1:33" x14ac:dyDescent="0.3">
      <c r="A880" t="s">
        <v>513</v>
      </c>
      <c r="B880" s="1" t="s">
        <v>514</v>
      </c>
      <c r="C880" t="s">
        <v>466</v>
      </c>
      <c r="D880" s="1" t="s">
        <v>467</v>
      </c>
      <c r="E880" t="s">
        <v>34</v>
      </c>
      <c r="F880" t="s">
        <v>34</v>
      </c>
      <c r="G880" t="s">
        <v>34</v>
      </c>
      <c r="H880" t="s">
        <v>34</v>
      </c>
      <c r="I880" t="s">
        <v>34</v>
      </c>
      <c r="J880" t="s">
        <v>34</v>
      </c>
      <c r="K880" t="s">
        <v>34</v>
      </c>
      <c r="L880" t="s">
        <v>34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34</v>
      </c>
      <c r="S880">
        <v>206542774.21000001</v>
      </c>
      <c r="T880">
        <v>700682826.5</v>
      </c>
      <c r="U880">
        <v>900744036.94000006</v>
      </c>
      <c r="V880">
        <v>1121995918</v>
      </c>
      <c r="W880" t="s">
        <v>34</v>
      </c>
      <c r="X880" t="s">
        <v>34</v>
      </c>
      <c r="Y880">
        <v>1296593904</v>
      </c>
      <c r="Z880">
        <v>1152611620</v>
      </c>
      <c r="AA880">
        <v>1243968814</v>
      </c>
      <c r="AB880">
        <v>1882583181</v>
      </c>
      <c r="AC880" t="s">
        <v>34</v>
      </c>
      <c r="AD880" t="s">
        <v>34</v>
      </c>
      <c r="AE880" t="s">
        <v>34</v>
      </c>
      <c r="AF880" t="s">
        <v>34</v>
      </c>
      <c r="AG880">
        <f t="shared" si="27"/>
        <v>1063215384.33125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F07A-B80A-49A1-9F91-5BC1B9BE417D}">
  <dimension ref="A1:T672"/>
  <sheetViews>
    <sheetView topLeftCell="A99" workbookViewId="0">
      <selection activeCell="K457" sqref="K457"/>
    </sheetView>
  </sheetViews>
  <sheetFormatPr baseColWidth="10" defaultRowHeight="14.4" x14ac:dyDescent="0.3"/>
  <sheetData>
    <row r="1" spans="1:15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">
      <c r="B3" s="4" t="s">
        <v>492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">
      <c r="A4" s="6" t="s">
        <v>31</v>
      </c>
      <c r="B4" s="4" t="s">
        <v>37</v>
      </c>
      <c r="C4" s="4" t="s">
        <v>37</v>
      </c>
      <c r="D4" s="4">
        <v>12.221165999888937</v>
      </c>
      <c r="E4" s="4">
        <v>3.495497911723318</v>
      </c>
      <c r="F4" s="4">
        <v>-1.5282862360278771</v>
      </c>
      <c r="G4" s="4">
        <v>59.095888888888886</v>
      </c>
      <c r="H4" s="4">
        <v>-2.4809624950091038</v>
      </c>
      <c r="I4" s="4">
        <v>115.71319876776801</v>
      </c>
      <c r="J4" s="4">
        <v>100.72019250052313</v>
      </c>
      <c r="K4" s="4">
        <v>29.139934221903484</v>
      </c>
      <c r="L4" s="4">
        <v>-1.42009029785792</v>
      </c>
      <c r="M4" s="4">
        <v>-1.4936952640612924</v>
      </c>
      <c r="N4" s="4">
        <v>-1.7212338199218111</v>
      </c>
      <c r="O4" s="4">
        <v>-1.3154747312267616</v>
      </c>
    </row>
    <row r="5" spans="1:15" x14ac:dyDescent="0.3">
      <c r="A5" s="6" t="s">
        <v>35</v>
      </c>
      <c r="B5" s="4">
        <v>4.7096770861785542</v>
      </c>
      <c r="C5" s="4">
        <v>7.3052022483565828</v>
      </c>
      <c r="D5" s="4">
        <v>28.234992482159708</v>
      </c>
      <c r="E5" s="4">
        <v>-0.5138705504210207</v>
      </c>
      <c r="F5" s="4">
        <v>-0.30570640997029846</v>
      </c>
      <c r="G5" s="4">
        <v>76.962703703703696</v>
      </c>
      <c r="H5" s="4">
        <v>-7.7433829583848535E-2</v>
      </c>
      <c r="I5" s="4">
        <v>87.204486017641813</v>
      </c>
      <c r="J5" s="4">
        <v>39.96787394417656</v>
      </c>
      <c r="K5" s="4">
        <v>5.6691786221095475</v>
      </c>
      <c r="L5" s="4">
        <v>-0.67244340355197585</v>
      </c>
      <c r="M5" s="4">
        <v>2.0878915054102758E-2</v>
      </c>
      <c r="N5" s="4">
        <v>-0.53877781021098314</v>
      </c>
      <c r="O5" s="4">
        <v>3.46980739268474E-2</v>
      </c>
    </row>
    <row r="6" spans="1:15" x14ac:dyDescent="0.3">
      <c r="A6" s="6" t="s">
        <v>38</v>
      </c>
      <c r="B6" s="4">
        <v>1.2472526869412581</v>
      </c>
      <c r="C6" s="4">
        <v>7.9593136492308236</v>
      </c>
      <c r="D6" s="4">
        <v>30.7227781263542</v>
      </c>
      <c r="E6" s="4">
        <v>1.6948479591379182</v>
      </c>
      <c r="F6" s="4">
        <v>-0.57214573646585143</v>
      </c>
      <c r="G6" s="4">
        <v>72.826666666666654</v>
      </c>
      <c r="H6" s="4">
        <v>-1.2189323181907341</v>
      </c>
      <c r="I6" s="4">
        <v>107.48071975707998</v>
      </c>
      <c r="J6" s="4">
        <v>22.097866344451887</v>
      </c>
      <c r="K6" s="4">
        <v>5.4010473276887643</v>
      </c>
      <c r="L6" s="4">
        <v>-0.64930454517404235</v>
      </c>
      <c r="M6" s="4">
        <v>-0.96427201355497016</v>
      </c>
      <c r="N6" s="4">
        <v>-0.84774297724167502</v>
      </c>
      <c r="O6" s="4">
        <v>-0.97832619150479705</v>
      </c>
    </row>
    <row r="7" spans="1:15" x14ac:dyDescent="0.3">
      <c r="A7" s="6" t="s">
        <v>40</v>
      </c>
      <c r="B7" s="4" t="s">
        <v>37</v>
      </c>
      <c r="C7" s="4" t="s">
        <v>37</v>
      </c>
      <c r="D7" s="4" t="s">
        <v>37</v>
      </c>
      <c r="E7" s="4">
        <v>-0.59425674574293208</v>
      </c>
      <c r="F7" s="4">
        <v>0.45066374932464792</v>
      </c>
      <c r="G7" s="4" t="s">
        <v>37</v>
      </c>
      <c r="H7" s="4">
        <v>0.9998160694774838</v>
      </c>
      <c r="I7" s="4">
        <v>107.93092019217362</v>
      </c>
      <c r="J7" s="4">
        <v>86.952466964721722</v>
      </c>
      <c r="K7" s="4">
        <v>38.05699144090925</v>
      </c>
      <c r="L7" s="4">
        <v>0.88248916833024316</v>
      </c>
      <c r="M7" s="4">
        <v>0.26575817873603413</v>
      </c>
      <c r="N7" s="4">
        <v>1.1612325185223629</v>
      </c>
      <c r="O7" s="4">
        <v>0.91652831860951045</v>
      </c>
    </row>
    <row r="8" spans="1:15" x14ac:dyDescent="0.3">
      <c r="A8" s="6" t="s">
        <v>42</v>
      </c>
      <c r="B8" s="4">
        <v>1.2707206743316268</v>
      </c>
      <c r="C8" s="4">
        <v>10.241793934673346</v>
      </c>
      <c r="D8" s="4" t="s">
        <v>37</v>
      </c>
      <c r="E8" s="4">
        <v>0.95837133374962202</v>
      </c>
      <c r="F8" s="4">
        <v>1.5724520335594809</v>
      </c>
      <c r="G8" s="4" t="s">
        <v>37</v>
      </c>
      <c r="H8" s="4">
        <v>1.3621017585198079</v>
      </c>
      <c r="I8" s="4">
        <v>89.527079264322921</v>
      </c>
      <c r="J8" s="4">
        <v>89.524159386044474</v>
      </c>
      <c r="K8" s="4">
        <v>13.653440643759339</v>
      </c>
      <c r="L8" s="4">
        <v>1.2529249787330621</v>
      </c>
      <c r="M8" s="4">
        <v>1.3059024289250372</v>
      </c>
      <c r="N8" s="4">
        <v>1.328359524408977</v>
      </c>
      <c r="O8" s="4">
        <v>1.3110088358322776</v>
      </c>
    </row>
    <row r="9" spans="1:15" x14ac:dyDescent="0.3">
      <c r="A9" s="6" t="s">
        <v>44</v>
      </c>
      <c r="B9" s="4">
        <v>1.3160423881662053</v>
      </c>
      <c r="C9" s="4">
        <v>7.4239910969527534</v>
      </c>
      <c r="D9" s="4">
        <v>26.839838412968692</v>
      </c>
      <c r="E9" s="4">
        <v>3.4720108275055046</v>
      </c>
      <c r="F9" s="4">
        <v>-1.0962019488215446</v>
      </c>
      <c r="G9" s="4">
        <v>54.111888888888906</v>
      </c>
      <c r="H9" s="4">
        <v>-0.76937486231327057</v>
      </c>
      <c r="I9" s="4">
        <v>110.11878267923994</v>
      </c>
      <c r="J9" s="4">
        <v>90.954864501953082</v>
      </c>
      <c r="K9" s="4">
        <v>49.5935249328613</v>
      </c>
      <c r="L9" s="4">
        <v>-1.2330975284179053</v>
      </c>
      <c r="M9" s="4">
        <v>-1.0589671259125073</v>
      </c>
      <c r="N9" s="4">
        <v>-1.268366634845733</v>
      </c>
      <c r="O9" s="4">
        <v>-1.1383518204092977</v>
      </c>
    </row>
    <row r="10" spans="1:15" x14ac:dyDescent="0.3">
      <c r="A10" s="6" t="s">
        <v>46</v>
      </c>
      <c r="B10" s="4">
        <v>0.90711749431502398</v>
      </c>
      <c r="C10" s="4">
        <v>9.5166680395896321</v>
      </c>
      <c r="D10" s="4" t="s">
        <v>37</v>
      </c>
      <c r="E10" s="4">
        <v>1.1964416165904683</v>
      </c>
      <c r="F10" s="4">
        <v>1.2284782968069377</v>
      </c>
      <c r="G10" s="4">
        <v>76.391518518518509</v>
      </c>
      <c r="H10" s="4">
        <v>0.86728527396917376</v>
      </c>
      <c r="I10" s="4">
        <v>114.70298092181871</v>
      </c>
      <c r="J10" s="4">
        <v>98.955016502967197</v>
      </c>
      <c r="K10" s="4">
        <v>74.241268952687577</v>
      </c>
      <c r="L10" s="4">
        <v>0.80119645347197854</v>
      </c>
      <c r="M10" s="4">
        <v>0.54966119490563869</v>
      </c>
      <c r="N10" s="4">
        <v>0.71992284556229913</v>
      </c>
      <c r="O10" s="4">
        <v>0.55544067174196243</v>
      </c>
    </row>
    <row r="11" spans="1:15" x14ac:dyDescent="0.3">
      <c r="A11" s="6" t="s">
        <v>48</v>
      </c>
      <c r="B11" s="4">
        <v>0.97085591360437373</v>
      </c>
      <c r="C11" s="4">
        <v>9.2072688171574342</v>
      </c>
      <c r="D11" s="4">
        <v>16.526854307492393</v>
      </c>
      <c r="E11" s="4">
        <v>1.046792114217747</v>
      </c>
      <c r="F11" s="4">
        <v>0.30916600115597248</v>
      </c>
      <c r="G11" s="4">
        <v>75.272592592592616</v>
      </c>
      <c r="H11" s="4">
        <v>-6.2694980559172109E-2</v>
      </c>
      <c r="I11" s="4">
        <v>99.739046641758506</v>
      </c>
      <c r="J11" s="4">
        <v>89.307829770174877</v>
      </c>
      <c r="K11" s="4">
        <v>41.944903646196636</v>
      </c>
      <c r="L11" s="4">
        <v>-0.34692160878330469</v>
      </c>
      <c r="M11" s="4">
        <v>-0.52550968776146589</v>
      </c>
      <c r="N11" s="4">
        <v>-0.51334566467752063</v>
      </c>
      <c r="O11" s="4">
        <v>0.40665429333845776</v>
      </c>
    </row>
    <row r="12" spans="1:15" x14ac:dyDescent="0.3">
      <c r="A12" s="6" t="s">
        <v>50</v>
      </c>
      <c r="B12" s="4">
        <v>6.5264997148175574</v>
      </c>
      <c r="C12" s="4">
        <v>6.8331314008550814</v>
      </c>
      <c r="D12" s="4">
        <v>24.927533566819015</v>
      </c>
      <c r="E12" s="4">
        <v>-0.69069392769890059</v>
      </c>
      <c r="F12" s="4">
        <v>-7.5531619562146435E-2</v>
      </c>
      <c r="G12" s="4">
        <v>72.329666666666682</v>
      </c>
      <c r="H12" s="4">
        <v>-0.27584208697468665</v>
      </c>
      <c r="I12" s="4" t="s">
        <v>37</v>
      </c>
      <c r="J12" s="4" t="s">
        <v>37</v>
      </c>
      <c r="K12" s="4" t="s">
        <v>37</v>
      </c>
      <c r="L12" s="4">
        <v>-0.55545039374070859</v>
      </c>
      <c r="M12" s="4">
        <v>0.15242438095932209</v>
      </c>
      <c r="N12" s="4">
        <v>-0.35538289075096446</v>
      </c>
      <c r="O12" s="4">
        <v>-0.47553954801211756</v>
      </c>
    </row>
    <row r="13" spans="1:15" x14ac:dyDescent="0.3">
      <c r="A13" s="6" t="s">
        <v>52</v>
      </c>
      <c r="B13" s="4">
        <v>0.35870916832234645</v>
      </c>
      <c r="C13" s="4">
        <v>10.292076499522411</v>
      </c>
      <c r="D13" s="4" t="s">
        <v>37</v>
      </c>
      <c r="E13" s="4">
        <v>1.2643373851428286</v>
      </c>
      <c r="F13" s="4">
        <v>-0.22971241517613325</v>
      </c>
      <c r="G13" s="4">
        <v>74.586444444444453</v>
      </c>
      <c r="H13" s="4">
        <v>1.276862608759026</v>
      </c>
      <c r="I13" s="4">
        <v>115.11915079752613</v>
      </c>
      <c r="J13" s="4">
        <v>113.40095728093917</v>
      </c>
      <c r="K13" s="4" t="s">
        <v>37</v>
      </c>
      <c r="L13" s="4">
        <v>1.1393865472392033</v>
      </c>
      <c r="M13" s="4">
        <v>1.0875310897827142</v>
      </c>
      <c r="N13" s="4">
        <v>1.1622112016928821</v>
      </c>
      <c r="O13" s="4">
        <v>1.1683587055457263</v>
      </c>
    </row>
    <row r="14" spans="1:15" x14ac:dyDescent="0.3">
      <c r="A14" s="6" t="s">
        <v>54</v>
      </c>
      <c r="B14" s="4">
        <v>1.6403107806285844</v>
      </c>
      <c r="C14" s="4">
        <v>10.579234082688659</v>
      </c>
      <c r="D14" s="4">
        <v>25.51446364691779</v>
      </c>
      <c r="E14" s="4">
        <v>1.3528713968254225</v>
      </c>
      <c r="F14" s="4">
        <v>1.1339918939690841</v>
      </c>
      <c r="G14" s="4">
        <v>81.006775067750709</v>
      </c>
      <c r="H14" s="4">
        <v>0.98132157574097334</v>
      </c>
      <c r="I14" s="4">
        <v>102.78112482141559</v>
      </c>
      <c r="J14" s="4">
        <v>146.69508056640632</v>
      </c>
      <c r="K14" s="4">
        <v>101.18495330810543</v>
      </c>
      <c r="L14" s="4">
        <v>1.8690128525098169</v>
      </c>
      <c r="M14" s="4">
        <v>1.7265004118283593</v>
      </c>
      <c r="N14" s="4">
        <v>1.7302952110767356</v>
      </c>
      <c r="O14" s="4">
        <v>1.3990896940231321</v>
      </c>
    </row>
    <row r="15" spans="1:15" x14ac:dyDescent="0.3">
      <c r="A15" s="6" t="s">
        <v>56</v>
      </c>
      <c r="B15" s="4">
        <v>1.2054259563035741</v>
      </c>
      <c r="C15" s="4">
        <v>10.427934532542604</v>
      </c>
      <c r="D15" s="4">
        <v>23.921076906988251</v>
      </c>
      <c r="E15" s="4">
        <v>0.46585596877797164</v>
      </c>
      <c r="F15" s="4">
        <v>1.6610912581284845</v>
      </c>
      <c r="G15" s="4">
        <v>79.828726287262896</v>
      </c>
      <c r="H15" s="4">
        <v>1.0967105949918428</v>
      </c>
      <c r="I15" s="4">
        <v>101.69800426341857</v>
      </c>
      <c r="J15" s="4">
        <v>100.66311786792896</v>
      </c>
      <c r="K15" s="4">
        <v>73.446606686240742</v>
      </c>
      <c r="L15" s="4">
        <v>1.6486806174119308</v>
      </c>
      <c r="M15" s="4">
        <v>1.4838394125302627</v>
      </c>
      <c r="N15" s="4">
        <v>1.828032463788986</v>
      </c>
      <c r="O15" s="4">
        <v>1.3867747584978731</v>
      </c>
    </row>
    <row r="16" spans="1:15" x14ac:dyDescent="0.3">
      <c r="A16" s="6" t="s">
        <v>58</v>
      </c>
      <c r="B16" s="4">
        <v>6.1970332963708241</v>
      </c>
      <c r="C16" s="4">
        <v>7.0053336935541548</v>
      </c>
      <c r="D16" s="4">
        <v>26.805767377282432</v>
      </c>
      <c r="E16" s="4">
        <v>1.0320248637633018</v>
      </c>
      <c r="F16" s="4">
        <v>1.6619660506645839</v>
      </c>
      <c r="G16" s="4">
        <v>68.094740740740733</v>
      </c>
      <c r="H16" s="4">
        <v>-0.74111290959020437</v>
      </c>
      <c r="I16" s="4">
        <v>98.485198974609375</v>
      </c>
      <c r="J16" s="4">
        <v>84.919172433706436</v>
      </c>
      <c r="K16" s="4">
        <v>25.630760417265062</v>
      </c>
      <c r="L16" s="4">
        <v>-1.0847096368670461</v>
      </c>
      <c r="M16" s="4">
        <v>-0.47731127124279737</v>
      </c>
      <c r="N16" s="4">
        <v>-0.8202803060412408</v>
      </c>
      <c r="O16" s="4">
        <v>-1.3069318284591045</v>
      </c>
    </row>
    <row r="17" spans="1:15" x14ac:dyDescent="0.3">
      <c r="A17" s="6" t="s">
        <v>60</v>
      </c>
      <c r="B17" s="4">
        <v>0.23678120276600101</v>
      </c>
      <c r="C17" s="4">
        <v>10.254516041830103</v>
      </c>
      <c r="D17" s="4">
        <v>26.505854738571223</v>
      </c>
      <c r="E17" s="4">
        <v>1.1876734690773236</v>
      </c>
      <c r="F17" s="4">
        <v>-0.55437020864337683</v>
      </c>
      <c r="G17" s="4">
        <v>72.391037037037052</v>
      </c>
      <c r="H17" s="4">
        <v>0.94337776799996664</v>
      </c>
      <c r="I17" s="4">
        <v>96.945865631103473</v>
      </c>
      <c r="J17" s="4">
        <v>29.503661155700691</v>
      </c>
      <c r="K17" s="4">
        <v>3.1290701429049168</v>
      </c>
      <c r="L17" s="4">
        <v>1.2644202907880147</v>
      </c>
      <c r="M17" s="4">
        <v>0.58671983581249731</v>
      </c>
      <c r="N17" s="4">
        <v>0.75484676876415813</v>
      </c>
      <c r="O17" s="4">
        <v>0.98894457022349069</v>
      </c>
    </row>
    <row r="18" spans="1:15" x14ac:dyDescent="0.3">
      <c r="A18" s="6" t="s">
        <v>62</v>
      </c>
      <c r="B18" s="4">
        <v>0.66403742863350157</v>
      </c>
      <c r="C18" s="4">
        <v>9.9234553883798942</v>
      </c>
      <c r="D18" s="4">
        <v>23.467915963733702</v>
      </c>
      <c r="E18" s="4">
        <v>3.2461176321175373</v>
      </c>
      <c r="F18" s="4">
        <v>0.9119812759260334</v>
      </c>
      <c r="G18" s="4">
        <v>77.50811111111112</v>
      </c>
      <c r="H18" s="4">
        <v>-0.45629006046025694</v>
      </c>
      <c r="I18" s="4">
        <v>102.61713592529296</v>
      </c>
      <c r="J18" s="4">
        <v>155.73887207031257</v>
      </c>
      <c r="K18" s="4">
        <v>67.336748657226551</v>
      </c>
      <c r="L18" s="4">
        <v>0.20715693105012178</v>
      </c>
      <c r="M18" s="4">
        <v>0.68849758058786392</v>
      </c>
      <c r="N18" s="4">
        <v>0.42452548622774583</v>
      </c>
      <c r="O18" s="4">
        <v>-1.089448335270087</v>
      </c>
    </row>
    <row r="19" spans="1:15" x14ac:dyDescent="0.3">
      <c r="A19" s="6" t="s">
        <v>64</v>
      </c>
      <c r="B19" s="4">
        <v>4.3885533521681896</v>
      </c>
      <c r="C19" s="4">
        <v>6.3273816844120958</v>
      </c>
      <c r="D19" s="4">
        <v>26.658803776755082</v>
      </c>
      <c r="E19" s="4">
        <v>1.4017431961220912</v>
      </c>
      <c r="F19" s="4">
        <v>0.45139073704679805</v>
      </c>
      <c r="G19" s="4">
        <v>67.719222222222228</v>
      </c>
      <c r="H19" s="4">
        <v>-1.1891144501666229</v>
      </c>
      <c r="I19" s="4">
        <v>103.30039073802801</v>
      </c>
      <c r="J19" s="4">
        <v>39.306518145969946</v>
      </c>
      <c r="K19" s="4">
        <v>8.4604723453521782</v>
      </c>
      <c r="L19" s="4">
        <v>-1.0820966064929955</v>
      </c>
      <c r="M19" s="4">
        <v>-0.93982781221469247</v>
      </c>
      <c r="N19" s="4">
        <v>-0.82140677918990479</v>
      </c>
      <c r="O19" s="4">
        <v>-0.48791287854934734</v>
      </c>
    </row>
    <row r="20" spans="1:15" x14ac:dyDescent="0.3">
      <c r="A20" s="6" t="s">
        <v>66</v>
      </c>
      <c r="B20" s="4">
        <v>0.57238029268311674</v>
      </c>
      <c r="C20" s="4">
        <v>9.5623417185497779</v>
      </c>
      <c r="D20" s="4">
        <v>16.778978136657106</v>
      </c>
      <c r="E20" s="4">
        <v>0.26202587077539646</v>
      </c>
      <c r="F20" s="4">
        <v>-0.75506116574009263</v>
      </c>
      <c r="G20" s="4">
        <v>75.431555555555548</v>
      </c>
      <c r="H20" s="4">
        <v>1.0822522441546123</v>
      </c>
      <c r="I20" s="4">
        <v>67.930977574101206</v>
      </c>
      <c r="J20" s="4">
        <v>24.278902012368913</v>
      </c>
      <c r="K20" s="4">
        <v>3.9475651979446407</v>
      </c>
      <c r="L20" s="4">
        <v>1.4049003720283502</v>
      </c>
      <c r="M20" s="4">
        <v>0.75509912768999732</v>
      </c>
      <c r="N20" s="4">
        <v>0.9886083429058391</v>
      </c>
      <c r="O20" s="4">
        <v>1.125243768095969</v>
      </c>
    </row>
    <row r="21" spans="1:15" x14ac:dyDescent="0.3">
      <c r="A21" s="6" t="s">
        <v>68</v>
      </c>
      <c r="B21" s="4">
        <v>4.5078850277210369</v>
      </c>
      <c r="C21" s="4">
        <v>7.5424719955223853</v>
      </c>
      <c r="D21" s="4">
        <v>27.849920837981227</v>
      </c>
      <c r="E21" s="4">
        <v>-0.36706016942889519</v>
      </c>
      <c r="F21" s="4">
        <v>1.1357789325217409</v>
      </c>
      <c r="G21" s="4">
        <v>70.638431797651322</v>
      </c>
      <c r="H21" s="4">
        <v>7.8517445595935001E-2</v>
      </c>
      <c r="I21" s="4">
        <v>105.78866230357777</v>
      </c>
      <c r="J21" s="4">
        <v>55.475698471069336</v>
      </c>
      <c r="K21" s="4">
        <v>12.775785052258041</v>
      </c>
      <c r="L21" s="4">
        <v>-0.43211971931547538</v>
      </c>
      <c r="M21" s="4">
        <v>-1.1852768560250593</v>
      </c>
      <c r="N21" s="4">
        <v>-1.0220174665252373</v>
      </c>
      <c r="O21" s="4">
        <v>-1.4641736969351766</v>
      </c>
    </row>
    <row r="22" spans="1:15" x14ac:dyDescent="0.3">
      <c r="A22" s="6" t="s">
        <v>70</v>
      </c>
      <c r="B22" s="4">
        <v>1.2814956810908829</v>
      </c>
      <c r="C22" s="4">
        <v>10.352327939087159</v>
      </c>
      <c r="D22" s="4">
        <v>22.601563239267069</v>
      </c>
      <c r="E22" s="4">
        <v>0.5153448008838184</v>
      </c>
      <c r="F22" s="4">
        <v>-0.83133648025492801</v>
      </c>
      <c r="G22" s="4">
        <v>79.565085817524846</v>
      </c>
      <c r="H22" s="4">
        <v>0.77021380141377438</v>
      </c>
      <c r="I22" s="4">
        <v>101.35387703224461</v>
      </c>
      <c r="J22" s="4">
        <v>92.131931446216726</v>
      </c>
      <c r="K22" s="4">
        <v>55.878956547489871</v>
      </c>
      <c r="L22" s="4">
        <v>1.4378620435794194</v>
      </c>
      <c r="M22" s="4">
        <v>1.2696098834276202</v>
      </c>
      <c r="N22" s="4">
        <v>1.3549161205689126</v>
      </c>
      <c r="O22" s="4">
        <v>1.3580423792203267</v>
      </c>
    </row>
    <row r="23" spans="1:15" x14ac:dyDescent="0.3">
      <c r="A23" s="6" t="s">
        <v>72</v>
      </c>
      <c r="B23" s="4">
        <v>0.81824313359040168</v>
      </c>
      <c r="C23" s="4">
        <v>8.5109322704450268</v>
      </c>
      <c r="D23" s="4">
        <v>17.747519291201105</v>
      </c>
      <c r="E23" s="4">
        <v>2.5506878923525811</v>
      </c>
      <c r="F23" s="4">
        <v>1.5396026074886324</v>
      </c>
      <c r="G23" s="4">
        <v>71.090037037037007</v>
      </c>
      <c r="H23" s="4">
        <v>0.21959279026486919</v>
      </c>
      <c r="I23" s="4">
        <v>96.892599626020967</v>
      </c>
      <c r="J23" s="4">
        <v>90.570099792480505</v>
      </c>
      <c r="K23" s="4">
        <v>40.954325834910073</v>
      </c>
      <c r="L23" s="4">
        <v>-0.1597543898193787</v>
      </c>
      <c r="M23" s="4">
        <v>-0.28267077387620998</v>
      </c>
      <c r="N23" s="4">
        <v>-0.39967278600670397</v>
      </c>
      <c r="O23" s="4">
        <v>0.65727730716268218</v>
      </c>
    </row>
    <row r="24" spans="1:15" x14ac:dyDescent="0.3">
      <c r="A24" s="6" t="s">
        <v>74</v>
      </c>
      <c r="B24" s="4">
        <v>1.6630841791481776</v>
      </c>
      <c r="C24" s="4">
        <v>6.690034911802015</v>
      </c>
      <c r="D24" s="4">
        <v>19.800556619233607</v>
      </c>
      <c r="E24" s="4">
        <v>2.9029332080211909</v>
      </c>
      <c r="F24" s="4">
        <v>-0.2037761025130749</v>
      </c>
      <c r="G24" s="4">
        <v>57.924814814814802</v>
      </c>
      <c r="H24" s="4">
        <v>0.25150337590215094</v>
      </c>
      <c r="I24" s="4" t="s">
        <v>37</v>
      </c>
      <c r="J24" s="4">
        <v>83.060658968411957</v>
      </c>
      <c r="K24" s="4">
        <v>14.3343200683594</v>
      </c>
      <c r="L24" s="4">
        <v>-0.54896374264111125</v>
      </c>
      <c r="M24" s="4">
        <v>-0.45623376220464706</v>
      </c>
      <c r="N24" s="4">
        <v>-0.50650970591232181</v>
      </c>
      <c r="O24" s="4">
        <v>0.18884808779694129</v>
      </c>
    </row>
    <row r="25" spans="1:15" x14ac:dyDescent="0.3">
      <c r="A25" s="6" t="s">
        <v>76</v>
      </c>
      <c r="B25" s="4">
        <v>0.64051094214159221</v>
      </c>
      <c r="C25" s="4">
        <v>11.402198102798769</v>
      </c>
      <c r="D25" s="4">
        <v>12.636802822959162</v>
      </c>
      <c r="E25" s="4">
        <v>0.24498999536849111</v>
      </c>
      <c r="F25" s="4">
        <v>-0.50903460569679737</v>
      </c>
      <c r="G25" s="4">
        <v>79.759666666666689</v>
      </c>
      <c r="H25" s="4">
        <v>0.89314560343821814</v>
      </c>
      <c r="I25" s="4">
        <v>93.126174926757798</v>
      </c>
      <c r="J25" s="4">
        <v>84.573197841644287</v>
      </c>
      <c r="K25" s="4">
        <v>35.5843851669975</v>
      </c>
      <c r="L25" s="4">
        <v>1.2607274850209549</v>
      </c>
      <c r="M25" s="4">
        <v>1.2075272972385092</v>
      </c>
      <c r="N25" s="4">
        <v>0.90820859426942946</v>
      </c>
      <c r="O25" s="4">
        <v>1.0565775593121844</v>
      </c>
    </row>
    <row r="26" spans="1:15" x14ac:dyDescent="0.3">
      <c r="A26" s="6" t="s">
        <v>78</v>
      </c>
      <c r="B26" s="4" t="s">
        <v>37</v>
      </c>
      <c r="C26" s="4">
        <v>6.8505578055645202</v>
      </c>
      <c r="D26" s="4">
        <v>50.534339212943351</v>
      </c>
      <c r="E26" s="4">
        <v>1.4506694828291902</v>
      </c>
      <c r="F26" s="4">
        <v>1.1320169369379671</v>
      </c>
      <c r="G26" s="4">
        <v>66.759296296296313</v>
      </c>
      <c r="H26" s="4">
        <v>0.89031047622362802</v>
      </c>
      <c r="I26" s="4">
        <v>100.13653264726909</v>
      </c>
      <c r="J26" s="4">
        <v>98.674236899928118</v>
      </c>
      <c r="K26" s="4">
        <v>71.284453392028794</v>
      </c>
      <c r="L26" s="4">
        <v>1.0714155261715257</v>
      </c>
      <c r="M26" s="4">
        <v>-0.63584255644430698</v>
      </c>
      <c r="N26" s="4">
        <v>0.3395169259359439</v>
      </c>
      <c r="O26" s="4">
        <v>-0.47107942382960299</v>
      </c>
    </row>
    <row r="27" spans="1:15" x14ac:dyDescent="0.3">
      <c r="A27" s="6" t="s">
        <v>80</v>
      </c>
      <c r="B27" s="4">
        <v>1.9385795329555311</v>
      </c>
      <c r="C27" s="4">
        <v>7.5319022304825305</v>
      </c>
      <c r="D27" s="4">
        <v>17.404930675773208</v>
      </c>
      <c r="E27" s="4">
        <v>1.6535912837442848</v>
      </c>
      <c r="F27" s="4">
        <v>0.46562960247198742</v>
      </c>
      <c r="G27" s="4">
        <v>64.634925925925927</v>
      </c>
      <c r="H27" s="4">
        <v>-0.45960037037730217</v>
      </c>
      <c r="I27" s="4">
        <v>115.0373487119322</v>
      </c>
      <c r="J27" s="4">
        <v>78.156678835550949</v>
      </c>
      <c r="K27" s="4">
        <v>21.133021137931127</v>
      </c>
      <c r="L27" s="4">
        <v>-0.68099136029680574</v>
      </c>
      <c r="M27" s="4">
        <v>-0.71039482906538376</v>
      </c>
      <c r="N27" s="4">
        <v>-0.90665773302316699</v>
      </c>
      <c r="O27" s="4">
        <v>-1.4136565761873532E-2</v>
      </c>
    </row>
    <row r="28" spans="1:15" x14ac:dyDescent="0.3">
      <c r="A28" s="6" t="s">
        <v>82</v>
      </c>
      <c r="B28" s="4">
        <v>7.9975228122102671</v>
      </c>
      <c r="C28" s="4">
        <v>6.6651978681911501</v>
      </c>
      <c r="D28" s="4">
        <v>24.760236629866544</v>
      </c>
      <c r="E28" s="4">
        <v>-0.54094737012553695</v>
      </c>
      <c r="F28" s="4">
        <v>-0.51303611695766438</v>
      </c>
      <c r="G28" s="4">
        <v>75.672074074074075</v>
      </c>
      <c r="H28" s="4">
        <v>-0.45036886058126885</v>
      </c>
      <c r="I28" s="4">
        <v>104.79966697692862</v>
      </c>
      <c r="J28" s="4">
        <v>88.698726654052734</v>
      </c>
      <c r="K28" s="4">
        <v>33.223890304565423</v>
      </c>
      <c r="L28" s="4">
        <v>-0.42206777880589169</v>
      </c>
      <c r="M28" s="4">
        <v>-0.29567339938754822</v>
      </c>
      <c r="N28" s="4">
        <v>-0.36336777545511723</v>
      </c>
      <c r="O28" s="4">
        <v>-7.5485842127818573E-2</v>
      </c>
    </row>
    <row r="29" spans="1:15" x14ac:dyDescent="0.3">
      <c r="A29" s="6" t="s">
        <v>84</v>
      </c>
      <c r="B29" s="4">
        <v>1.6572814937970026</v>
      </c>
      <c r="C29" s="4">
        <v>8.359713516676063</v>
      </c>
      <c r="D29" s="4">
        <v>26.430882278831803</v>
      </c>
      <c r="E29" s="4">
        <v>1.9973978547097797</v>
      </c>
      <c r="F29" s="4">
        <v>-0.78058553114533469</v>
      </c>
      <c r="G29" s="4">
        <v>57.751111111111101</v>
      </c>
      <c r="H29" s="4">
        <v>1.0226195032397905</v>
      </c>
      <c r="I29" s="4" t="s">
        <v>37</v>
      </c>
      <c r="J29" s="4">
        <v>76.921760559082017</v>
      </c>
      <c r="K29" s="4" t="s">
        <v>37</v>
      </c>
      <c r="L29" s="4">
        <v>0.85730212926864591</v>
      </c>
      <c r="M29" s="4">
        <v>0.66657609492540359</v>
      </c>
      <c r="N29" s="4">
        <v>0.52307551354169846</v>
      </c>
      <c r="O29" s="4">
        <v>0.53779006625215209</v>
      </c>
    </row>
    <row r="30" spans="1:15" x14ac:dyDescent="0.3">
      <c r="A30" s="6" t="s">
        <v>86</v>
      </c>
      <c r="B30" s="4">
        <v>1.1274772069382433</v>
      </c>
      <c r="C30" s="4">
        <v>8.7833224905254124</v>
      </c>
      <c r="D30" s="4">
        <v>18.155146960100719</v>
      </c>
      <c r="E30" s="4">
        <v>1.0386143950645204</v>
      </c>
      <c r="F30" s="4">
        <v>0.43479059884945542</v>
      </c>
      <c r="G30" s="4">
        <v>72.110111111111109</v>
      </c>
      <c r="H30" s="4">
        <v>-0.22298418984670806</v>
      </c>
      <c r="I30" s="4">
        <v>114.16318130493168</v>
      </c>
      <c r="J30" s="4">
        <v>102.71184234619132</v>
      </c>
      <c r="K30" s="4">
        <v>41.292827752920317</v>
      </c>
      <c r="L30" s="4">
        <v>-0.18316957672747469</v>
      </c>
      <c r="M30" s="4">
        <v>3.7600805439675831E-2</v>
      </c>
      <c r="N30" s="4">
        <v>-0.22986734705045811</v>
      </c>
      <c r="O30" s="4">
        <v>0.41737558444341022</v>
      </c>
    </row>
    <row r="31" spans="1:15" x14ac:dyDescent="0.3">
      <c r="A31" s="6" t="s">
        <v>88</v>
      </c>
      <c r="B31" s="4" t="s">
        <v>37</v>
      </c>
      <c r="C31" s="4" t="s">
        <v>37</v>
      </c>
      <c r="D31" s="4" t="s">
        <v>37</v>
      </c>
      <c r="E31" s="4">
        <v>2.1274138308832393</v>
      </c>
      <c r="F31" s="4">
        <v>-0.22076099878177047</v>
      </c>
      <c r="G31" s="4">
        <v>74.936481481481465</v>
      </c>
      <c r="H31" s="4" t="s">
        <v>37</v>
      </c>
      <c r="I31" s="4">
        <v>99.755564256147949</v>
      </c>
      <c r="J31" s="4">
        <v>107.51421598954634</v>
      </c>
      <c r="K31" s="4">
        <v>55.078339168003637</v>
      </c>
      <c r="L31" s="4" t="s">
        <v>37</v>
      </c>
      <c r="M31" s="4" t="s">
        <v>37</v>
      </c>
      <c r="N31" s="4">
        <v>0.58958852011710394</v>
      </c>
      <c r="O31" s="4" t="s">
        <v>37</v>
      </c>
    </row>
    <row r="32" spans="1:15" x14ac:dyDescent="0.3">
      <c r="A32" s="6" t="s">
        <v>90</v>
      </c>
      <c r="B32" s="4">
        <v>-0.75369466003554209</v>
      </c>
      <c r="C32" s="4">
        <v>10.477734164711583</v>
      </c>
      <c r="D32" s="4">
        <v>26.477194116886245</v>
      </c>
      <c r="E32" s="4">
        <v>1.537486311880105</v>
      </c>
      <c r="F32" s="4">
        <v>0.96167487775286109</v>
      </c>
      <c r="G32" s="4">
        <v>74.443962962962956</v>
      </c>
      <c r="H32" s="4">
        <v>1.1823547755678496</v>
      </c>
      <c r="I32" s="4">
        <v>102.4183000417857</v>
      </c>
      <c r="J32" s="4">
        <v>87.681695689325736</v>
      </c>
      <c r="K32" s="4">
        <v>20.312394432399579</v>
      </c>
      <c r="L32" s="4">
        <v>0.608666678269704</v>
      </c>
      <c r="M32" s="4">
        <v>0.95820407072703029</v>
      </c>
      <c r="N32" s="4">
        <v>-0.12190506809080633</v>
      </c>
      <c r="O32" s="4">
        <v>-0.79594648381074273</v>
      </c>
    </row>
    <row r="33" spans="1:15" x14ac:dyDescent="0.3">
      <c r="A33" s="6" t="s">
        <v>92</v>
      </c>
      <c r="B33" s="4">
        <v>3.2515765098376948</v>
      </c>
      <c r="C33" s="4">
        <v>8.3004406307875858</v>
      </c>
      <c r="D33" s="4">
        <v>19.762658405448558</v>
      </c>
      <c r="E33" s="4">
        <v>-0.95353455741038318</v>
      </c>
      <c r="F33" s="4">
        <v>-2.1032883708054829E-2</v>
      </c>
      <c r="G33" s="4">
        <v>72.952646793134605</v>
      </c>
      <c r="H33" s="4">
        <v>0.28493552765576169</v>
      </c>
      <c r="I33" s="4">
        <v>94.839586257934585</v>
      </c>
      <c r="J33" s="4">
        <v>62.908112049102797</v>
      </c>
      <c r="K33" s="4">
        <v>10.06249213218689</v>
      </c>
      <c r="L33" s="4">
        <v>-0.21097232548830416</v>
      </c>
      <c r="M33" s="4">
        <v>0.52859139132002986</v>
      </c>
      <c r="N33" s="4">
        <v>-0.51396337586144603</v>
      </c>
      <c r="O33" s="4">
        <v>0.45300525923569995</v>
      </c>
    </row>
    <row r="34" spans="1:15" x14ac:dyDescent="0.3">
      <c r="A34" s="6" t="s">
        <v>94</v>
      </c>
      <c r="B34" s="4">
        <v>2.7088643373257115</v>
      </c>
      <c r="C34" s="4">
        <v>5.8748968569886744</v>
      </c>
      <c r="D34" s="4">
        <v>18.681560892210189</v>
      </c>
      <c r="E34" s="4">
        <v>2.8912110379816371</v>
      </c>
      <c r="F34" s="4">
        <v>-0.71028563628594077</v>
      </c>
      <c r="G34" s="4">
        <v>54.921555555555557</v>
      </c>
      <c r="H34" s="4">
        <v>-0.52705766540020649</v>
      </c>
      <c r="I34" s="4">
        <v>102.91693840026861</v>
      </c>
      <c r="J34" s="4">
        <v>73.603632119985747</v>
      </c>
      <c r="K34" s="4">
        <v>15.048077640533448</v>
      </c>
      <c r="L34" s="4">
        <v>-0.1942563413952787</v>
      </c>
      <c r="M34" s="4">
        <v>-0.3229311760514974</v>
      </c>
      <c r="N34" s="4">
        <v>-1.2744364961981776</v>
      </c>
      <c r="O34" s="4">
        <v>-0.27706748154014343</v>
      </c>
    </row>
    <row r="35" spans="1:15" x14ac:dyDescent="0.3">
      <c r="A35" s="6" t="s">
        <v>96</v>
      </c>
      <c r="B35" s="4">
        <v>-1.107068748530704</v>
      </c>
      <c r="C35" s="4">
        <v>5.8696250538761561</v>
      </c>
      <c r="D35" s="4">
        <v>11.193934815537336</v>
      </c>
      <c r="E35" s="4">
        <v>2.9860086360575067</v>
      </c>
      <c r="F35" s="4">
        <v>-1.3055630922317503</v>
      </c>
      <c r="G35" s="4">
        <v>54.540592592592603</v>
      </c>
      <c r="H35" s="4">
        <v>-1.7116443564494441</v>
      </c>
      <c r="I35" s="4">
        <v>72.826495306832427</v>
      </c>
      <c r="J35" s="4">
        <v>13.562921387808657</v>
      </c>
      <c r="K35" s="4">
        <v>2.1412544647852583</v>
      </c>
      <c r="L35" s="4">
        <v>-1.1802308112382891</v>
      </c>
      <c r="M35" s="4">
        <v>-1.0978512391448019</v>
      </c>
      <c r="N35" s="4">
        <v>0.49301043028632785</v>
      </c>
      <c r="O35" s="4">
        <v>-1.1844698737065</v>
      </c>
    </row>
    <row r="36" spans="1:15" x14ac:dyDescent="0.3">
      <c r="A36" s="6" t="s">
        <v>98</v>
      </c>
      <c r="B36" s="4">
        <v>3.8240248248575082</v>
      </c>
      <c r="C36" s="4">
        <v>7.145730700877726</v>
      </c>
      <c r="D36" s="4" t="s">
        <v>37</v>
      </c>
      <c r="E36" s="4">
        <v>1.3923290035708746</v>
      </c>
      <c r="F36" s="4">
        <v>1.5781369403980321E-2</v>
      </c>
      <c r="G36" s="4">
        <v>72.108037037037036</v>
      </c>
      <c r="H36" s="4">
        <v>0.86119937027494087</v>
      </c>
      <c r="I36" s="4">
        <v>99.134542050568911</v>
      </c>
      <c r="J36" s="4">
        <v>106.40358768809917</v>
      </c>
      <c r="K36" s="4">
        <v>68.096207573300319</v>
      </c>
      <c r="L36" s="4">
        <v>0.85061408703525843</v>
      </c>
      <c r="M36" s="4">
        <v>-0.14638214080514442</v>
      </c>
      <c r="N36" s="4">
        <v>-1.0834277917941411</v>
      </c>
      <c r="O36" s="4">
        <v>0.86588946357369423</v>
      </c>
    </row>
    <row r="37" spans="1:15" x14ac:dyDescent="0.3">
      <c r="A37" s="6" t="s">
        <v>100</v>
      </c>
      <c r="B37" s="4">
        <v>5.1987922136586873</v>
      </c>
      <c r="C37" s="4">
        <v>5.9373313772636376</v>
      </c>
      <c r="D37" s="4">
        <v>18.68954707754127</v>
      </c>
      <c r="E37" s="4">
        <v>1.6256615120908171</v>
      </c>
      <c r="F37" s="4">
        <v>-0.78932999322811781</v>
      </c>
      <c r="G37" s="4">
        <v>64.998222222222225</v>
      </c>
      <c r="H37" s="4">
        <v>-0.3287812447330602</v>
      </c>
      <c r="I37" s="4">
        <v>102.53374833327085</v>
      </c>
      <c r="J37" s="4">
        <v>98.211111450195233</v>
      </c>
      <c r="K37" s="4">
        <v>50.570208916297332</v>
      </c>
      <c r="L37" s="4">
        <v>-1.1679486483335504</v>
      </c>
      <c r="M37" s="4">
        <v>-0.46765459515154367</v>
      </c>
      <c r="N37" s="4">
        <v>-1.1248984858393667</v>
      </c>
      <c r="O37" s="4">
        <v>-1.0185148318608601</v>
      </c>
    </row>
    <row r="38" spans="1:15" x14ac:dyDescent="0.3">
      <c r="A38" s="6" t="s">
        <v>102</v>
      </c>
      <c r="B38" s="4">
        <v>1.1824100790988723</v>
      </c>
      <c r="C38" s="4">
        <v>6.956266035762277</v>
      </c>
      <c r="D38" s="4">
        <v>18.571177776825319</v>
      </c>
      <c r="E38" s="4">
        <v>2.7710439629573416</v>
      </c>
      <c r="F38" s="4">
        <v>-0.88050299386183417</v>
      </c>
      <c r="G38" s="4">
        <v>56.344259259259253</v>
      </c>
      <c r="H38" s="4">
        <v>-0.81236008057991693</v>
      </c>
      <c r="I38" s="4" t="s">
        <v>37</v>
      </c>
      <c r="J38" s="4" t="s">
        <v>37</v>
      </c>
      <c r="K38" s="4" t="s">
        <v>37</v>
      </c>
      <c r="L38" s="4">
        <v>-1.1602667396267268</v>
      </c>
      <c r="M38" s="4">
        <v>-0.87568120410044969</v>
      </c>
      <c r="N38" s="4">
        <v>1.725627576311429</v>
      </c>
      <c r="O38" s="4">
        <v>-1.0582847371697428</v>
      </c>
    </row>
    <row r="39" spans="1:15" x14ac:dyDescent="0.3">
      <c r="A39" s="6" t="s">
        <v>104</v>
      </c>
      <c r="B39" s="4">
        <v>1.1936863136035925</v>
      </c>
      <c r="C39" s="4">
        <v>10.39244271252443</v>
      </c>
      <c r="D39" s="4">
        <v>22.067825032743094</v>
      </c>
      <c r="E39" s="4">
        <v>1.0515855445938436</v>
      </c>
      <c r="F39" s="4">
        <v>1.7686002900203064</v>
      </c>
      <c r="G39" s="4">
        <v>80.547308943089433</v>
      </c>
      <c r="H39" s="4">
        <v>1.0500719820459687</v>
      </c>
      <c r="I39" s="4">
        <v>101.98572723388665</v>
      </c>
      <c r="J39" s="4">
        <v>94.32557014797051</v>
      </c>
      <c r="K39" s="4">
        <v>61.490331503061149</v>
      </c>
      <c r="L39" s="4">
        <v>1.8909337023893993</v>
      </c>
      <c r="M39" s="4">
        <v>1.6459304491678868</v>
      </c>
      <c r="N39" s="4">
        <v>0.97377473364273737</v>
      </c>
      <c r="O39" s="4">
        <v>1.4662966827551525</v>
      </c>
    </row>
    <row r="40" spans="1:15" x14ac:dyDescent="0.3">
      <c r="A40" s="6" t="s">
        <v>106</v>
      </c>
      <c r="B40" s="4" t="s">
        <v>37</v>
      </c>
      <c r="C40" s="4" t="s">
        <v>37</v>
      </c>
      <c r="D40" s="4" t="s">
        <v>37</v>
      </c>
      <c r="E40" s="4">
        <v>2.7944841235053901</v>
      </c>
      <c r="F40" s="4">
        <v>1.3340246975421908</v>
      </c>
      <c r="G40" s="4">
        <v>82.190243902439036</v>
      </c>
      <c r="H40" s="4">
        <v>1.1169589857260385</v>
      </c>
      <c r="I40" s="4">
        <v>103.89109455455424</v>
      </c>
      <c r="J40" s="4">
        <v>77.333902972677478</v>
      </c>
      <c r="K40" s="4">
        <v>29.060356889452247</v>
      </c>
      <c r="L40" s="4">
        <v>0.99684620276093427</v>
      </c>
      <c r="M40" s="4">
        <v>1.1143373176455498</v>
      </c>
      <c r="N40" s="4">
        <v>-1.5203607554237044</v>
      </c>
      <c r="O40" s="4">
        <v>0.79565808052817977</v>
      </c>
    </row>
    <row r="41" spans="1:15" x14ac:dyDescent="0.3">
      <c r="A41" s="6" t="s">
        <v>108</v>
      </c>
      <c r="B41" s="4">
        <v>-0.99971072743909595</v>
      </c>
      <c r="C41" s="4">
        <v>6.1703299190968757</v>
      </c>
      <c r="D41" s="4">
        <v>12.951630086636689</v>
      </c>
      <c r="E41" s="4">
        <v>1.9988947620624542</v>
      </c>
      <c r="F41" s="4">
        <v>-1.5470560739437724</v>
      </c>
      <c r="G41" s="4">
        <v>49.143666666666668</v>
      </c>
      <c r="H41" s="4">
        <v>-1.8363351325194037</v>
      </c>
      <c r="I41" s="4">
        <v>78.425447387695314</v>
      </c>
      <c r="J41" s="4">
        <v>46.217831993103047</v>
      </c>
      <c r="K41" s="4">
        <v>7.6705320040384937</v>
      </c>
      <c r="L41" s="4">
        <v>-1.1691322426001234</v>
      </c>
      <c r="M41" s="4">
        <v>-1.2455817709366479</v>
      </c>
      <c r="N41" s="4">
        <v>-1.3720945715904227</v>
      </c>
      <c r="O41" s="4">
        <v>-1.1112255851427721</v>
      </c>
    </row>
    <row r="42" spans="1:15" x14ac:dyDescent="0.3">
      <c r="A42" s="6" t="s">
        <v>110</v>
      </c>
      <c r="B42" s="4">
        <v>1.4518321518682598</v>
      </c>
      <c r="C42" s="4">
        <v>5.9914632771018024</v>
      </c>
      <c r="D42" s="4">
        <v>25.112544812001893</v>
      </c>
      <c r="E42" s="4">
        <v>3.5316886701807895</v>
      </c>
      <c r="F42" s="4">
        <v>-1.3283807436625164</v>
      </c>
      <c r="G42" s="4">
        <v>49.565370370370374</v>
      </c>
      <c r="H42" s="4">
        <v>-1.408701330423354</v>
      </c>
      <c r="I42" s="4">
        <v>102.10664848045066</v>
      </c>
      <c r="J42" s="4">
        <v>39.452959272596573</v>
      </c>
      <c r="K42" s="4">
        <v>9.6269120931625327</v>
      </c>
      <c r="L42" s="4">
        <v>-1.4089353779951725</v>
      </c>
      <c r="M42" s="4">
        <v>-1.1191017801562941</v>
      </c>
      <c r="N42" s="4">
        <v>1.1240321521957723</v>
      </c>
      <c r="O42" s="4">
        <v>-1.3026839171846702</v>
      </c>
    </row>
    <row r="43" spans="1:15" x14ac:dyDescent="0.3">
      <c r="A43" s="6" t="s">
        <v>112</v>
      </c>
      <c r="B43" s="4" t="s">
        <v>37</v>
      </c>
      <c r="C43" s="4" t="s">
        <v>37</v>
      </c>
      <c r="D43" s="4" t="s">
        <v>37</v>
      </c>
      <c r="E43" s="4">
        <v>0.71573515863206605</v>
      </c>
      <c r="F43" s="4">
        <v>1.0032517537474632</v>
      </c>
      <c r="G43" s="4">
        <v>80.382518518518523</v>
      </c>
      <c r="H43" s="4" t="s">
        <v>37</v>
      </c>
      <c r="I43" s="4">
        <v>93.562249898910451</v>
      </c>
      <c r="J43" s="4">
        <v>39.913814024491757</v>
      </c>
      <c r="K43" s="4">
        <v>5.35610824281519</v>
      </c>
      <c r="L43" s="4" t="s">
        <v>37</v>
      </c>
      <c r="M43" s="4" t="s">
        <v>37</v>
      </c>
      <c r="N43" s="4">
        <v>-0.41876497608609492</v>
      </c>
      <c r="O43" s="4" t="s">
        <v>37</v>
      </c>
    </row>
    <row r="44" spans="1:15" x14ac:dyDescent="0.3">
      <c r="A44" s="6" t="s">
        <v>114</v>
      </c>
      <c r="B44" s="4">
        <v>2.5480120028799735</v>
      </c>
      <c r="C44" s="4">
        <v>8.8925511803677413</v>
      </c>
      <c r="D44" s="4">
        <v>24.151439342434568</v>
      </c>
      <c r="E44" s="4">
        <v>1.149023696123477</v>
      </c>
      <c r="F44" s="4">
        <v>0.1648327239284603</v>
      </c>
      <c r="G44" s="4">
        <v>78.096703703703682</v>
      </c>
      <c r="H44" s="4">
        <v>0.45257032305623107</v>
      </c>
      <c r="I44" s="4">
        <v>100.21441442316228</v>
      </c>
      <c r="J44" s="4">
        <v>43.993693033854186</v>
      </c>
      <c r="K44" s="4">
        <v>6.9048594994978458</v>
      </c>
      <c r="L44" s="4">
        <v>1.276511882742245</v>
      </c>
      <c r="M44" s="4">
        <v>1.3410719434420268</v>
      </c>
      <c r="N44" s="4">
        <v>-0.47267378804584342</v>
      </c>
      <c r="O44" s="4">
        <v>1.018749766051769</v>
      </c>
    </row>
    <row r="45" spans="1:15" x14ac:dyDescent="0.3">
      <c r="A45" s="6" t="s">
        <v>116</v>
      </c>
      <c r="B45" s="4">
        <v>7.8037544131452918</v>
      </c>
      <c r="C45" s="4">
        <v>7.3264850013933591</v>
      </c>
      <c r="D45" s="4">
        <v>39.149925993832696</v>
      </c>
      <c r="E45" s="4">
        <v>0.60584618866221884</v>
      </c>
      <c r="F45" s="4">
        <v>-0.1473529766565965</v>
      </c>
      <c r="G45" s="4">
        <v>74.667629629629644</v>
      </c>
      <c r="H45" s="4">
        <v>-0.44223798283686239</v>
      </c>
      <c r="I45" s="4">
        <v>118.87128143310544</v>
      </c>
      <c r="J45" s="4">
        <v>90.810650507609026</v>
      </c>
      <c r="K45" s="4">
        <v>39.585270368135895</v>
      </c>
      <c r="L45" s="4">
        <v>-0.36800980614498252</v>
      </c>
      <c r="M45" s="4">
        <v>-0.30139017043014366</v>
      </c>
      <c r="N45" s="4">
        <v>-1.0391197080413506</v>
      </c>
      <c r="O45" s="4">
        <v>-1.5854380428791037</v>
      </c>
    </row>
    <row r="46" spans="1:15" x14ac:dyDescent="0.3">
      <c r="A46" s="6" t="s">
        <v>118</v>
      </c>
      <c r="B46" s="4">
        <v>1.8507404674235284</v>
      </c>
      <c r="C46" s="4">
        <v>8.3357810678335724</v>
      </c>
      <c r="D46" s="4">
        <v>20.241807295087064</v>
      </c>
      <c r="E46" s="4">
        <v>1.375227827906311</v>
      </c>
      <c r="F46" s="4">
        <v>-1.5955256273349132</v>
      </c>
      <c r="G46" s="4">
        <v>73.69670370370369</v>
      </c>
      <c r="H46" s="4">
        <v>-1.4401394501328468</v>
      </c>
      <c r="I46" s="4">
        <v>101.31864166259766</v>
      </c>
      <c r="J46" s="4">
        <v>48.692416191101088</v>
      </c>
      <c r="K46" s="4">
        <v>5.6211945306171067</v>
      </c>
      <c r="L46" s="4">
        <v>-0.33412936826546996</v>
      </c>
      <c r="M46" s="4">
        <v>0.16580784289787218</v>
      </c>
      <c r="N46" s="4">
        <v>-1.696350157260895</v>
      </c>
      <c r="O46" s="4">
        <v>-0.11648014930930617</v>
      </c>
    </row>
    <row r="47" spans="1:15" x14ac:dyDescent="0.3">
      <c r="A47" s="6" t="s">
        <v>120</v>
      </c>
      <c r="B47" s="4">
        <v>0.67923633838355979</v>
      </c>
      <c r="C47" s="4">
        <v>7.0345067788222044</v>
      </c>
      <c r="D47" s="4">
        <v>15.83498103590925</v>
      </c>
      <c r="E47" s="4">
        <v>2.0337449037454922</v>
      </c>
      <c r="F47" s="4">
        <v>-1.6554850339889533</v>
      </c>
      <c r="G47" s="4">
        <v>60.854037037037045</v>
      </c>
      <c r="H47" s="4">
        <v>-0.27499165432527634</v>
      </c>
      <c r="I47" s="4">
        <v>108.02458537708631</v>
      </c>
      <c r="J47" s="4">
        <v>79.114567184448248</v>
      </c>
      <c r="K47" s="4">
        <v>12.535652440786363</v>
      </c>
      <c r="L47" s="4">
        <v>-0.85735599944988905</v>
      </c>
      <c r="M47" s="4">
        <v>-1.2677856683731084</v>
      </c>
      <c r="N47" s="4">
        <v>-1.2059673319260285</v>
      </c>
      <c r="O47" s="4">
        <v>-0.48531914750734995</v>
      </c>
    </row>
    <row r="48" spans="1:15" x14ac:dyDescent="0.3">
      <c r="A48" s="6" t="s">
        <v>122</v>
      </c>
      <c r="B48" s="4">
        <v>0.46729696871419257</v>
      </c>
      <c r="C48" s="4">
        <v>6.1447128715285215</v>
      </c>
      <c r="D48" s="4">
        <v>15.714788309813942</v>
      </c>
      <c r="E48" s="4">
        <v>3.1044314843068395</v>
      </c>
      <c r="F48" s="4">
        <v>-1.2024508118629449</v>
      </c>
      <c r="G48" s="4">
        <v>55.174518518518532</v>
      </c>
      <c r="H48" s="4">
        <v>-2.1516317923863739</v>
      </c>
      <c r="I48" s="4">
        <v>109.68691312349762</v>
      </c>
      <c r="J48" s="4">
        <v>93.56845885056714</v>
      </c>
      <c r="K48" s="4">
        <v>48.267352485656758</v>
      </c>
      <c r="L48" s="4">
        <v>-1.4495875934759779</v>
      </c>
      <c r="M48" s="4">
        <v>-1.5190175473690035</v>
      </c>
      <c r="N48" s="4"/>
      <c r="O48" s="4">
        <v>-1.434362103541692</v>
      </c>
    </row>
    <row r="49" spans="1:15" x14ac:dyDescent="0.3">
      <c r="A49" s="6" t="s">
        <v>124</v>
      </c>
      <c r="B49" s="4">
        <v>-0.76685751239843336</v>
      </c>
      <c r="C49" s="4">
        <v>7.6487430311614721</v>
      </c>
      <c r="D49" s="4">
        <v>34.971849524130981</v>
      </c>
      <c r="E49" s="4">
        <v>2.8751130419897253</v>
      </c>
      <c r="F49" s="4">
        <v>-0.32221308847268476</v>
      </c>
      <c r="G49" s="4">
        <v>58.835074074074086</v>
      </c>
      <c r="H49" s="4">
        <v>-0.67157251162764975</v>
      </c>
      <c r="I49" s="4">
        <v>102.23933846609927</v>
      </c>
      <c r="J49" s="4">
        <v>92.254179495352247</v>
      </c>
      <c r="K49" s="4">
        <v>49.526064554850294</v>
      </c>
      <c r="L49" s="4">
        <v>-1.1947402631243076</v>
      </c>
      <c r="M49" s="4">
        <v>-1.2518736720085135</v>
      </c>
      <c r="N49" s="4">
        <v>0.5004368660350641</v>
      </c>
      <c r="O49" s="4">
        <v>-1.1353800843159361</v>
      </c>
    </row>
    <row r="50" spans="1:15" x14ac:dyDescent="0.3">
      <c r="A50" s="6" t="s">
        <v>126</v>
      </c>
      <c r="B50" s="4">
        <v>2.513508266730291</v>
      </c>
      <c r="C50" s="4">
        <v>8.8345754646833967</v>
      </c>
      <c r="D50" s="4">
        <v>19.484288378865138</v>
      </c>
      <c r="E50" s="4">
        <v>1.4118084118906586</v>
      </c>
      <c r="F50" s="4">
        <v>0.27578656158099552</v>
      </c>
      <c r="G50" s="4">
        <v>78.340222222222209</v>
      </c>
      <c r="H50" s="4">
        <v>0.67705353970328985</v>
      </c>
      <c r="I50" s="4">
        <v>148.09909820556646</v>
      </c>
      <c r="J50" s="4">
        <v>107.88845062255849</v>
      </c>
      <c r="K50" s="4">
        <v>19.283001679640559</v>
      </c>
      <c r="L50" s="4">
        <v>0.56095784405867266</v>
      </c>
      <c r="M50" s="4">
        <v>0.5730249981085459</v>
      </c>
      <c r="N50" s="4">
        <v>-1.013622645288706</v>
      </c>
      <c r="O50" s="4">
        <v>1.053203945358594</v>
      </c>
    </row>
    <row r="51" spans="1:15" x14ac:dyDescent="0.3">
      <c r="A51" s="6" t="s">
        <v>128</v>
      </c>
      <c r="B51" s="4">
        <v>1.3080166540101912</v>
      </c>
      <c r="C51" s="4">
        <v>7.4448981164304113</v>
      </c>
      <c r="D51" s="4">
        <v>18.682952945432696</v>
      </c>
      <c r="E51" s="4">
        <v>2.5467415003471849</v>
      </c>
      <c r="F51" s="4">
        <v>-0.88630609773099456</v>
      </c>
      <c r="G51" s="4">
        <v>54.350074074074065</v>
      </c>
      <c r="H51" s="4">
        <v>-1.2378576872870324</v>
      </c>
      <c r="I51" s="4">
        <v>101.50554729643314</v>
      </c>
      <c r="J51" s="4">
        <v>93.930293655395516</v>
      </c>
      <c r="K51" s="4">
        <v>31.052102327346795</v>
      </c>
      <c r="L51" s="4">
        <v>-0.77235408624013324</v>
      </c>
      <c r="M51" s="4">
        <v>-0.61731690478821599</v>
      </c>
      <c r="N51" s="4">
        <v>8.1630564838026984E-2</v>
      </c>
      <c r="O51" s="4">
        <v>-0.77897927723824933</v>
      </c>
    </row>
    <row r="52" spans="1:15" x14ac:dyDescent="0.3">
      <c r="A52" s="6" t="s">
        <v>130</v>
      </c>
      <c r="B52" s="4">
        <v>3.0887277879133146</v>
      </c>
      <c r="C52" s="4">
        <v>8.8964429642071057</v>
      </c>
      <c r="D52" s="4">
        <v>21.456077743042499</v>
      </c>
      <c r="E52" s="4">
        <v>-0.6706277028100045</v>
      </c>
      <c r="F52" s="4">
        <v>0.46999866686140507</v>
      </c>
      <c r="G52" s="4">
        <v>75.61083107497744</v>
      </c>
      <c r="H52" s="4">
        <v>0.55476514855399728</v>
      </c>
      <c r="I52" s="4">
        <v>99.534515380859418</v>
      </c>
      <c r="J52" s="4">
        <v>96.522403717040973</v>
      </c>
      <c r="K52" s="4">
        <v>51.422262538563125</v>
      </c>
      <c r="L52" s="4">
        <v>3.5110513136411683E-2</v>
      </c>
      <c r="M52" s="4">
        <v>0.33765799303849531</v>
      </c>
      <c r="N52" s="4">
        <v>-0.74579874426126436</v>
      </c>
      <c r="O52" s="4">
        <v>0.46350857739647228</v>
      </c>
    </row>
    <row r="53" spans="1:15" x14ac:dyDescent="0.3">
      <c r="A53" s="6" t="s">
        <v>132</v>
      </c>
      <c r="B53" s="4">
        <v>3.006021091786315</v>
      </c>
      <c r="C53" s="4">
        <v>8.1162607851771895</v>
      </c>
      <c r="D53" s="4">
        <v>9.7640577572859453</v>
      </c>
      <c r="E53" s="4">
        <v>0.10504727948611549</v>
      </c>
      <c r="F53" s="4">
        <v>-0.32861936489158933</v>
      </c>
      <c r="G53" s="4">
        <v>76.810888888888911</v>
      </c>
      <c r="H53" s="4">
        <v>0.42467795277480036</v>
      </c>
      <c r="I53" s="4">
        <v>101.72619939733423</v>
      </c>
      <c r="J53" s="4">
        <v>97.732341625072294</v>
      </c>
      <c r="K53" s="4">
        <v>50.902378011632848</v>
      </c>
      <c r="L53" s="4">
        <v>0.18608776961142823</v>
      </c>
      <c r="M53" s="4">
        <v>-1.4367847144603736</v>
      </c>
      <c r="N53" s="4">
        <v>0.93126446505387583</v>
      </c>
      <c r="O53" s="4">
        <v>-1.6014569600423163</v>
      </c>
    </row>
    <row r="54" spans="1:15" x14ac:dyDescent="0.3">
      <c r="A54" s="6" t="s">
        <v>134</v>
      </c>
      <c r="B54" s="4" t="s">
        <v>37</v>
      </c>
      <c r="C54" s="4" t="s">
        <v>37</v>
      </c>
      <c r="D54" s="4">
        <v>27.893034012204975</v>
      </c>
      <c r="E54" s="4">
        <v>0.13010667852995192</v>
      </c>
      <c r="F54" s="4">
        <v>1.151938930153847</v>
      </c>
      <c r="G54" s="4">
        <v>74.986319290465644</v>
      </c>
      <c r="H54" s="4" t="s">
        <v>37</v>
      </c>
      <c r="I54" s="4">
        <v>103.66583421495217</v>
      </c>
      <c r="J54" s="4">
        <v>102.06227535671663</v>
      </c>
      <c r="K54" s="4">
        <v>63.694100697835289</v>
      </c>
      <c r="L54" s="4" t="s">
        <v>37</v>
      </c>
      <c r="M54" s="4" t="s">
        <v>37</v>
      </c>
      <c r="N54" s="4">
        <v>0.95421065886815359</v>
      </c>
      <c r="O54" s="4" t="s">
        <v>37</v>
      </c>
    </row>
    <row r="55" spans="1:15" x14ac:dyDescent="0.3">
      <c r="A55" s="6" t="s">
        <v>136</v>
      </c>
      <c r="B55" s="4">
        <v>1.688505878251112</v>
      </c>
      <c r="C55" s="4">
        <v>9.8757346908674339</v>
      </c>
      <c r="D55" s="4">
        <v>20.487526691089617</v>
      </c>
      <c r="E55" s="4">
        <v>1.4050360703920581</v>
      </c>
      <c r="F55" s="4">
        <v>0.90859836836656005</v>
      </c>
      <c r="G55" s="4">
        <v>78.85488888888888</v>
      </c>
      <c r="H55" s="4">
        <v>0.47913135215640068</v>
      </c>
      <c r="I55" s="4">
        <v>47.79826411494502</v>
      </c>
      <c r="J55" s="4">
        <v>29.626817398071292</v>
      </c>
      <c r="K55" s="4">
        <v>1.8603226949771239</v>
      </c>
      <c r="L55" s="4">
        <v>0.91918926810224788</v>
      </c>
      <c r="M55" s="4">
        <v>1.125774219632149</v>
      </c>
      <c r="N55" s="4">
        <v>1.8998708029588054</v>
      </c>
      <c r="O55" s="4">
        <v>1.0111689344048498</v>
      </c>
    </row>
    <row r="56" spans="1:15" x14ac:dyDescent="0.3">
      <c r="A56" s="6" t="s">
        <v>138</v>
      </c>
      <c r="B56" s="4">
        <v>2.2089034629583892</v>
      </c>
      <c r="C56" s="4">
        <v>9.325377424446744</v>
      </c>
      <c r="D56" s="4">
        <v>28.431804605276216</v>
      </c>
      <c r="E56" s="4">
        <v>0.1151252935029566</v>
      </c>
      <c r="F56" s="4">
        <v>1.9949622452259066</v>
      </c>
      <c r="G56" s="4">
        <v>76.67018066847335</v>
      </c>
      <c r="H56" s="4">
        <v>0.94670983776450146</v>
      </c>
      <c r="I56" s="4">
        <v>105.74501634680706</v>
      </c>
      <c r="J56" s="4">
        <v>105.673040691175</v>
      </c>
      <c r="K56" s="4" t="s">
        <v>37</v>
      </c>
      <c r="L56" s="4">
        <v>0.44749744857350987</v>
      </c>
      <c r="M56" s="4">
        <v>1.131395551065604</v>
      </c>
      <c r="N56" s="4">
        <v>-0.88744256397088384</v>
      </c>
      <c r="O56" s="4">
        <v>0.97204656402269995</v>
      </c>
    </row>
    <row r="57" spans="1:15" x14ac:dyDescent="0.3">
      <c r="A57" s="6" t="s">
        <v>140</v>
      </c>
      <c r="B57" s="4">
        <v>1.2360883056694583</v>
      </c>
      <c r="C57" s="4">
        <v>10.676144608611429</v>
      </c>
      <c r="D57" s="4">
        <v>20.807551586619432</v>
      </c>
      <c r="E57" s="4">
        <v>0.44864493847770165</v>
      </c>
      <c r="F57" s="4">
        <v>-0.90152479459842061</v>
      </c>
      <c r="G57" s="4">
        <v>78.642475158084906</v>
      </c>
      <c r="H57" s="4">
        <v>1.0694790557026865</v>
      </c>
      <c r="I57" s="4">
        <v>100.27587768554682</v>
      </c>
      <c r="J57" s="4">
        <v>125.42091487004215</v>
      </c>
      <c r="K57" s="4">
        <v>72.282714110154373</v>
      </c>
      <c r="L57" s="4">
        <v>2.3091208239396419</v>
      </c>
      <c r="M57" s="4">
        <v>1.7534288664658881</v>
      </c>
      <c r="N57" s="4">
        <v>0.72506797313690186</v>
      </c>
      <c r="O57" s="4">
        <v>1.5698434611161547</v>
      </c>
    </row>
    <row r="58" spans="1:15" x14ac:dyDescent="0.3">
      <c r="A58" s="6" t="s">
        <v>142</v>
      </c>
      <c r="B58" s="4" t="s">
        <v>37</v>
      </c>
      <c r="C58" s="4" t="s">
        <v>37</v>
      </c>
      <c r="D58" s="4">
        <v>28.454183405668978</v>
      </c>
      <c r="E58" s="4">
        <v>2.0947494176151809</v>
      </c>
      <c r="F58" s="4">
        <v>0.40929534348348778</v>
      </c>
      <c r="G58" s="4">
        <v>59.432037037037055</v>
      </c>
      <c r="H58" s="4">
        <v>-0.31838734479000164</v>
      </c>
      <c r="I58" s="4">
        <v>108.05088269269029</v>
      </c>
      <c r="J58" s="4">
        <v>73.378681846286938</v>
      </c>
      <c r="K58" s="4">
        <v>50.165856497628333</v>
      </c>
      <c r="L58" s="4">
        <v>-0.61709194257855415</v>
      </c>
      <c r="M58" s="4">
        <v>-0.74347208067774762</v>
      </c>
      <c r="N58" s="4">
        <v>-0.53806777515759074</v>
      </c>
      <c r="O58" s="4">
        <v>-1.2020426938931139</v>
      </c>
    </row>
    <row r="59" spans="1:15" x14ac:dyDescent="0.3">
      <c r="A59" s="6" t="s">
        <v>144</v>
      </c>
      <c r="B59" s="4">
        <v>1.0754384638753889</v>
      </c>
      <c r="C59" s="4">
        <v>8.6122344587694748</v>
      </c>
      <c r="D59" s="4" t="s">
        <v>37</v>
      </c>
      <c r="E59" s="4">
        <v>0.17813655519273558</v>
      </c>
      <c r="F59" s="4">
        <v>-0.44736435614565079</v>
      </c>
      <c r="G59" s="4">
        <v>71.468444444444444</v>
      </c>
      <c r="H59" s="4">
        <v>0.9439052479962512</v>
      </c>
      <c r="I59" s="4">
        <v>109.11002595084052</v>
      </c>
      <c r="J59" s="4">
        <v>78.364137088551246</v>
      </c>
      <c r="K59" s="4">
        <v>32.154688676198326</v>
      </c>
      <c r="L59" s="4">
        <v>0.7086138824621836</v>
      </c>
      <c r="M59" s="4">
        <v>0.50996858750780427</v>
      </c>
      <c r="N59" s="4">
        <v>-0.80790998538335179</v>
      </c>
      <c r="O59" s="4">
        <v>0.96337550878524825</v>
      </c>
    </row>
    <row r="60" spans="1:15" x14ac:dyDescent="0.3">
      <c r="A60" s="6" t="s">
        <v>146</v>
      </c>
      <c r="B60" s="4">
        <v>3.6481516525041169</v>
      </c>
      <c r="C60" s="4">
        <v>8.1072998199190121</v>
      </c>
      <c r="D60" s="4">
        <v>24.265602735238165</v>
      </c>
      <c r="E60" s="4">
        <v>1.3362855602201054</v>
      </c>
      <c r="F60" s="4">
        <v>-0.5851037067671615</v>
      </c>
      <c r="G60" s="4">
        <v>71.328666666666663</v>
      </c>
      <c r="H60" s="4">
        <v>1.4918256319409342E-2</v>
      </c>
      <c r="I60" s="4">
        <v>107.37751388549806</v>
      </c>
      <c r="J60" s="4">
        <v>81.132175445556683</v>
      </c>
      <c r="K60" s="4">
        <v>39.267264472113716</v>
      </c>
      <c r="L60" s="4">
        <v>-0.73873630041877425</v>
      </c>
      <c r="M60" s="4">
        <v>-0.1227864404208958</v>
      </c>
      <c r="N60" s="4">
        <v>-0.27321077659629128</v>
      </c>
      <c r="O60" s="4">
        <v>0.14612332390000429</v>
      </c>
    </row>
    <row r="61" spans="1:15" x14ac:dyDescent="0.3">
      <c r="A61" s="6" t="s">
        <v>148</v>
      </c>
      <c r="B61" s="4">
        <v>0.91279569196918153</v>
      </c>
      <c r="C61" s="4">
        <v>8.3834946342740491</v>
      </c>
      <c r="D61" s="4">
        <v>21.968069717472417</v>
      </c>
      <c r="E61" s="4">
        <v>1.6479159343888079</v>
      </c>
      <c r="F61" s="4">
        <v>-0.44090901625653117</v>
      </c>
      <c r="G61" s="4">
        <v>74.507999999999996</v>
      </c>
      <c r="H61" s="4">
        <v>-0.47472040890716016</v>
      </c>
      <c r="I61" s="4">
        <v>93.36800170898438</v>
      </c>
      <c r="J61" s="4">
        <v>76.212646484375</v>
      </c>
      <c r="K61" s="4">
        <v>30.41580636160716</v>
      </c>
      <c r="L61" s="4">
        <v>-0.67541853835185373</v>
      </c>
      <c r="M61" s="4">
        <v>-0.83403023301313295</v>
      </c>
      <c r="N61" s="4">
        <v>-0.71723533918460214</v>
      </c>
      <c r="O61" s="4">
        <v>-0.14760671821810925</v>
      </c>
    </row>
    <row r="62" spans="1:15" x14ac:dyDescent="0.3">
      <c r="A62" s="6" t="s">
        <v>150</v>
      </c>
      <c r="B62" s="4">
        <v>2.4574933733261695</v>
      </c>
      <c r="C62" s="4">
        <v>7.6605291914959608</v>
      </c>
      <c r="D62" s="4">
        <v>17.730116575551826</v>
      </c>
      <c r="E62" s="4">
        <v>2.0352522771069581</v>
      </c>
      <c r="F62" s="4">
        <v>-0.3340922773738082</v>
      </c>
      <c r="G62" s="4">
        <v>69.248037037037022</v>
      </c>
      <c r="H62" s="4">
        <v>-0.93657243810594071</v>
      </c>
      <c r="I62" s="4">
        <v>82.167818387349442</v>
      </c>
      <c r="J62" s="4">
        <v>43.060836957848593</v>
      </c>
      <c r="K62" s="4">
        <v>2.4875276822310233</v>
      </c>
      <c r="L62" s="4">
        <v>-0.59553920725981391</v>
      </c>
      <c r="M62" s="4">
        <v>-0.48225338679427904</v>
      </c>
      <c r="N62" s="4">
        <v>-1.2063314939538632</v>
      </c>
      <c r="O62" s="4">
        <v>-1.1527549251914027</v>
      </c>
    </row>
    <row r="63" spans="1:15" x14ac:dyDescent="0.3">
      <c r="A63" s="6" t="s">
        <v>152</v>
      </c>
      <c r="B63" s="4">
        <v>1.6082502274383792</v>
      </c>
      <c r="C63" s="4">
        <v>7.9302238240824225</v>
      </c>
      <c r="D63" s="4">
        <v>17.085280117720046</v>
      </c>
      <c r="E63" s="4">
        <v>0.38237677312381918</v>
      </c>
      <c r="F63" s="4">
        <v>-1.1869837765892346</v>
      </c>
      <c r="G63" s="4">
        <v>70.62155555555556</v>
      </c>
      <c r="H63" s="4">
        <v>-3.5005994645568202E-2</v>
      </c>
      <c r="I63" s="4">
        <v>103.62418224193436</v>
      </c>
      <c r="J63" s="4">
        <v>118.67587675871681</v>
      </c>
      <c r="K63" s="4">
        <v>72.715110637523509</v>
      </c>
      <c r="L63" s="4">
        <v>-0.50819305144250404</v>
      </c>
      <c r="M63" s="4">
        <v>-2.3381094712628114E-3</v>
      </c>
      <c r="N63" s="4">
        <v>-1.2769997740785277</v>
      </c>
      <c r="O63" s="4">
        <v>3.8960988051257951E-2</v>
      </c>
    </row>
    <row r="64" spans="1:15" x14ac:dyDescent="0.3">
      <c r="A64" s="6" t="s">
        <v>154</v>
      </c>
      <c r="B64" s="4">
        <v>8.6759093381620911</v>
      </c>
      <c r="C64" s="4">
        <v>6.4439408575251296</v>
      </c>
      <c r="D64" s="4">
        <v>29.523012835240277</v>
      </c>
      <c r="E64" s="4">
        <v>4.0427114026564785</v>
      </c>
      <c r="F64" s="4">
        <v>-1.415767212708791</v>
      </c>
      <c r="G64" s="4">
        <v>56.783222222222228</v>
      </c>
      <c r="H64" s="4">
        <v>-4.1000558373828676E-2</v>
      </c>
      <c r="I64" s="4">
        <v>99.644168147334312</v>
      </c>
      <c r="J64" s="4">
        <v>105.02829272930444</v>
      </c>
      <c r="K64" s="4">
        <v>64.098501134801793</v>
      </c>
      <c r="L64" s="4">
        <v>-1.3824275781710937</v>
      </c>
      <c r="M64" s="4">
        <v>-1.5454005102316548</v>
      </c>
      <c r="N64" s="4">
        <v>1.0843322649598122</v>
      </c>
      <c r="O64" s="4">
        <v>-1.7992260307073586</v>
      </c>
    </row>
    <row r="65" spans="1:15" x14ac:dyDescent="0.3">
      <c r="A65" s="6" t="s">
        <v>156</v>
      </c>
      <c r="B65" s="4" t="s">
        <v>37</v>
      </c>
      <c r="C65" s="4">
        <v>6.629836753003441</v>
      </c>
      <c r="D65" s="4">
        <v>22.735535278346163</v>
      </c>
      <c r="E65" s="4">
        <v>2.1065473457641262</v>
      </c>
      <c r="F65" s="4">
        <v>1.0003968079884846</v>
      </c>
      <c r="G65" s="4">
        <v>61.219222222222214</v>
      </c>
      <c r="H65" s="4">
        <v>-0.79042518635590897</v>
      </c>
      <c r="I65" s="4">
        <v>77.763463633401059</v>
      </c>
      <c r="J65" s="4">
        <v>25.114743282920436</v>
      </c>
      <c r="K65" s="4">
        <v>4.6314978057687926</v>
      </c>
      <c r="L65" s="4">
        <v>-0.61449709969262278</v>
      </c>
      <c r="M65" s="4">
        <v>-1.9223327885071442</v>
      </c>
      <c r="N65" s="4">
        <v>-0.54117379834254586</v>
      </c>
      <c r="O65" s="4">
        <v>-2.0053498397270828</v>
      </c>
    </row>
    <row r="66" spans="1:15" x14ac:dyDescent="0.3">
      <c r="A66" s="6" t="s">
        <v>158</v>
      </c>
      <c r="B66" s="4">
        <v>4.1040385993609263</v>
      </c>
      <c r="C66" s="4">
        <v>8.8731221657958148</v>
      </c>
      <c r="D66" s="4">
        <v>28.255586641778212</v>
      </c>
      <c r="E66" s="4">
        <v>-0.28897110325498548</v>
      </c>
      <c r="F66" s="4">
        <v>-0.59565083930889751</v>
      </c>
      <c r="G66" s="4">
        <v>73.910252935862701</v>
      </c>
      <c r="H66" s="4">
        <v>0.69658133139212941</v>
      </c>
      <c r="I66" s="4">
        <v>99.710038644296162</v>
      </c>
      <c r="J66" s="4">
        <v>126.94173459653501</v>
      </c>
      <c r="K66" s="4">
        <v>88.133770412868941</v>
      </c>
      <c r="L66" s="4">
        <v>1.1015891556938486</v>
      </c>
      <c r="M66" s="4">
        <v>1.4187433918317154</v>
      </c>
      <c r="N66" s="4">
        <v>-0.69931825374563539</v>
      </c>
      <c r="O66" s="4">
        <v>1.1107680251201002</v>
      </c>
    </row>
    <row r="67" spans="1:15" x14ac:dyDescent="0.3">
      <c r="A67" s="6" t="s">
        <v>160</v>
      </c>
      <c r="B67" s="4">
        <v>2.1419387388291744</v>
      </c>
      <c r="C67" s="4">
        <v>7.7250661923163104</v>
      </c>
      <c r="D67" s="4">
        <v>15.681986093100775</v>
      </c>
      <c r="E67" s="4">
        <v>0.82528422454541228</v>
      </c>
      <c r="F67" s="4">
        <v>-0.73807247479756655</v>
      </c>
      <c r="G67" s="4">
        <v>50.292999999999999</v>
      </c>
      <c r="H67" s="4">
        <v>-0.21351668221177533</v>
      </c>
      <c r="I67" s="4">
        <v>100.21374218280494</v>
      </c>
      <c r="J67" s="4">
        <v>81.683897109258737</v>
      </c>
      <c r="K67" s="4">
        <v>23.5223453044891</v>
      </c>
      <c r="L67" s="4">
        <v>-0.18138265951226154</v>
      </c>
      <c r="M67" s="4">
        <v>-0.37513070615629357</v>
      </c>
      <c r="N67" s="4">
        <v>-0.16318604206511128</v>
      </c>
      <c r="O67" s="4">
        <v>-1.3533340046803151</v>
      </c>
    </row>
    <row r="68" spans="1:15" x14ac:dyDescent="0.3">
      <c r="A68" s="6" t="s">
        <v>162</v>
      </c>
      <c r="B68" s="4">
        <v>4.799664402473014</v>
      </c>
      <c r="C68" s="4">
        <v>5.4880356207679952</v>
      </c>
      <c r="D68" s="4">
        <v>34.306804240777673</v>
      </c>
      <c r="E68" s="4">
        <v>2.8454348764289774</v>
      </c>
      <c r="F68" s="4">
        <v>-0.19123877309417978</v>
      </c>
      <c r="G68" s="4">
        <v>57.358666666666672</v>
      </c>
      <c r="H68" s="4">
        <v>-1.4995536531011258</v>
      </c>
      <c r="I68" s="4">
        <v>103.16721259223098</v>
      </c>
      <c r="J68" s="4">
        <v>105.87896163375278</v>
      </c>
      <c r="K68" s="4">
        <v>57.225260981807004</v>
      </c>
      <c r="L68" s="4">
        <v>-0.62644812340537703</v>
      </c>
      <c r="M68" s="4">
        <v>-1.053574346005917</v>
      </c>
      <c r="N68" s="4">
        <v>1.9727722009023034</v>
      </c>
      <c r="O68" s="4">
        <v>-1.2083180944124865</v>
      </c>
    </row>
    <row r="69" spans="1:15" x14ac:dyDescent="0.3">
      <c r="A69" s="6" t="s">
        <v>164</v>
      </c>
      <c r="B69" s="4" t="s">
        <v>37</v>
      </c>
      <c r="C69" s="4" t="s">
        <v>37</v>
      </c>
      <c r="D69" s="4" t="s">
        <v>37</v>
      </c>
      <c r="E69" s="4">
        <v>0.6600932258896044</v>
      </c>
      <c r="F69" s="4">
        <v>2.0322501063346841</v>
      </c>
      <c r="G69" s="4">
        <v>80.243631436314374</v>
      </c>
      <c r="H69" s="4" t="s">
        <v>37</v>
      </c>
      <c r="I69" s="4" t="s">
        <v>37</v>
      </c>
      <c r="J69" s="4" t="s">
        <v>37</v>
      </c>
      <c r="K69" s="4" t="s">
        <v>37</v>
      </c>
      <c r="L69" s="4" t="s">
        <v>37</v>
      </c>
      <c r="M69" s="4" t="s">
        <v>37</v>
      </c>
      <c r="N69" s="4">
        <v>1.3902327517668407</v>
      </c>
      <c r="O69" s="4" t="s">
        <v>37</v>
      </c>
    </row>
    <row r="70" spans="1:15" x14ac:dyDescent="0.3">
      <c r="A70" s="6" t="s">
        <v>166</v>
      </c>
      <c r="B70" s="4">
        <v>1.2628376839420197</v>
      </c>
      <c r="C70" s="4">
        <v>8.2390860797773744</v>
      </c>
      <c r="D70" s="4">
        <v>19.650594080757958</v>
      </c>
      <c r="E70" s="4">
        <v>0.57815734524380624</v>
      </c>
      <c r="F70" s="4">
        <v>1.4456469664971034</v>
      </c>
      <c r="G70" s="4">
        <v>66.953444444444443</v>
      </c>
      <c r="H70" s="4">
        <v>0.39033469852680963</v>
      </c>
      <c r="I70" s="4">
        <v>98.398497361403216</v>
      </c>
      <c r="J70" s="4">
        <v>86.345623016357393</v>
      </c>
      <c r="K70" s="4" t="s">
        <v>37</v>
      </c>
      <c r="L70" s="4">
        <v>0.33546735998243088</v>
      </c>
      <c r="M70" s="4">
        <v>-0.28374307932487369</v>
      </c>
      <c r="N70" s="4">
        <v>1.017753913998604</v>
      </c>
      <c r="O70" s="4">
        <v>-0.27599281988417101</v>
      </c>
    </row>
    <row r="71" spans="1:15" x14ac:dyDescent="0.3">
      <c r="A71" s="6" t="s">
        <v>168</v>
      </c>
      <c r="B71" s="4">
        <v>1.6819478219038508</v>
      </c>
      <c r="C71" s="4">
        <v>10.306045036730406</v>
      </c>
      <c r="D71" s="4">
        <v>22.616006547709105</v>
      </c>
      <c r="E71" s="4">
        <v>0.31409725419440498</v>
      </c>
      <c r="F71" s="4">
        <v>1.0381167804201443</v>
      </c>
      <c r="G71" s="4">
        <v>79.512195121951237</v>
      </c>
      <c r="H71" s="4">
        <v>1.3199658890565236</v>
      </c>
      <c r="I71" s="4" t="s">
        <v>37</v>
      </c>
      <c r="J71" s="4">
        <v>48.596689496721531</v>
      </c>
      <c r="K71" s="4">
        <v>10.353532910346992</v>
      </c>
      <c r="L71" s="4">
        <v>2.253437538941701</v>
      </c>
      <c r="M71" s="4">
        <v>1.7731424123048789</v>
      </c>
      <c r="N71" s="4">
        <v>-0.55036712748308969</v>
      </c>
      <c r="O71" s="4">
        <v>1.5572777787844336</v>
      </c>
    </row>
    <row r="72" spans="1:15" x14ac:dyDescent="0.3">
      <c r="A72" s="6" t="s">
        <v>170</v>
      </c>
      <c r="B72" s="4">
        <v>0.99072551633061501</v>
      </c>
      <c r="C72" s="4">
        <v>10.300420657363505</v>
      </c>
      <c r="D72" s="4">
        <v>21.985984206283359</v>
      </c>
      <c r="E72" s="4">
        <v>0.48575480066264654</v>
      </c>
      <c r="F72" s="4">
        <v>-0.74452242441475402</v>
      </c>
      <c r="G72" s="4">
        <v>80.7777777777778</v>
      </c>
      <c r="H72" s="4">
        <v>0.43774330934199196</v>
      </c>
      <c r="I72" s="4">
        <v>102.2315390904745</v>
      </c>
      <c r="J72" s="4">
        <v>106.51970115074752</v>
      </c>
      <c r="K72" s="4">
        <v>59.605974126745153</v>
      </c>
      <c r="L72" s="4">
        <v>1.3294835736354205</v>
      </c>
      <c r="M72" s="4">
        <v>1.1579755966862053</v>
      </c>
      <c r="N72" s="4">
        <v>-0.40955680965756375</v>
      </c>
      <c r="O72" s="4">
        <v>1.2115315993626921</v>
      </c>
    </row>
    <row r="73" spans="1:15" x14ac:dyDescent="0.3">
      <c r="A73" s="6" t="s">
        <v>172</v>
      </c>
      <c r="B73" s="4">
        <v>-0.49667180903275598</v>
      </c>
      <c r="C73" s="4">
        <v>10.000356873448569</v>
      </c>
      <c r="D73" s="4">
        <v>21.363173383278301</v>
      </c>
      <c r="E73" s="4">
        <v>1.059094759613344</v>
      </c>
      <c r="F73" s="4">
        <v>-0.69177870576580369</v>
      </c>
      <c r="G73" s="4">
        <v>80.385259259259257</v>
      </c>
      <c r="H73" s="4" t="s">
        <v>37</v>
      </c>
      <c r="I73" s="4">
        <v>102.33266857692179</v>
      </c>
      <c r="J73" s="4">
        <v>96.808917999267521</v>
      </c>
      <c r="K73" s="4">
        <v>49.050262451171875</v>
      </c>
      <c r="L73" s="4" t="s">
        <v>37</v>
      </c>
      <c r="M73" s="4" t="s">
        <v>37</v>
      </c>
      <c r="N73" s="4" t="s">
        <v>37</v>
      </c>
      <c r="O73" s="4" t="s">
        <v>37</v>
      </c>
    </row>
    <row r="74" spans="1:15" x14ac:dyDescent="0.3">
      <c r="A74" s="6" t="s">
        <v>174</v>
      </c>
      <c r="B74" s="4">
        <v>-0.92262439367560845</v>
      </c>
      <c r="C74" s="4">
        <v>9.0506901655816367</v>
      </c>
      <c r="D74" s="4">
        <v>25.05341806046761</v>
      </c>
      <c r="E74" s="4">
        <v>2.7906659098474336</v>
      </c>
      <c r="F74" s="4">
        <v>0.16349905605117479</v>
      </c>
      <c r="G74" s="4">
        <v>63.299518518518525</v>
      </c>
      <c r="H74" s="4">
        <v>0.17963686519457653</v>
      </c>
      <c r="I74" s="4">
        <v>90.087460021972632</v>
      </c>
      <c r="J74" s="4">
        <v>50.975727164227031</v>
      </c>
      <c r="K74" s="4">
        <v>13.06001290153054</v>
      </c>
      <c r="L74" s="4">
        <v>-0.8498075405756631</v>
      </c>
      <c r="M74" s="4">
        <v>-0.45658321895947057</v>
      </c>
      <c r="N74" s="4">
        <v>1.6427566111087792</v>
      </c>
      <c r="O74" s="4">
        <v>-0.81904157996177684</v>
      </c>
    </row>
    <row r="75" spans="1:15" x14ac:dyDescent="0.3">
      <c r="A75" s="6" t="s">
        <v>176</v>
      </c>
      <c r="B75" s="4">
        <v>0.3307911112786055</v>
      </c>
      <c r="C75" s="4">
        <v>6.4305144548586526</v>
      </c>
      <c r="D75" s="4">
        <v>15.067814278400229</v>
      </c>
      <c r="E75" s="4">
        <v>2.8866332998066047</v>
      </c>
      <c r="F75" s="4">
        <v>1.5525249491135273</v>
      </c>
      <c r="G75" s="4">
        <v>59.767148148148145</v>
      </c>
      <c r="H75" s="4">
        <v>0.1368167103222126</v>
      </c>
      <c r="I75" s="4">
        <v>126.64257939656558</v>
      </c>
      <c r="J75" s="4">
        <v>114.57732946222478</v>
      </c>
      <c r="K75" s="4" t="s">
        <v>37</v>
      </c>
      <c r="L75" s="4">
        <v>-0.53877541422843933</v>
      </c>
      <c r="M75" s="4">
        <v>-0.55705204109350837</v>
      </c>
      <c r="N75" s="4">
        <v>-2.3500415273398786E-2</v>
      </c>
      <c r="O75" s="4">
        <v>-0.83454590368395143</v>
      </c>
    </row>
    <row r="76" spans="1:15" x14ac:dyDescent="0.3">
      <c r="A76" s="6" t="s">
        <v>178</v>
      </c>
      <c r="B76" s="4">
        <v>6.345221127582712</v>
      </c>
      <c r="C76" s="4">
        <v>6.9402264003074405</v>
      </c>
      <c r="D76" s="4">
        <v>22.69240059449249</v>
      </c>
      <c r="E76" s="4">
        <v>-0.94427716159705677</v>
      </c>
      <c r="F76" s="4">
        <v>-0.15913846630913517</v>
      </c>
      <c r="G76" s="4">
        <v>71.375814814814802</v>
      </c>
      <c r="H76" s="4">
        <v>-0.74428281684716568</v>
      </c>
      <c r="I76" s="4">
        <v>79.540315839979371</v>
      </c>
      <c r="J76" s="4">
        <v>30.705295713324297</v>
      </c>
      <c r="K76" s="4">
        <v>6.7434458028186475</v>
      </c>
      <c r="L76" s="4">
        <v>3.6486575612798063E-2</v>
      </c>
      <c r="M76" s="4">
        <v>0.31753404376407462</v>
      </c>
      <c r="N76" s="4">
        <v>0.5449167136102917</v>
      </c>
      <c r="O76" s="4">
        <v>-4.9925862384649522E-2</v>
      </c>
    </row>
    <row r="77" spans="1:15" x14ac:dyDescent="0.3">
      <c r="A77" s="6" t="s">
        <v>180</v>
      </c>
      <c r="B77" s="4">
        <v>1.1754347476069515</v>
      </c>
      <c r="C77" s="4">
        <v>10.361803136077201</v>
      </c>
      <c r="D77" s="4">
        <v>20.90719561443013</v>
      </c>
      <c r="E77" s="4">
        <v>0.10200962188824382</v>
      </c>
      <c r="F77" s="4">
        <v>0.48878065310418611</v>
      </c>
      <c r="G77" s="4">
        <v>79.384588979223153</v>
      </c>
      <c r="H77" s="4">
        <v>0.84488096336523721</v>
      </c>
      <c r="I77" s="4">
        <v>76.365644182477681</v>
      </c>
      <c r="J77" s="4">
        <v>47.910783131917384</v>
      </c>
      <c r="K77" s="4">
        <v>1.8015100161234525</v>
      </c>
      <c r="L77" s="4">
        <v>1.8199409941832221</v>
      </c>
      <c r="M77" s="4">
        <v>1.5723676830530167</v>
      </c>
      <c r="N77" s="4">
        <v>1.7039507627487185</v>
      </c>
      <c r="O77" s="4">
        <v>1.3841685404380162</v>
      </c>
    </row>
    <row r="78" spans="1:15" x14ac:dyDescent="0.3">
      <c r="A78" s="6" t="s">
        <v>182</v>
      </c>
      <c r="B78" s="4">
        <v>2.9311797648163607</v>
      </c>
      <c r="C78" s="4">
        <v>6.8364530648722361</v>
      </c>
      <c r="D78" s="4">
        <v>20.64124788258226</v>
      </c>
      <c r="E78" s="4">
        <v>2.4114687259561474</v>
      </c>
      <c r="F78" s="4">
        <v>0.87329689945493405</v>
      </c>
      <c r="G78" s="4">
        <v>60.70511111111113</v>
      </c>
      <c r="H78" s="4">
        <v>-1.1870023852679929E-2</v>
      </c>
      <c r="I78" s="4" t="s">
        <v>37</v>
      </c>
      <c r="J78" s="4" t="s">
        <v>37</v>
      </c>
      <c r="K78" s="4">
        <v>2.3468550443649301</v>
      </c>
      <c r="L78" s="4">
        <v>-0.15635264323403433</v>
      </c>
      <c r="M78" s="4">
        <v>-0.14210584392033823</v>
      </c>
      <c r="N78" s="4">
        <v>0.28669530960420769</v>
      </c>
      <c r="O78" s="4">
        <v>0.36027118672306341</v>
      </c>
    </row>
    <row r="79" spans="1:15" x14ac:dyDescent="0.3">
      <c r="A79" s="6" t="s">
        <v>184</v>
      </c>
      <c r="B79" s="4" t="s">
        <v>37</v>
      </c>
      <c r="C79" s="4" t="s">
        <v>37</v>
      </c>
      <c r="D79" s="4" t="s">
        <v>37</v>
      </c>
      <c r="E79" s="4">
        <v>0.64138244039680725</v>
      </c>
      <c r="F79" s="4">
        <v>0.23098738216989056</v>
      </c>
      <c r="G79" s="4">
        <v>80.757629629629633</v>
      </c>
      <c r="H79" s="4" t="s">
        <v>37</v>
      </c>
      <c r="I79" s="4">
        <v>65.889501571655273</v>
      </c>
      <c r="J79" s="4" t="s">
        <v>37</v>
      </c>
      <c r="K79" s="4">
        <v>4.4648414850234959</v>
      </c>
      <c r="L79" s="4" t="s">
        <v>37</v>
      </c>
      <c r="M79" s="4" t="s">
        <v>37</v>
      </c>
      <c r="N79" s="4" t="s">
        <v>37</v>
      </c>
      <c r="O79" s="4" t="s">
        <v>37</v>
      </c>
    </row>
    <row r="80" spans="1:15" x14ac:dyDescent="0.3">
      <c r="A80" s="6" t="s">
        <v>186</v>
      </c>
      <c r="B80" s="4">
        <v>0.89569372918330004</v>
      </c>
      <c r="C80" s="4">
        <v>9.6770106470545141</v>
      </c>
      <c r="D80" s="4">
        <v>18.045836282575085</v>
      </c>
      <c r="E80" s="4">
        <v>-2.9336927490062947E-2</v>
      </c>
      <c r="F80" s="4">
        <v>0.25520894558806156</v>
      </c>
      <c r="G80" s="4">
        <v>79.752213188798564</v>
      </c>
      <c r="H80" s="4">
        <v>0.21203850178668895</v>
      </c>
      <c r="I80" s="4">
        <v>99.990347290039097</v>
      </c>
      <c r="J80" s="4">
        <v>101.49036041259765</v>
      </c>
      <c r="K80" s="4">
        <v>92.304360548655197</v>
      </c>
      <c r="L80" s="4">
        <v>0.14105121593456696</v>
      </c>
      <c r="M80" s="4">
        <v>0.61488925230999791</v>
      </c>
      <c r="N80" s="4">
        <v>-1.0538753569126125</v>
      </c>
      <c r="O80" s="4">
        <v>0.89586101969083176</v>
      </c>
    </row>
    <row r="81" spans="1:15" x14ac:dyDescent="0.3">
      <c r="A81" s="6" t="s">
        <v>188</v>
      </c>
      <c r="B81" s="4" t="s">
        <v>37</v>
      </c>
      <c r="C81" s="4">
        <v>10.18174471862006</v>
      </c>
      <c r="D81" s="4">
        <v>30.682902609032304</v>
      </c>
      <c r="E81" s="4">
        <v>7.3939723676535632E-2</v>
      </c>
      <c r="F81" s="4">
        <v>-0.68765000626444817</v>
      </c>
      <c r="G81" s="4">
        <v>69.251833785004521</v>
      </c>
      <c r="H81" s="4">
        <v>1.8508105448314118</v>
      </c>
      <c r="I81" s="4">
        <v>104.85790053657867</v>
      </c>
      <c r="J81" s="4">
        <v>105.83004557291677</v>
      </c>
      <c r="K81" s="4">
        <v>86.549924468994163</v>
      </c>
      <c r="L81" s="4">
        <v>1.1431821584701538</v>
      </c>
      <c r="M81" s="4">
        <v>1.3415428144591199</v>
      </c>
      <c r="N81" s="4">
        <v>-1.3315532555182774</v>
      </c>
      <c r="O81" s="4">
        <v>1.2764134917940413</v>
      </c>
    </row>
    <row r="82" spans="1:15" x14ac:dyDescent="0.3">
      <c r="A82" s="6" t="s">
        <v>190</v>
      </c>
      <c r="B82" s="4">
        <v>2.0547903136987955</v>
      </c>
      <c r="C82" s="4">
        <v>8.520590731463523</v>
      </c>
      <c r="D82" s="4" t="s">
        <v>37</v>
      </c>
      <c r="E82" s="4">
        <v>0.69783831884350189</v>
      </c>
      <c r="F82" s="4">
        <v>-1.0567447940508528</v>
      </c>
      <c r="G82" s="4">
        <v>73.981407407407403</v>
      </c>
      <c r="H82" s="4">
        <v>0.74639604364832224</v>
      </c>
      <c r="I82" s="4" t="s">
        <v>37</v>
      </c>
      <c r="J82" s="4" t="e">
        <v>#DIV/0!</v>
      </c>
      <c r="K82" s="4" t="s">
        <v>37</v>
      </c>
      <c r="L82" s="4">
        <v>0.56273271391789115</v>
      </c>
      <c r="M82" s="4">
        <v>0.24337385346492132</v>
      </c>
      <c r="N82" s="4">
        <v>-1.389901250600815</v>
      </c>
      <c r="O82" s="4">
        <v>0.7301711464921633</v>
      </c>
    </row>
    <row r="83" spans="1:15" x14ac:dyDescent="0.3">
      <c r="A83" s="6" t="s">
        <v>192</v>
      </c>
      <c r="B83" s="4" t="s">
        <v>37</v>
      </c>
      <c r="C83" s="4" t="s">
        <v>37</v>
      </c>
      <c r="D83" s="4" t="s">
        <v>37</v>
      </c>
      <c r="E83" s="4">
        <v>0.53581699798571192</v>
      </c>
      <c r="F83" s="4">
        <v>-1.3404590561985976</v>
      </c>
      <c r="G83" s="4">
        <v>76.117407407407413</v>
      </c>
      <c r="H83" s="4">
        <v>0.6920134174196344</v>
      </c>
      <c r="I83" s="4">
        <v>104.13895670572911</v>
      </c>
      <c r="J83" s="4">
        <v>43.333500191017436</v>
      </c>
      <c r="K83" s="4">
        <v>16.769199689229328</v>
      </c>
      <c r="L83" s="4">
        <v>0.96791237278988507</v>
      </c>
      <c r="M83" s="4">
        <v>0.45352506127796677</v>
      </c>
      <c r="N83" s="4">
        <v>-0.47173477585117024</v>
      </c>
      <c r="O83" s="4">
        <v>0.89764646689097083</v>
      </c>
    </row>
    <row r="84" spans="1:15" x14ac:dyDescent="0.3">
      <c r="A84" s="6" t="s">
        <v>194</v>
      </c>
      <c r="B84" s="4">
        <v>1.5595123921651854</v>
      </c>
      <c r="C84" s="4">
        <v>7.9949310793547737</v>
      </c>
      <c r="D84" s="4">
        <v>16.218014630744367</v>
      </c>
      <c r="E84" s="4">
        <v>1.9561309163295573</v>
      </c>
      <c r="F84" s="4">
        <v>-0.20936456299386927</v>
      </c>
      <c r="G84" s="4">
        <v>69.648222222222216</v>
      </c>
      <c r="H84" s="4">
        <v>-0.68649309128522873</v>
      </c>
      <c r="I84" s="4" t="s">
        <v>37</v>
      </c>
      <c r="J84" s="4" t="s">
        <v>37</v>
      </c>
      <c r="K84" s="4" t="s">
        <v>37</v>
      </c>
      <c r="L84" s="4">
        <v>-0.78526526441176758</v>
      </c>
      <c r="M84" s="4">
        <v>-0.28400343656539923</v>
      </c>
      <c r="N84" s="4">
        <v>-1.3385115737716353</v>
      </c>
      <c r="O84" s="4">
        <v>-0.31990630676349002</v>
      </c>
    </row>
    <row r="85" spans="1:15" x14ac:dyDescent="0.3">
      <c r="A85" s="6" t="s">
        <v>196</v>
      </c>
      <c r="B85" s="4">
        <v>2.0695233549808956</v>
      </c>
      <c r="C85" s="4">
        <v>6.3491088360104726</v>
      </c>
      <c r="D85" s="4">
        <v>21.111724804432367</v>
      </c>
      <c r="E85" s="4">
        <v>2.3081741075430418</v>
      </c>
      <c r="F85" s="4">
        <v>-1.682975731790066</v>
      </c>
      <c r="G85" s="4">
        <v>55.562444444444431</v>
      </c>
      <c r="H85" s="4">
        <v>-1.199775310854118</v>
      </c>
      <c r="I85" s="4">
        <v>96.71520233154294</v>
      </c>
      <c r="J85" s="4">
        <v>91.148395538330078</v>
      </c>
      <c r="K85" s="4">
        <v>10.433303833007821</v>
      </c>
      <c r="L85" s="4">
        <v>-1.0375830009579652</v>
      </c>
      <c r="M85" s="4">
        <v>-0.98261784762144178</v>
      </c>
      <c r="N85" s="4">
        <v>-0.97633992632230104</v>
      </c>
      <c r="O85" s="4">
        <v>-1.0518732766310368</v>
      </c>
    </row>
    <row r="86" spans="1:15" x14ac:dyDescent="0.3">
      <c r="A86" s="6" t="s">
        <v>198</v>
      </c>
      <c r="B86" s="4">
        <v>-0.34259964667383569</v>
      </c>
      <c r="C86" s="4">
        <v>6.5253632089092859</v>
      </c>
      <c r="D86" s="4">
        <v>12.832670329703042</v>
      </c>
      <c r="E86" s="4">
        <v>2.3527073437674129</v>
      </c>
      <c r="F86" s="4">
        <v>-0.68317619462807977</v>
      </c>
      <c r="G86" s="4">
        <v>54.608777777777767</v>
      </c>
      <c r="H86" s="4">
        <v>-0.68166121219595244</v>
      </c>
      <c r="I86" s="4">
        <v>103.85101742214627</v>
      </c>
      <c r="J86" s="4">
        <v>95.491665384043856</v>
      </c>
      <c r="K86" s="4">
        <v>65.235175895690915</v>
      </c>
      <c r="L86" s="4">
        <v>-1.2803746312856672</v>
      </c>
      <c r="M86" s="4">
        <v>-1.1555220658580474</v>
      </c>
      <c r="N86" s="4">
        <v>1.4703807656963666</v>
      </c>
      <c r="O86" s="4">
        <v>-0.75619670748710666</v>
      </c>
    </row>
    <row r="87" spans="1:15" x14ac:dyDescent="0.3">
      <c r="A87" s="6" t="s">
        <v>200</v>
      </c>
      <c r="B87" s="4">
        <v>6.3564436068014096</v>
      </c>
      <c r="C87" s="4">
        <v>8.1143761963537528</v>
      </c>
      <c r="D87" s="4" t="s">
        <v>37</v>
      </c>
      <c r="E87" s="4">
        <v>0.27140171443184818</v>
      </c>
      <c r="F87" s="4">
        <v>1.6478141248226157</v>
      </c>
      <c r="G87" s="4">
        <v>66.108925925925931</v>
      </c>
      <c r="H87" s="4">
        <v>-0.33741066961859673</v>
      </c>
      <c r="I87" s="4">
        <v>97.583380699157658</v>
      </c>
      <c r="J87" s="4">
        <v>61.990224202473968</v>
      </c>
      <c r="K87" s="4">
        <v>17.226058377159983</v>
      </c>
      <c r="L87" s="4">
        <v>-0.44520107097923756</v>
      </c>
      <c r="M87" s="4">
        <v>-0.4799827745494743</v>
      </c>
      <c r="N87" s="4">
        <v>0.68975365782777465</v>
      </c>
      <c r="O87" s="4">
        <v>0.18441443326689</v>
      </c>
    </row>
    <row r="88" spans="1:15" x14ac:dyDescent="0.3">
      <c r="A88" s="6" t="s">
        <v>202</v>
      </c>
      <c r="B88" s="4">
        <v>-0.12592440993839382</v>
      </c>
      <c r="C88" s="4">
        <v>7.1632323347962048</v>
      </c>
      <c r="D88" s="4">
        <v>15.055077895869401</v>
      </c>
      <c r="E88" s="4">
        <v>1.5595144542045916</v>
      </c>
      <c r="F88" s="4">
        <v>0.67679934948682785</v>
      </c>
      <c r="G88" s="4">
        <v>60.143851851851863</v>
      </c>
      <c r="H88" s="4">
        <v>-1.0381614367167156</v>
      </c>
      <c r="I88" s="4">
        <v>96.768619384765572</v>
      </c>
      <c r="J88" s="4">
        <v>95.919323120117156</v>
      </c>
      <c r="K88" s="4">
        <v>51.536306821382972</v>
      </c>
      <c r="L88" s="4">
        <v>-1.3002079625924434</v>
      </c>
      <c r="M88" s="4">
        <v>-1.106480283041795</v>
      </c>
      <c r="N88" s="4">
        <v>1.7351359973351166</v>
      </c>
      <c r="O88" s="4">
        <v>-0.83740828931331623</v>
      </c>
    </row>
    <row r="89" spans="1:15" x14ac:dyDescent="0.3">
      <c r="A89" s="6" t="s">
        <v>204</v>
      </c>
      <c r="B89" s="4">
        <v>1.3706602083917607</v>
      </c>
      <c r="C89" s="4">
        <v>7.4515511852428364</v>
      </c>
      <c r="D89" s="4">
        <v>24.777162041227193</v>
      </c>
      <c r="E89" s="4">
        <v>2.1885204929586646</v>
      </c>
      <c r="F89" s="4">
        <v>1.6741391718387606</v>
      </c>
      <c r="G89" s="4">
        <v>70.202148148148154</v>
      </c>
      <c r="H89" s="4">
        <v>-0.43839651974849397</v>
      </c>
      <c r="I89" s="4">
        <v>106.57146263122569</v>
      </c>
      <c r="J89" s="4" t="s">
        <v>37</v>
      </c>
      <c r="K89" s="4" t="s">
        <v>37</v>
      </c>
      <c r="L89" s="4">
        <v>-0.8876662949721017</v>
      </c>
      <c r="M89" s="4">
        <v>-0.42820617680748296</v>
      </c>
      <c r="N89" s="4">
        <v>4.5935207822670458E-2</v>
      </c>
      <c r="O89" s="4">
        <v>-0.37299337742539751</v>
      </c>
    </row>
    <row r="90" spans="1:15" x14ac:dyDescent="0.3">
      <c r="A90" s="6" t="s">
        <v>206</v>
      </c>
      <c r="B90" s="4">
        <v>1.9687099165513811</v>
      </c>
      <c r="C90" s="4">
        <v>10.151129652175566</v>
      </c>
      <c r="D90" s="4">
        <v>23.14836536311358</v>
      </c>
      <c r="E90" s="4">
        <v>0.7018836706040793</v>
      </c>
      <c r="F90" s="4">
        <v>3.9457694607942283E-3</v>
      </c>
      <c r="G90" s="4">
        <v>82.568654019873534</v>
      </c>
      <c r="H90" s="4">
        <v>0.83243214152753386</v>
      </c>
      <c r="I90" s="4">
        <v>100.47539548520685</v>
      </c>
      <c r="J90" s="4">
        <v>99.910359983090999</v>
      </c>
      <c r="K90" s="4">
        <v>50.179962440773295</v>
      </c>
      <c r="L90" s="4">
        <v>1.680744523803394</v>
      </c>
      <c r="M90" s="4">
        <v>1.8940355877081554</v>
      </c>
      <c r="N90" s="4">
        <v>-0.54905375465750694</v>
      </c>
      <c r="O90" s="4">
        <v>0.341545972507447</v>
      </c>
    </row>
    <row r="91" spans="1:15" x14ac:dyDescent="0.3">
      <c r="A91" s="6" t="s">
        <v>208</v>
      </c>
      <c r="B91" s="4">
        <v>2.8370637552075584</v>
      </c>
      <c r="C91" s="4">
        <v>8.9457989013561168</v>
      </c>
      <c r="D91" s="4">
        <v>23.425675556034406</v>
      </c>
      <c r="E91" s="4">
        <v>-0.25038229756111197</v>
      </c>
      <c r="F91" s="4">
        <v>-0.22497772378847011</v>
      </c>
      <c r="G91" s="4">
        <v>73.506747967479669</v>
      </c>
      <c r="H91" s="4">
        <v>0.82948792974154129</v>
      </c>
      <c r="I91" s="4">
        <v>110.16395296369281</v>
      </c>
      <c r="J91" s="4">
        <v>74.046388353620259</v>
      </c>
      <c r="K91" s="4">
        <v>24.225920915603641</v>
      </c>
      <c r="L91" s="4">
        <v>0.35057178562662256</v>
      </c>
      <c r="M91" s="4">
        <v>0.88654684896270386</v>
      </c>
      <c r="N91" s="4">
        <v>-0.87047863254944502</v>
      </c>
      <c r="O91" s="4">
        <v>0.79622499644756306</v>
      </c>
    </row>
    <row r="92" spans="1:15" x14ac:dyDescent="0.3">
      <c r="A92" s="6" t="s">
        <v>210</v>
      </c>
      <c r="B92" s="4">
        <v>1.8732687165120332</v>
      </c>
      <c r="C92" s="4">
        <v>10.43964023893283</v>
      </c>
      <c r="D92" s="4">
        <v>21.68184733053895</v>
      </c>
      <c r="E92" s="4">
        <v>1.2923328890890644</v>
      </c>
      <c r="F92" s="4">
        <v>-0.56699723626176535</v>
      </c>
      <c r="G92" s="4">
        <v>81.352529358626938</v>
      </c>
      <c r="H92" s="4">
        <v>1.363109643260638</v>
      </c>
      <c r="I92" s="4" t="s">
        <v>37</v>
      </c>
      <c r="J92" s="4" t="s">
        <v>37</v>
      </c>
      <c r="K92" s="4" t="s">
        <v>37</v>
      </c>
      <c r="L92" s="4">
        <v>1.958645299077034</v>
      </c>
      <c r="M92" s="4">
        <v>1.3437094017863276</v>
      </c>
      <c r="N92" s="4">
        <v>-1.6661777198314658</v>
      </c>
      <c r="O92" s="4">
        <v>1.433036347230275</v>
      </c>
    </row>
    <row r="93" spans="1:15" x14ac:dyDescent="0.3">
      <c r="A93" s="6" t="s">
        <v>212</v>
      </c>
      <c r="B93" s="4">
        <v>4.6147130549600623</v>
      </c>
      <c r="C93" s="4">
        <v>6.4267138170494853</v>
      </c>
      <c r="D93" s="4">
        <v>29.744820114591732</v>
      </c>
      <c r="E93" s="4">
        <v>1.4462762497148067</v>
      </c>
      <c r="F93" s="4">
        <v>-1.4213021596272783</v>
      </c>
      <c r="G93" s="4">
        <v>66.027333333333345</v>
      </c>
      <c r="H93" s="4">
        <v>-1.0658786122997601</v>
      </c>
      <c r="I93" s="4">
        <v>99.430768220321056</v>
      </c>
      <c r="J93" s="4">
        <v>60.205391495316114</v>
      </c>
      <c r="K93" s="4">
        <v>18.161983233231762</v>
      </c>
      <c r="L93" s="4">
        <v>-0.38835074317951995</v>
      </c>
      <c r="M93" s="4">
        <v>-0.32485067487383884</v>
      </c>
      <c r="N93" s="4">
        <v>1.5919355303049081</v>
      </c>
      <c r="O93" s="4">
        <v>0.37524203925083094</v>
      </c>
    </row>
    <row r="94" spans="1:15" x14ac:dyDescent="0.3">
      <c r="A94" s="6" t="s">
        <v>214</v>
      </c>
      <c r="B94" s="4">
        <v>2.820450468843605</v>
      </c>
      <c r="C94" s="4">
        <v>7.5613047767293402</v>
      </c>
      <c r="D94" s="4">
        <v>27.772532895581236</v>
      </c>
      <c r="E94" s="4">
        <v>1.235569624585682</v>
      </c>
      <c r="F94" s="4">
        <v>1.494555001457532</v>
      </c>
      <c r="G94" s="4">
        <v>67.940999999999988</v>
      </c>
      <c r="H94" s="4">
        <v>-0.98053222646315874</v>
      </c>
      <c r="I94" s="4">
        <v>101.60118827819831</v>
      </c>
      <c r="J94" s="4">
        <v>114.8838625456157</v>
      </c>
      <c r="K94" s="4">
        <v>54.229289110969091</v>
      </c>
      <c r="L94" s="4">
        <v>-0.7024525354305905</v>
      </c>
      <c r="M94" s="4">
        <v>-0.23295907303690902</v>
      </c>
      <c r="N94" s="4">
        <v>0.9639192720254256</v>
      </c>
      <c r="O94" s="4">
        <v>-7.9320335906231679E-2</v>
      </c>
    </row>
    <row r="95" spans="1:15" x14ac:dyDescent="0.3">
      <c r="A95" s="6" t="s">
        <v>216</v>
      </c>
      <c r="B95" s="4">
        <v>1.624338977815043</v>
      </c>
      <c r="C95" s="4">
        <v>8.1788244541538617</v>
      </c>
      <c r="D95" s="4">
        <v>28.653877619633842</v>
      </c>
      <c r="E95" s="4">
        <v>1.3909527996623634</v>
      </c>
      <c r="F95" s="4">
        <v>1.2022989441951124</v>
      </c>
      <c r="G95" s="4">
        <v>72.355481481481476</v>
      </c>
      <c r="H95" s="4">
        <v>-1.1007145320375755</v>
      </c>
      <c r="I95" s="4">
        <v>107.56842346191408</v>
      </c>
      <c r="J95" s="4">
        <v>82.445783094926313</v>
      </c>
      <c r="K95" s="4">
        <v>40.429958184560142</v>
      </c>
      <c r="L95" s="4">
        <v>-0.701516124730309</v>
      </c>
      <c r="M95" s="4">
        <v>-1.4566257844368622</v>
      </c>
      <c r="N95" s="4">
        <v>0.47399610280990617</v>
      </c>
      <c r="O95" s="4">
        <v>-1.3769386311372125</v>
      </c>
    </row>
    <row r="96" spans="1:15" x14ac:dyDescent="0.3">
      <c r="A96" s="6" t="s">
        <v>218</v>
      </c>
      <c r="B96" s="4">
        <v>3.0045835835720291</v>
      </c>
      <c r="C96" s="4">
        <v>7.5753683704249548</v>
      </c>
      <c r="D96" s="4">
        <v>11.004403196237654</v>
      </c>
      <c r="E96" s="4">
        <v>2.8119371813452352</v>
      </c>
      <c r="F96" s="4">
        <v>0.50673539936542522</v>
      </c>
      <c r="G96" s="4">
        <v>67.284592592592588</v>
      </c>
      <c r="H96" s="4">
        <v>-2.2921574860811229</v>
      </c>
      <c r="I96" s="4" t="s">
        <v>37</v>
      </c>
      <c r="J96" s="4" t="s">
        <v>37</v>
      </c>
      <c r="K96" s="4" t="s">
        <v>37</v>
      </c>
      <c r="L96" s="4">
        <v>-1.3835704376300184</v>
      </c>
      <c r="M96" s="4">
        <v>-1.3557346438368159</v>
      </c>
      <c r="N96" s="4">
        <v>-0.30908841701845341</v>
      </c>
      <c r="O96" s="4">
        <v>-1.264843819042047</v>
      </c>
    </row>
    <row r="97" spans="1:15" x14ac:dyDescent="0.3">
      <c r="A97" s="6" t="s">
        <v>220</v>
      </c>
      <c r="B97" s="4">
        <v>4.6954457065414346</v>
      </c>
      <c r="C97" s="4">
        <v>10.246821035784896</v>
      </c>
      <c r="D97" s="4">
        <v>25.681156684153756</v>
      </c>
      <c r="E97" s="4">
        <v>1.2724790444012197</v>
      </c>
      <c r="F97" s="4">
        <v>0.26083723592455499</v>
      </c>
      <c r="G97" s="4">
        <v>79.448475158084932</v>
      </c>
      <c r="H97" s="4">
        <v>1.1109461560845377</v>
      </c>
      <c r="I97" s="4">
        <v>98.910753320764613</v>
      </c>
      <c r="J97" s="4">
        <v>111.34197968703052</v>
      </c>
      <c r="K97" s="4">
        <v>64.544132515236186</v>
      </c>
      <c r="L97" s="4">
        <v>1.5795460889736817</v>
      </c>
      <c r="M97" s="4">
        <v>1.6534127394358318</v>
      </c>
      <c r="N97" s="4">
        <v>1.375499198834101</v>
      </c>
      <c r="O97" s="4">
        <v>1.3634468515714013</v>
      </c>
    </row>
    <row r="98" spans="1:15" x14ac:dyDescent="0.3">
      <c r="A98" s="6" t="s">
        <v>222</v>
      </c>
      <c r="B98" s="4" t="s">
        <v>37</v>
      </c>
      <c r="C98" s="4">
        <v>10.336188529718212</v>
      </c>
      <c r="D98" s="4" t="s">
        <v>37</v>
      </c>
      <c r="E98" s="4">
        <v>0.61776220034299367</v>
      </c>
      <c r="F98" s="4">
        <v>1.4353897646069527</v>
      </c>
      <c r="G98" s="4">
        <v>77.70792592592592</v>
      </c>
      <c r="H98" s="4" t="s">
        <v>37</v>
      </c>
      <c r="I98" s="4">
        <v>97.217210083007814</v>
      </c>
      <c r="J98" s="4">
        <v>96.115532531738282</v>
      </c>
      <c r="K98" s="4">
        <v>55.130496245164132</v>
      </c>
      <c r="L98" s="4" t="s">
        <v>37</v>
      </c>
      <c r="M98" s="4" t="s">
        <v>37</v>
      </c>
      <c r="N98" s="4">
        <v>1.7008765538533535</v>
      </c>
      <c r="O98" s="4" t="s">
        <v>37</v>
      </c>
    </row>
    <row r="99" spans="1:15" x14ac:dyDescent="0.3">
      <c r="A99" s="6" t="s">
        <v>224</v>
      </c>
      <c r="B99" s="4">
        <v>1.8739385671518338</v>
      </c>
      <c r="C99" s="4">
        <v>10.160925487993479</v>
      </c>
      <c r="D99" s="4">
        <v>23.33677394105808</v>
      </c>
      <c r="E99" s="4">
        <v>2.0396872691152894</v>
      </c>
      <c r="F99" s="4">
        <v>1.2760356465975442</v>
      </c>
      <c r="G99" s="4">
        <v>80.684281842818436</v>
      </c>
      <c r="H99" s="4">
        <v>-1.1629255612691243</v>
      </c>
      <c r="I99" s="4">
        <v>102.42371764006432</v>
      </c>
      <c r="J99" s="4">
        <v>98.866626315646698</v>
      </c>
      <c r="K99" s="4">
        <v>59.83540414880823</v>
      </c>
      <c r="L99" s="4">
        <v>0.90841894845167825</v>
      </c>
      <c r="M99" s="4">
        <v>1.1301460514465957</v>
      </c>
      <c r="N99" s="4">
        <v>0.27459503943100566</v>
      </c>
      <c r="O99" s="4">
        <v>0.67271117866039276</v>
      </c>
    </row>
    <row r="100" spans="1:15" x14ac:dyDescent="0.3">
      <c r="A100" s="6" t="s">
        <v>226</v>
      </c>
      <c r="B100" s="4">
        <v>0.47743787506202562</v>
      </c>
      <c r="C100" s="4">
        <v>10.284150584539505</v>
      </c>
      <c r="D100" s="4">
        <v>19.552437770220564</v>
      </c>
      <c r="E100" s="4">
        <v>0.12938239120045542</v>
      </c>
      <c r="F100" s="4">
        <v>0.10161593661177903</v>
      </c>
      <c r="G100" s="4">
        <v>81.268473351400189</v>
      </c>
      <c r="H100" s="4">
        <v>0.5266546060641607</v>
      </c>
      <c r="I100" s="4">
        <v>95.088381559952452</v>
      </c>
      <c r="J100" s="4">
        <v>85.414653084494844</v>
      </c>
      <c r="K100" s="4">
        <v>19.918338712056482</v>
      </c>
      <c r="L100" s="4">
        <v>0.32330808757493884</v>
      </c>
      <c r="M100" s="4">
        <v>0.80421722431977616</v>
      </c>
      <c r="N100" s="4">
        <v>-0.79283448060353623</v>
      </c>
      <c r="O100" s="4">
        <v>1.0257971783479054</v>
      </c>
    </row>
    <row r="101" spans="1:15" x14ac:dyDescent="0.3">
      <c r="A101" s="6" t="s">
        <v>228</v>
      </c>
      <c r="B101" s="4">
        <v>1.912863098707529E-2</v>
      </c>
      <c r="C101" s="4">
        <v>8.5582998072196297</v>
      </c>
      <c r="D101" s="4">
        <v>23.565394846176268</v>
      </c>
      <c r="E101" s="4">
        <v>0.46216427295491791</v>
      </c>
      <c r="F101" s="4">
        <v>-0.42825463678066922</v>
      </c>
      <c r="G101" s="4">
        <v>71.690814814814814</v>
      </c>
      <c r="H101" s="4">
        <v>3.2678802187244074E-3</v>
      </c>
      <c r="I101" s="4" t="s">
        <v>37</v>
      </c>
      <c r="J101" s="4">
        <v>76.981012435186472</v>
      </c>
      <c r="K101" s="4">
        <v>33.803900262583866</v>
      </c>
      <c r="L101" s="4">
        <v>-0.21275592502206575</v>
      </c>
      <c r="M101" s="4">
        <v>0.16943875246215614</v>
      </c>
      <c r="N101" s="4">
        <v>-0.74646310756603851</v>
      </c>
      <c r="O101" s="4">
        <v>0.57895815620819724</v>
      </c>
    </row>
    <row r="102" spans="1:15" x14ac:dyDescent="0.3">
      <c r="A102" s="6" t="s">
        <v>230</v>
      </c>
      <c r="B102" s="4">
        <v>0.65969145076734126</v>
      </c>
      <c r="C102" s="4">
        <v>10.314641905901496</v>
      </c>
      <c r="D102" s="4">
        <v>26.177651824046482</v>
      </c>
      <c r="E102" s="4">
        <v>-1.512766616068221E-3</v>
      </c>
      <c r="F102" s="4">
        <v>-0.52603104958931612</v>
      </c>
      <c r="G102" s="4">
        <v>82.456305329719939</v>
      </c>
      <c r="H102" s="4">
        <v>1.0416450922687848</v>
      </c>
      <c r="I102" s="4">
        <v>103.51470771202678</v>
      </c>
      <c r="J102" s="4">
        <v>103.20987892150875</v>
      </c>
      <c r="K102" s="4">
        <v>57.458382346413352</v>
      </c>
      <c r="L102" s="4">
        <v>1.3820045441389082</v>
      </c>
      <c r="M102" s="4">
        <v>1.1234964691102494</v>
      </c>
      <c r="N102" s="4">
        <v>0.53873815728972374</v>
      </c>
      <c r="O102" s="4">
        <v>1.0143582324186962</v>
      </c>
    </row>
    <row r="103" spans="1:15" x14ac:dyDescent="0.3">
      <c r="A103" s="6" t="s">
        <v>232</v>
      </c>
      <c r="B103" s="4">
        <v>0.37091151364911923</v>
      </c>
      <c r="C103" s="4">
        <v>8.166515174684573</v>
      </c>
      <c r="D103" s="4">
        <v>24.362684102211968</v>
      </c>
      <c r="E103" s="4">
        <v>3.4643821396144872</v>
      </c>
      <c r="F103" s="4">
        <v>-0.40909064972871223</v>
      </c>
      <c r="G103" s="4">
        <v>73.476925925925926</v>
      </c>
      <c r="H103" s="4">
        <v>-0.34277271524661052</v>
      </c>
      <c r="I103" s="4">
        <v>100.32375144958498</v>
      </c>
      <c r="J103" s="4">
        <v>98.174373626708984</v>
      </c>
      <c r="K103" s="4">
        <v>47.574065923690789</v>
      </c>
      <c r="L103" s="4">
        <v>0.14860441108855107</v>
      </c>
      <c r="M103" s="4">
        <v>0.18221781340738144</v>
      </c>
      <c r="N103" s="4">
        <v>-1.4122572988271711</v>
      </c>
      <c r="O103" s="4">
        <v>-0.67427682069440686</v>
      </c>
    </row>
    <row r="104" spans="1:15" x14ac:dyDescent="0.3">
      <c r="A104" s="6" t="s">
        <v>234</v>
      </c>
      <c r="B104" s="4">
        <v>4.2178616959647641</v>
      </c>
      <c r="C104" s="4">
        <v>8.2162918440869959</v>
      </c>
      <c r="D104" s="4">
        <v>22.76902836081516</v>
      </c>
      <c r="E104" s="4">
        <v>0.69640039520097707</v>
      </c>
      <c r="F104" s="4">
        <v>-1.7597419172525413</v>
      </c>
      <c r="G104" s="4">
        <v>68.074814814814829</v>
      </c>
      <c r="H104" s="4">
        <v>6.1780580464983324E-2</v>
      </c>
      <c r="I104" s="4">
        <v>100.19059063139419</v>
      </c>
      <c r="J104" s="4" t="s">
        <v>37</v>
      </c>
      <c r="K104" s="4">
        <v>9.9742713315146307</v>
      </c>
      <c r="L104" s="4">
        <v>-0.84750921651721012</v>
      </c>
      <c r="M104" s="4">
        <v>-0.23795197942915067</v>
      </c>
      <c r="N104" s="4">
        <v>0.9835470591982215</v>
      </c>
      <c r="O104" s="4">
        <v>-1.1174088716506954</v>
      </c>
    </row>
    <row r="105" spans="1:15" x14ac:dyDescent="0.3">
      <c r="A105" s="6" t="s">
        <v>236</v>
      </c>
      <c r="B105" s="4">
        <v>1.3391629013948858</v>
      </c>
      <c r="C105" s="4">
        <v>7.1108135638317158</v>
      </c>
      <c r="D105" s="4">
        <v>18.87353316124744</v>
      </c>
      <c r="E105" s="4">
        <v>2.5938056525939812</v>
      </c>
      <c r="F105" s="4">
        <v>0.99640728657444289</v>
      </c>
      <c r="G105" s="4">
        <v>58.783999999999999</v>
      </c>
      <c r="H105" s="4">
        <v>-1.1603822186589234</v>
      </c>
      <c r="I105" s="4">
        <v>97.550017493111795</v>
      </c>
      <c r="J105" s="4">
        <v>86.809117126464841</v>
      </c>
      <c r="K105" s="4">
        <v>39.586844035557341</v>
      </c>
      <c r="L105" s="4">
        <v>-0.97130940109491382</v>
      </c>
      <c r="M105" s="4">
        <v>-0.30763713208337623</v>
      </c>
      <c r="N105" s="4">
        <v>-0.50787907923487097</v>
      </c>
      <c r="O105" s="4">
        <v>-0.32957086929430562</v>
      </c>
    </row>
    <row r="106" spans="1:15" x14ac:dyDescent="0.3">
      <c r="A106" s="6" t="s">
        <v>238</v>
      </c>
      <c r="B106" s="4">
        <v>9.5297412942474402E-2</v>
      </c>
      <c r="C106" s="4">
        <v>7.2421676217549935</v>
      </c>
      <c r="D106" s="4">
        <v>22.416063238812953</v>
      </c>
      <c r="E106" s="4">
        <v>1.7558769556654912</v>
      </c>
      <c r="F106" s="4">
        <v>-0.35713436235399798</v>
      </c>
      <c r="G106" s="4">
        <v>65.215666666666664</v>
      </c>
      <c r="H106" s="4">
        <v>1.1655556380748746</v>
      </c>
      <c r="I106" s="4">
        <v>117.53447808159723</v>
      </c>
      <c r="J106" s="4">
        <v>37.273588053385417</v>
      </c>
      <c r="K106" s="4">
        <v>8.1999526023864728</v>
      </c>
      <c r="L106" s="4">
        <v>0.20569992712453794</v>
      </c>
      <c r="M106" s="4">
        <v>-0.8800547013157296</v>
      </c>
      <c r="N106" s="4">
        <v>0.39026931991490216</v>
      </c>
      <c r="O106" s="4">
        <v>0.88543675350956663</v>
      </c>
    </row>
    <row r="107" spans="1:15" x14ac:dyDescent="0.3">
      <c r="A107" s="6" t="s">
        <v>240</v>
      </c>
      <c r="B107" s="4" t="s">
        <v>37</v>
      </c>
      <c r="C107" s="4" t="s">
        <v>37</v>
      </c>
      <c r="D107" s="4" t="s">
        <v>37</v>
      </c>
      <c r="E107" s="4">
        <v>0.58910293052867158</v>
      </c>
      <c r="F107" s="4">
        <v>-7.3231564504871146E-3</v>
      </c>
      <c r="G107" s="4">
        <v>68.200740740740756</v>
      </c>
      <c r="H107" s="4">
        <v>-0.23467593100698012</v>
      </c>
      <c r="I107" s="4">
        <v>106.06980690589317</v>
      </c>
      <c r="J107" s="4" t="s">
        <v>37</v>
      </c>
      <c r="K107" s="4" t="s">
        <v>37</v>
      </c>
      <c r="L107" s="4">
        <v>-1.4002752651770898</v>
      </c>
      <c r="M107" s="4">
        <v>-2.3052962174018226</v>
      </c>
      <c r="N107" s="4">
        <v>-1.0422014221549032</v>
      </c>
      <c r="O107" s="4">
        <v>-2.1712116152048115</v>
      </c>
    </row>
    <row r="108" spans="1:15" x14ac:dyDescent="0.3">
      <c r="A108" s="6" t="s">
        <v>242</v>
      </c>
      <c r="B108" s="4">
        <v>3.4737480801604548</v>
      </c>
      <c r="C108" s="4">
        <v>9.5038388898417114</v>
      </c>
      <c r="D108" s="4">
        <v>31.178433889242104</v>
      </c>
      <c r="E108" s="4">
        <v>0.51929146963076922</v>
      </c>
      <c r="F108" s="4">
        <v>-0.70555558552344644</v>
      </c>
      <c r="G108" s="4">
        <v>79.129990966576315</v>
      </c>
      <c r="H108" s="4">
        <v>0.40719812673827011</v>
      </c>
      <c r="I108" s="4">
        <v>111.84397048950196</v>
      </c>
      <c r="J108" s="4">
        <v>103.84238344080312</v>
      </c>
      <c r="K108" s="4">
        <v>67.215861002604171</v>
      </c>
      <c r="L108" s="4">
        <v>0.49648819739619893</v>
      </c>
      <c r="M108" s="4">
        <v>0.88390389581521334</v>
      </c>
      <c r="N108" s="4">
        <v>-0.96538259834051132</v>
      </c>
      <c r="O108" s="4">
        <v>0.72618436565001809</v>
      </c>
    </row>
    <row r="109" spans="1:15" x14ac:dyDescent="0.3">
      <c r="A109" s="6" t="s">
        <v>244</v>
      </c>
      <c r="B109" s="4" t="s">
        <v>37</v>
      </c>
      <c r="C109" s="4" t="s">
        <v>37</v>
      </c>
      <c r="D109" s="4">
        <v>30.264500035644552</v>
      </c>
      <c r="E109" s="4">
        <v>-0.44716085717598231</v>
      </c>
      <c r="F109" s="4">
        <v>-0.76467206701636303</v>
      </c>
      <c r="G109" s="4">
        <v>76.078666666666649</v>
      </c>
      <c r="H109" s="4">
        <v>-0.35933259973923376</v>
      </c>
      <c r="I109" s="4">
        <v>100.20867270010491</v>
      </c>
      <c r="J109" s="4">
        <v>97.351785447862426</v>
      </c>
      <c r="K109" s="4">
        <v>88.101232458043995</v>
      </c>
      <c r="L109" s="4">
        <v>-0.4441942572593689</v>
      </c>
      <c r="M109" s="4">
        <v>-0.17344415350817144</v>
      </c>
      <c r="N109" s="4">
        <v>0.69246972538530827</v>
      </c>
      <c r="O109" s="4">
        <v>-0.35265871354689177</v>
      </c>
    </row>
    <row r="110" spans="1:15" x14ac:dyDescent="0.3">
      <c r="A110" s="6" t="s">
        <v>246</v>
      </c>
      <c r="B110" s="4">
        <v>-0.82755050091020133</v>
      </c>
      <c r="C110" s="4">
        <v>10.424762789661941</v>
      </c>
      <c r="D110" s="4" t="s">
        <v>37</v>
      </c>
      <c r="E110" s="4">
        <v>3.4142123328442433</v>
      </c>
      <c r="F110" s="4">
        <v>0.6950732761373124</v>
      </c>
      <c r="G110" s="4">
        <v>77.677185185185166</v>
      </c>
      <c r="H110" s="4">
        <v>0.25011353862161445</v>
      </c>
      <c r="I110" s="4">
        <v>100.57349868047807</v>
      </c>
      <c r="J110" s="4">
        <v>94.740741729736342</v>
      </c>
      <c r="K110" s="4">
        <v>37.932744622230516</v>
      </c>
      <c r="L110" s="4">
        <v>0.18583047700424982</v>
      </c>
      <c r="M110" s="4">
        <v>0.13075710821431127</v>
      </c>
      <c r="N110" s="4">
        <v>-0.62471440682808554</v>
      </c>
      <c r="O110" s="4">
        <v>-0.53374582591156161</v>
      </c>
    </row>
    <row r="111" spans="1:15" x14ac:dyDescent="0.3">
      <c r="A111" s="6" t="s">
        <v>248</v>
      </c>
      <c r="B111" s="4">
        <v>2.6272137594598011</v>
      </c>
      <c r="C111" s="4">
        <v>6.3755445057629565</v>
      </c>
      <c r="D111" s="4">
        <v>23.087639427259731</v>
      </c>
      <c r="E111" s="4">
        <v>1.5531809131041938</v>
      </c>
      <c r="F111" s="4">
        <v>-0.40482562423373247</v>
      </c>
      <c r="G111" s="4">
        <v>69.143631436314379</v>
      </c>
      <c r="H111" s="4">
        <v>-0.7120812752594553</v>
      </c>
      <c r="I111" s="4">
        <v>110.86483165196022</v>
      </c>
      <c r="J111" s="4">
        <v>46.881615434374133</v>
      </c>
      <c r="K111" s="4">
        <v>10.471220820038408</v>
      </c>
      <c r="L111" s="4">
        <v>-1.1399038881063459</v>
      </c>
      <c r="M111" s="4">
        <v>-0.40942759253084637</v>
      </c>
      <c r="N111" s="4">
        <v>-0.2049647131934762</v>
      </c>
      <c r="O111" s="4">
        <v>-0.73543086275458336</v>
      </c>
    </row>
    <row r="112" spans="1:15" x14ac:dyDescent="0.3">
      <c r="A112" s="6" t="s">
        <v>250</v>
      </c>
      <c r="B112" s="4">
        <v>4.7132869621612672</v>
      </c>
      <c r="C112" s="4">
        <v>6.619453557563526</v>
      </c>
      <c r="D112" s="4">
        <v>28.625488549770658</v>
      </c>
      <c r="E112" s="4">
        <v>1.6019804300758727</v>
      </c>
      <c r="F112" s="4">
        <v>-0.51168522316341603</v>
      </c>
      <c r="G112" s="4">
        <v>62.72551851851852</v>
      </c>
      <c r="H112" s="4">
        <v>6.7747636775796594E-2</v>
      </c>
      <c r="I112" s="4" t="s">
        <v>37</v>
      </c>
      <c r="J112" s="4">
        <v>57.516007423400879</v>
      </c>
      <c r="K112" s="4">
        <v>41.125386962890623</v>
      </c>
      <c r="L112" s="4">
        <v>-1.0193041438857715</v>
      </c>
      <c r="M112" s="4">
        <v>-1.0258893743157387</v>
      </c>
      <c r="N112" s="4">
        <v>-1.1574315552910168</v>
      </c>
      <c r="O112" s="4">
        <v>-1.6541724403699247</v>
      </c>
    </row>
    <row r="113" spans="1:15" x14ac:dyDescent="0.3">
      <c r="A113" s="6" t="s">
        <v>252</v>
      </c>
      <c r="B113" s="4">
        <v>4.6787573605289623</v>
      </c>
      <c r="C113" s="4">
        <v>8.5111395208430309</v>
      </c>
      <c r="D113" s="4">
        <v>23.880241960464776</v>
      </c>
      <c r="E113" s="4">
        <v>-1.0486063255058387</v>
      </c>
      <c r="F113" s="4">
        <v>-1.3839753568172455</v>
      </c>
      <c r="G113" s="4">
        <v>72.170966576332432</v>
      </c>
      <c r="H113" s="4">
        <v>0.52169235392163193</v>
      </c>
      <c r="I113" s="4">
        <v>89.940446217854813</v>
      </c>
      <c r="J113" s="4">
        <v>36.9367322921753</v>
      </c>
      <c r="K113" s="4">
        <v>11.55355513095855</v>
      </c>
      <c r="L113" s="4">
        <v>0.31132767240827292</v>
      </c>
      <c r="M113" s="4">
        <v>1.0050638988614071</v>
      </c>
      <c r="N113" s="4">
        <v>-1.2751628458499904</v>
      </c>
      <c r="O113" s="4">
        <v>0.81034144262472785</v>
      </c>
    </row>
    <row r="114" spans="1:15" x14ac:dyDescent="0.3">
      <c r="A114" s="6" t="s">
        <v>254</v>
      </c>
      <c r="B114" s="4" t="s">
        <v>37</v>
      </c>
      <c r="C114" s="4">
        <v>8.6204280982392287</v>
      </c>
      <c r="D114" s="4">
        <v>22.999749966354667</v>
      </c>
      <c r="E114" s="4">
        <v>1.2319599659226734</v>
      </c>
      <c r="F114" s="4">
        <v>-1.3003858178853986</v>
      </c>
      <c r="G114" s="4">
        <v>76.537518518518539</v>
      </c>
      <c r="H114" s="4">
        <v>-1.3663432933390138</v>
      </c>
      <c r="I114" s="4" t="s">
        <v>37</v>
      </c>
      <c r="J114" s="4" t="s">
        <v>37</v>
      </c>
      <c r="K114" s="4" t="s">
        <v>37</v>
      </c>
      <c r="L114" s="4">
        <v>-0.86857515697677901</v>
      </c>
      <c r="M114" s="4">
        <v>-0.36918529068740685</v>
      </c>
      <c r="N114" s="4">
        <v>1.5087001025676718</v>
      </c>
      <c r="O114" s="4">
        <v>-0.45234618460138631</v>
      </c>
    </row>
    <row r="115" spans="1:15" x14ac:dyDescent="0.3">
      <c r="A115" s="6" t="s">
        <v>256</v>
      </c>
      <c r="B115" s="4">
        <v>1.4323745483715511</v>
      </c>
      <c r="C115" s="4">
        <v>6.4731471766968216</v>
      </c>
      <c r="D115" s="4">
        <v>27.843957082687886</v>
      </c>
      <c r="E115" s="4">
        <v>0.67142578123742791</v>
      </c>
      <c r="F115" s="4">
        <v>1.6853953947623561</v>
      </c>
      <c r="G115" s="4">
        <v>49.060851851851844</v>
      </c>
      <c r="H115" s="4">
        <v>-2.6369732280727472E-2</v>
      </c>
      <c r="I115" s="4">
        <v>104.00592803955075</v>
      </c>
      <c r="J115" s="4">
        <v>85.980073293050125</v>
      </c>
      <c r="K115" s="4">
        <v>15.335152124103752</v>
      </c>
      <c r="L115" s="4">
        <v>-2.6897230961670428E-2</v>
      </c>
      <c r="M115" s="4">
        <v>-0.5354123072077831</v>
      </c>
      <c r="N115" s="4">
        <v>0.75536558032035817</v>
      </c>
      <c r="O115" s="4">
        <v>-5.3251805370867621E-2</v>
      </c>
    </row>
    <row r="116" spans="1:15" x14ac:dyDescent="0.3">
      <c r="A116" s="6" t="s">
        <v>258</v>
      </c>
      <c r="B116" s="4" t="s">
        <v>37</v>
      </c>
      <c r="C116" s="4" t="s">
        <v>37</v>
      </c>
      <c r="D116" s="4" t="s">
        <v>37</v>
      </c>
      <c r="E116" s="4">
        <v>3.2655270257495159</v>
      </c>
      <c r="F116" s="4">
        <v>0.76999984029680479</v>
      </c>
      <c r="G116" s="4">
        <v>56.095185185185201</v>
      </c>
      <c r="H116" s="4">
        <v>-0.98383616407712282</v>
      </c>
      <c r="I116" s="4">
        <v>105.71030680338551</v>
      </c>
      <c r="J116" s="4">
        <v>112.66862954033732</v>
      </c>
      <c r="K116" s="4">
        <v>35.32705232832167</v>
      </c>
      <c r="L116" s="4">
        <v>-0.89500171815355678</v>
      </c>
      <c r="M116" s="4">
        <v>-1.2385767549276361</v>
      </c>
      <c r="N116" s="4">
        <v>1.787353500723839</v>
      </c>
      <c r="O116" s="4">
        <v>-0.43272152744854492</v>
      </c>
    </row>
    <row r="117" spans="1:15" x14ac:dyDescent="0.3">
      <c r="A117" s="6" t="s">
        <v>260</v>
      </c>
      <c r="B117" s="4">
        <v>-1.0975305951426817</v>
      </c>
      <c r="C117" s="4" t="s">
        <v>37</v>
      </c>
      <c r="D117" s="4">
        <v>16.24493316019629</v>
      </c>
      <c r="E117" s="4">
        <v>1.3705077953011879</v>
      </c>
      <c r="F117" s="4">
        <v>1.7446655283371608</v>
      </c>
      <c r="G117" s="4">
        <v>71.65666666666668</v>
      </c>
      <c r="H117" s="4">
        <v>-1.0144827640615404</v>
      </c>
      <c r="I117" s="4">
        <v>99.131922721862779</v>
      </c>
      <c r="J117" s="4">
        <v>93.688332297585234</v>
      </c>
      <c r="K117" s="4">
        <v>18.617782372694748</v>
      </c>
      <c r="L117" s="4">
        <v>-1.2480202292402593</v>
      </c>
      <c r="M117" s="4">
        <v>-1.7426294386386874</v>
      </c>
      <c r="N117" s="4">
        <v>0.70516205579042446</v>
      </c>
      <c r="O117" s="4">
        <v>-1.5763709371288614</v>
      </c>
    </row>
    <row r="118" spans="1:15" x14ac:dyDescent="0.3">
      <c r="A118" s="6" t="s">
        <v>262</v>
      </c>
      <c r="B118" s="4" t="s">
        <v>37</v>
      </c>
      <c r="C118" s="4" t="s">
        <v>37</v>
      </c>
      <c r="D118" s="4" t="s">
        <v>37</v>
      </c>
      <c r="E118" s="4">
        <v>0.9140137098178247</v>
      </c>
      <c r="F118" s="4">
        <v>1.0899138450622556</v>
      </c>
      <c r="G118" s="4">
        <v>80.887804878048783</v>
      </c>
      <c r="H118" s="4">
        <v>1.4308672149976094</v>
      </c>
      <c r="I118" s="4">
        <v>113.47210328475286</v>
      </c>
      <c r="J118" s="4">
        <v>42.414205385291041</v>
      </c>
      <c r="K118" s="4">
        <v>5.6414840300877866</v>
      </c>
      <c r="L118" s="4">
        <v>1.6242544998725246</v>
      </c>
      <c r="M118" s="4">
        <v>1.5082093477249148</v>
      </c>
      <c r="N118" s="4">
        <v>-0.64203310757875409</v>
      </c>
      <c r="O118" s="4">
        <v>1.4042878101269409</v>
      </c>
    </row>
    <row r="119" spans="1:15" x14ac:dyDescent="0.3">
      <c r="A119" s="6" t="s">
        <v>264</v>
      </c>
      <c r="B119" s="4">
        <v>5.0224460646503433</v>
      </c>
      <c r="C119" s="4">
        <v>8.504314661086239</v>
      </c>
      <c r="D119" s="4">
        <v>21.15884818455373</v>
      </c>
      <c r="E119" s="4">
        <v>-0.91366721062609924</v>
      </c>
      <c r="F119" s="4">
        <v>-0.86925603449344624</v>
      </c>
      <c r="G119" s="4">
        <v>72.781174345076792</v>
      </c>
      <c r="H119" s="4">
        <v>0.75135813777645444</v>
      </c>
      <c r="I119" s="4">
        <v>101.5612552784107</v>
      </c>
      <c r="J119" s="4">
        <v>102.23723234953705</v>
      </c>
      <c r="K119" s="4">
        <v>66.606564910323527</v>
      </c>
      <c r="L119" s="4">
        <v>0.42700938259561855</v>
      </c>
      <c r="M119" s="4">
        <v>1.0649550358454378</v>
      </c>
      <c r="N119" s="4">
        <v>-0.2661602223912875</v>
      </c>
      <c r="O119" s="4">
        <v>0.93508349855740869</v>
      </c>
    </row>
    <row r="120" spans="1:15" x14ac:dyDescent="0.3">
      <c r="A120" s="6" t="s">
        <v>266</v>
      </c>
      <c r="B120" s="4">
        <v>1.4240579043016233</v>
      </c>
      <c r="C120" s="4">
        <v>11.223857053044529</v>
      </c>
      <c r="D120" s="4">
        <v>19.235362615274997</v>
      </c>
      <c r="E120" s="4">
        <v>1.7249443213090783</v>
      </c>
      <c r="F120" s="4">
        <v>-0.65572526926795638</v>
      </c>
      <c r="G120" s="4">
        <v>79.941915085817541</v>
      </c>
      <c r="H120" s="4">
        <v>1.377557923396429</v>
      </c>
      <c r="I120" s="4">
        <v>97.815684685340301</v>
      </c>
      <c r="J120" s="4">
        <v>98.354341066800615</v>
      </c>
      <c r="K120" s="4">
        <v>14.249655485153198</v>
      </c>
      <c r="L120" s="4">
        <v>1.9626921365658452</v>
      </c>
      <c r="M120" s="4">
        <v>1.7344460984071104</v>
      </c>
      <c r="N120" s="4">
        <v>0.42058698895076901</v>
      </c>
      <c r="O120" s="4">
        <v>1.5462421923875818</v>
      </c>
    </row>
    <row r="121" spans="1:15" x14ac:dyDescent="0.3">
      <c r="A121" s="6" t="s">
        <v>268</v>
      </c>
      <c r="B121" s="4">
        <v>-0.30145614110164143</v>
      </c>
      <c r="C121" s="4">
        <v>10.469985796276667</v>
      </c>
      <c r="D121" s="4">
        <v>19.058146617496959</v>
      </c>
      <c r="E121" s="4">
        <v>2.0755088721087129</v>
      </c>
      <c r="F121" s="4">
        <v>0.97189260274171818</v>
      </c>
      <c r="G121" s="4">
        <v>82.616740740740752</v>
      </c>
      <c r="H121" s="4">
        <v>0.88933877150217688</v>
      </c>
      <c r="I121" s="4">
        <v>100.73613908555772</v>
      </c>
      <c r="J121" s="4">
        <v>100.78542808250147</v>
      </c>
      <c r="K121" s="4">
        <v>67.938563806039312</v>
      </c>
      <c r="L121" s="4">
        <v>0.57299521472305059</v>
      </c>
      <c r="M121" s="4">
        <v>1.3083054895202313</v>
      </c>
      <c r="N121" s="4">
        <v>-0.26555620273575192</v>
      </c>
      <c r="O121" s="4">
        <v>8.8013737928122338E-2</v>
      </c>
    </row>
    <row r="122" spans="1:15" x14ac:dyDescent="0.3">
      <c r="A122" s="6" t="s">
        <v>270</v>
      </c>
      <c r="B122" s="4">
        <v>-5.3851267186644236E-2</v>
      </c>
      <c r="C122" s="4">
        <v>6.1323284561935472</v>
      </c>
      <c r="D122" s="4">
        <v>19.243448534819663</v>
      </c>
      <c r="E122" s="4">
        <v>2.8222262461486176</v>
      </c>
      <c r="F122" s="4">
        <v>5.587536282837393E-2</v>
      </c>
      <c r="G122" s="4">
        <v>61.40481481481482</v>
      </c>
      <c r="H122" s="4">
        <v>-0.27768650293971098</v>
      </c>
      <c r="I122" s="4">
        <v>100.80884234110509</v>
      </c>
      <c r="J122" s="4">
        <v>92.75400002797447</v>
      </c>
      <c r="K122" s="4">
        <v>64.177425231933597</v>
      </c>
      <c r="L122" s="4">
        <v>-0.58636682807021601</v>
      </c>
      <c r="M122" s="4">
        <v>-0.60107379530866933</v>
      </c>
      <c r="N122" s="4">
        <v>-0.51561841461807489</v>
      </c>
      <c r="O122" s="4">
        <v>-0.32423472794471309</v>
      </c>
    </row>
    <row r="123" spans="1:15" x14ac:dyDescent="0.3">
      <c r="A123" s="6" t="s">
        <v>272</v>
      </c>
      <c r="B123" s="4">
        <v>1.3417800329626361</v>
      </c>
      <c r="C123" s="4">
        <v>5.9576513027168305</v>
      </c>
      <c r="D123" s="4" t="s">
        <v>37</v>
      </c>
      <c r="E123" s="4">
        <v>2.5004164654965386</v>
      </c>
      <c r="F123" s="4">
        <v>-0.94120738655328851</v>
      </c>
      <c r="G123" s="4">
        <v>53.944777777777787</v>
      </c>
      <c r="H123" s="4">
        <v>-8.1834410753799616E-2</v>
      </c>
      <c r="I123" s="4" t="s">
        <v>37</v>
      </c>
      <c r="J123" s="4" t="s">
        <v>37</v>
      </c>
      <c r="K123" s="4" t="s">
        <v>37</v>
      </c>
      <c r="L123" s="4">
        <v>-0.58064724877476692</v>
      </c>
      <c r="M123" s="4">
        <v>-0.61593909282237291</v>
      </c>
      <c r="N123" s="4">
        <v>1.2440032263596852</v>
      </c>
      <c r="O123" s="4">
        <v>-0.17240204741635054</v>
      </c>
    </row>
    <row r="124" spans="1:15" x14ac:dyDescent="0.3">
      <c r="A124" s="6" t="s">
        <v>274</v>
      </c>
      <c r="B124" s="4">
        <v>2.5166283978727888</v>
      </c>
      <c r="C124" s="4">
        <v>8.6702354022683572</v>
      </c>
      <c r="D124" s="4">
        <v>25.314414111977392</v>
      </c>
      <c r="E124" s="4">
        <v>1.9628172138856057</v>
      </c>
      <c r="F124" s="4">
        <v>1.0028365204731622</v>
      </c>
      <c r="G124" s="4">
        <v>74.154370370370387</v>
      </c>
      <c r="H124" s="4">
        <v>0.20250715957566479</v>
      </c>
      <c r="I124" s="4">
        <v>102.11706542968751</v>
      </c>
      <c r="J124" s="4">
        <v>56.863376935323082</v>
      </c>
      <c r="K124" s="4">
        <v>20.367757938526292</v>
      </c>
      <c r="L124" s="4">
        <v>0.19453067318924397</v>
      </c>
      <c r="M124" s="4">
        <v>0.58388073245684302</v>
      </c>
      <c r="N124" s="4">
        <v>0.41434115051621728</v>
      </c>
      <c r="O124" s="4">
        <v>-0.34125918616579537</v>
      </c>
    </row>
    <row r="125" spans="1:15" x14ac:dyDescent="0.3">
      <c r="A125" s="6" t="s">
        <v>276</v>
      </c>
      <c r="B125" s="4">
        <v>2.5740527228647503</v>
      </c>
      <c r="C125" s="4">
        <v>8.622680034502638</v>
      </c>
      <c r="D125" s="4" t="e">
        <v>#DIV/0!</v>
      </c>
      <c r="E125" s="4">
        <v>2.6102097303662224</v>
      </c>
      <c r="F125" s="4">
        <v>-0.77484837526248562</v>
      </c>
      <c r="G125" s="4">
        <v>75.576444444444434</v>
      </c>
      <c r="H125" s="4">
        <v>0.40831137518398486</v>
      </c>
      <c r="I125" s="4">
        <v>133.85924720764163</v>
      </c>
      <c r="J125" s="4">
        <v>149.70509147644023</v>
      </c>
      <c r="K125" s="4">
        <v>49.079029083252003</v>
      </c>
      <c r="L125" s="4">
        <v>-0.48976632518072921</v>
      </c>
      <c r="M125" s="4">
        <v>-5.0496957342450764E-2</v>
      </c>
      <c r="N125" s="4">
        <v>0.80038904732403637</v>
      </c>
      <c r="O125" s="4">
        <v>-0.57655777782201756</v>
      </c>
    </row>
    <row r="126" spans="1:15" x14ac:dyDescent="0.3">
      <c r="A126" s="6" t="s">
        <v>278</v>
      </c>
      <c r="B126" s="4">
        <v>1.5488190225136034</v>
      </c>
      <c r="C126" s="4">
        <v>6.2037296060302145</v>
      </c>
      <c r="D126" s="4">
        <v>19.199720526861341</v>
      </c>
      <c r="E126" s="4">
        <v>3.0154460914563557</v>
      </c>
      <c r="F126" s="4">
        <v>0.83247881134351065</v>
      </c>
      <c r="G126" s="4">
        <v>54.690000000000012</v>
      </c>
      <c r="H126" s="4">
        <v>-0.82132871480037706</v>
      </c>
      <c r="I126" s="4">
        <v>100.0153901473336</v>
      </c>
      <c r="J126" s="4">
        <v>91.49601015837294</v>
      </c>
      <c r="K126" s="4">
        <v>44.219581604003899</v>
      </c>
      <c r="L126" s="4">
        <v>-0.71097622811794281</v>
      </c>
      <c r="M126" s="4">
        <v>-0.52579739938179648</v>
      </c>
      <c r="N126" s="4">
        <v>-0.73299504692355777</v>
      </c>
      <c r="O126" s="4">
        <v>-0.10770120956779772</v>
      </c>
    </row>
    <row r="127" spans="1:15" x14ac:dyDescent="0.3">
      <c r="A127" s="6" t="s">
        <v>280</v>
      </c>
      <c r="B127" s="4">
        <v>3.3915568347547387</v>
      </c>
      <c r="C127" s="4">
        <v>9.4209923348984024</v>
      </c>
      <c r="D127" s="4">
        <v>21.008086010382005</v>
      </c>
      <c r="E127" s="4">
        <v>1.2449652091608012</v>
      </c>
      <c r="F127" s="4">
        <v>-0.69913384815057122</v>
      </c>
      <c r="G127" s="4">
        <v>80.129539295392973</v>
      </c>
      <c r="H127" s="4">
        <v>1.2166075656811393</v>
      </c>
      <c r="I127" s="4">
        <v>125.16325406674987</v>
      </c>
      <c r="J127" s="4">
        <v>32.338012014116565</v>
      </c>
      <c r="K127" s="4">
        <v>3.5716777188437328</v>
      </c>
      <c r="L127" s="4">
        <v>0.71783161908388138</v>
      </c>
      <c r="M127" s="4">
        <v>1.1363954097032545</v>
      </c>
      <c r="N127" s="4">
        <v>0.87686134129762661</v>
      </c>
      <c r="O127" s="4">
        <v>1.1790666778882331</v>
      </c>
    </row>
    <row r="128" spans="1:15" x14ac:dyDescent="0.3">
      <c r="A128" s="6" t="s">
        <v>282</v>
      </c>
      <c r="B128" s="4">
        <v>1.4759110609298132</v>
      </c>
      <c r="C128" s="4">
        <v>8.1811795510201062</v>
      </c>
      <c r="D128" s="4">
        <v>24.132673544909462</v>
      </c>
      <c r="E128" s="4">
        <v>-0.64808277611955467</v>
      </c>
      <c r="F128" s="4">
        <v>0.77617426899572217</v>
      </c>
      <c r="G128" s="4">
        <v>63.683000000000007</v>
      </c>
      <c r="H128" s="4">
        <v>1.0602001160383225</v>
      </c>
      <c r="I128" s="4">
        <v>109.82111681424651</v>
      </c>
      <c r="J128" s="4">
        <v>58.883617083231606</v>
      </c>
      <c r="K128" s="4">
        <v>17.767403416335565</v>
      </c>
      <c r="L128" s="4">
        <v>-2.149370716910606E-2</v>
      </c>
      <c r="M128" s="4">
        <v>-0.88367852403057945</v>
      </c>
      <c r="N128" s="4">
        <v>-0.55441980933149659</v>
      </c>
      <c r="O128" s="4">
        <v>1.1658515085776653</v>
      </c>
    </row>
    <row r="129" spans="1:15" x14ac:dyDescent="0.3">
      <c r="A129" s="6" t="s">
        <v>284</v>
      </c>
      <c r="B129" s="4">
        <v>0.59389999302543739</v>
      </c>
      <c r="C129" s="4">
        <v>7.2283351783993313</v>
      </c>
      <c r="D129" s="4">
        <v>33.995818673239178</v>
      </c>
      <c r="E129" s="4">
        <v>2.5561787759956829</v>
      </c>
      <c r="F129" s="4">
        <v>6.2585452571511213E-2</v>
      </c>
      <c r="G129" s="4">
        <v>62.663740740740728</v>
      </c>
      <c r="H129" s="4">
        <v>-0.43373166645566613</v>
      </c>
      <c r="I129" s="4">
        <v>108.832356205693</v>
      </c>
      <c r="J129" s="4">
        <v>85.209613800048814</v>
      </c>
      <c r="K129" s="4">
        <v>27.973166677686908</v>
      </c>
      <c r="L129" s="4">
        <v>-0.66120855851719773</v>
      </c>
      <c r="M129" s="4">
        <v>-0.62857529769341181</v>
      </c>
      <c r="N129" s="4">
        <v>0.44988407633112137</v>
      </c>
      <c r="O129" s="4">
        <v>-0.83802055815855636</v>
      </c>
    </row>
    <row r="130" spans="1:15" x14ac:dyDescent="0.3">
      <c r="A130" s="6" t="s">
        <v>286</v>
      </c>
      <c r="B130" s="4">
        <v>3.1605538882398587</v>
      </c>
      <c r="C130" s="4">
        <v>8.4256801175786524</v>
      </c>
      <c r="D130" s="4">
        <v>21.628325091571519</v>
      </c>
      <c r="E130" s="4">
        <v>0.45068357815347676</v>
      </c>
      <c r="F130" s="4">
        <v>-0.14919422331609225</v>
      </c>
      <c r="G130" s="4">
        <v>72.717389340560104</v>
      </c>
      <c r="H130" s="4">
        <v>0.89676856497923485</v>
      </c>
      <c r="I130" s="4">
        <v>98.690522670745878</v>
      </c>
      <c r="J130" s="4">
        <v>85.967757161458309</v>
      </c>
      <c r="K130" s="4">
        <v>34.920427560806274</v>
      </c>
      <c r="L130" s="4">
        <v>0.28451364161446696</v>
      </c>
      <c r="M130" s="4">
        <v>0.74148426329096118</v>
      </c>
      <c r="N130" s="4">
        <v>-0.39122872178753215</v>
      </c>
      <c r="O130" s="4">
        <v>0.82767797758181871</v>
      </c>
    </row>
    <row r="131" spans="1:15" x14ac:dyDescent="0.3">
      <c r="A131" s="6" t="s">
        <v>288</v>
      </c>
      <c r="B131" s="4">
        <v>0.83552094221532869</v>
      </c>
      <c r="C131" s="4">
        <v>8.9933954731113648</v>
      </c>
      <c r="D131" s="4">
        <v>21.403276208712281</v>
      </c>
      <c r="E131" s="4">
        <v>1.3115902519233464</v>
      </c>
      <c r="F131" s="4">
        <v>-0.57129593628148234</v>
      </c>
      <c r="G131" s="4">
        <v>73.631925925925927</v>
      </c>
      <c r="H131" s="4">
        <v>-0.61653756086404121</v>
      </c>
      <c r="I131" s="4">
        <v>92.875354919433576</v>
      </c>
      <c r="J131" s="4">
        <v>79.245432535807296</v>
      </c>
      <c r="K131" s="4">
        <v>32.226462402343742</v>
      </c>
      <c r="L131" s="4">
        <v>-0.57865326044460141</v>
      </c>
      <c r="M131" s="4">
        <v>0.20547971463141335</v>
      </c>
      <c r="N131" s="4">
        <v>1.0883759648903555</v>
      </c>
      <c r="O131" s="4">
        <v>9.0176891001950213E-2</v>
      </c>
    </row>
    <row r="132" spans="1:15" x14ac:dyDescent="0.3">
      <c r="A132" s="6" t="s">
        <v>290</v>
      </c>
      <c r="B132" s="4">
        <v>-0.11049196536035977</v>
      </c>
      <c r="C132" s="4">
        <v>7.9496667396438596</v>
      </c>
      <c r="D132" s="4" t="s">
        <v>37</v>
      </c>
      <c r="E132" s="4">
        <v>0.17042980951068376</v>
      </c>
      <c r="F132" s="4">
        <v>1.9070416837930675</v>
      </c>
      <c r="G132" s="4">
        <v>70.649888888888881</v>
      </c>
      <c r="H132" s="4">
        <v>1.1075412690639492</v>
      </c>
      <c r="I132" s="4">
        <v>66.906310154841492</v>
      </c>
      <c r="J132" s="4">
        <v>28.095628218217314</v>
      </c>
      <c r="K132" s="4">
        <v>3.7357564449310319</v>
      </c>
      <c r="L132" s="4">
        <v>0.25215176806638112</v>
      </c>
      <c r="M132" s="4">
        <v>-0.61890733791025021</v>
      </c>
      <c r="N132" s="4">
        <v>-0.1738347883462362</v>
      </c>
      <c r="O132" s="4">
        <v>1.0578025753299398</v>
      </c>
    </row>
    <row r="133" spans="1:15" x14ac:dyDescent="0.3">
      <c r="A133" s="6" t="s">
        <v>292</v>
      </c>
      <c r="B133" s="4">
        <v>3.2457748964596966</v>
      </c>
      <c r="C133" s="4">
        <v>7.3212925170076053</v>
      </c>
      <c r="D133" s="4">
        <v>22.61835919157582</v>
      </c>
      <c r="E133" s="4">
        <v>-0.55721406285650543</v>
      </c>
      <c r="F133" s="4">
        <v>-0.40337893304725497</v>
      </c>
      <c r="G133" s="4">
        <v>68.203555555555553</v>
      </c>
      <c r="H133" s="4">
        <v>-0.23603545891334454</v>
      </c>
      <c r="I133" s="4">
        <v>102.00766782407398</v>
      </c>
      <c r="J133" s="4">
        <v>96.308841705322266</v>
      </c>
      <c r="K133" s="4">
        <v>37.466014438205306</v>
      </c>
      <c r="L133" s="4">
        <v>-0.69596190253893553</v>
      </c>
      <c r="M133" s="4">
        <v>-0.15266512643817501</v>
      </c>
      <c r="N133" s="4">
        <v>-8.6354913048284201E-2</v>
      </c>
      <c r="O133" s="4">
        <v>-0.14877297220906868</v>
      </c>
    </row>
    <row r="134" spans="1:15" x14ac:dyDescent="0.3">
      <c r="A134" s="6" t="s">
        <v>294</v>
      </c>
      <c r="B134" s="4">
        <v>2.8112961766255218</v>
      </c>
      <c r="C134" s="4">
        <v>11.5914499243748</v>
      </c>
      <c r="D134" s="4" t="s">
        <v>37</v>
      </c>
      <c r="E134" s="4">
        <v>0.55124004668878757</v>
      </c>
      <c r="F134" s="4">
        <v>8.2108971093677763E-2</v>
      </c>
      <c r="G134" s="4" t="e">
        <v>#DIV/0!</v>
      </c>
      <c r="H134" s="4">
        <v>1.1726336628198637</v>
      </c>
      <c r="I134" s="4">
        <v>107.6594828555457</v>
      </c>
      <c r="J134" s="4">
        <v>48.997181948493505</v>
      </c>
      <c r="K134" s="4">
        <v>11.944324357169007</v>
      </c>
      <c r="L134" s="4">
        <v>1.5764596611261377</v>
      </c>
      <c r="M134" s="4">
        <v>1.2755247354507449</v>
      </c>
      <c r="N134" s="4">
        <v>-0.18476045178249481</v>
      </c>
      <c r="O134" s="4">
        <v>0.89728799959023764</v>
      </c>
    </row>
    <row r="135" spans="1:15" x14ac:dyDescent="0.3">
      <c r="A135" s="6" t="s">
        <v>296</v>
      </c>
      <c r="B135" s="4">
        <v>4.1124875258167881</v>
      </c>
      <c r="C135" s="4">
        <v>7.2664508263249248</v>
      </c>
      <c r="D135" s="4">
        <v>28.817868690234796</v>
      </c>
      <c r="E135" s="4">
        <v>1.3918903521755936</v>
      </c>
      <c r="F135" s="4">
        <v>-0.205961789470166</v>
      </c>
      <c r="G135" s="4">
        <v>66.308148148148177</v>
      </c>
      <c r="H135" s="4">
        <v>0.70171484972039877</v>
      </c>
      <c r="I135" s="4">
        <v>103.65990024142792</v>
      </c>
      <c r="J135" s="4">
        <v>91.955124325222442</v>
      </c>
      <c r="K135" s="4">
        <v>43.126821600872546</v>
      </c>
      <c r="L135" s="4">
        <v>-0.44469043930682051</v>
      </c>
      <c r="M135" s="4">
        <v>-0.24856195436829384</v>
      </c>
      <c r="N135" s="4">
        <v>-0.79701083774367942</v>
      </c>
      <c r="O135" s="4">
        <v>0.26446050591766834</v>
      </c>
    </row>
    <row r="136" spans="1:15" x14ac:dyDescent="0.3">
      <c r="A136" s="6" t="s">
        <v>298</v>
      </c>
      <c r="B136" s="4">
        <v>2.1105385486301032</v>
      </c>
      <c r="C136" s="4" t="s">
        <v>37</v>
      </c>
      <c r="D136" s="4">
        <v>22.59175055160642</v>
      </c>
      <c r="E136" s="4">
        <v>3.3859876184930561E-2</v>
      </c>
      <c r="F136" s="4">
        <v>-0.65476873144507397</v>
      </c>
      <c r="G136" s="4">
        <v>74.944392050587197</v>
      </c>
      <c r="H136" s="4">
        <v>0.26334129558766589</v>
      </c>
      <c r="I136" s="4">
        <v>99.995069776262554</v>
      </c>
      <c r="J136" s="4">
        <v>80.556658493845092</v>
      </c>
      <c r="K136" s="4">
        <v>46.937562772205887</v>
      </c>
      <c r="L136" s="4">
        <v>-0.16528295211332</v>
      </c>
      <c r="M136" s="4">
        <v>0.13359567090042723</v>
      </c>
      <c r="N136" s="4">
        <v>-1.4089782784382499</v>
      </c>
      <c r="O136" s="4">
        <v>9.2027731118318717E-2</v>
      </c>
    </row>
    <row r="137" spans="1:15" x14ac:dyDescent="0.3">
      <c r="A137" s="6" t="s">
        <v>300</v>
      </c>
      <c r="B137" s="4">
        <v>2.50399571831601</v>
      </c>
      <c r="C137" s="4">
        <v>7.434167033041998</v>
      </c>
      <c r="D137" s="4">
        <v>26.249164712169346</v>
      </c>
      <c r="E137" s="4">
        <v>1.2764318700669688</v>
      </c>
      <c r="F137" s="4">
        <v>-1.3657058576742804</v>
      </c>
      <c r="G137" s="4">
        <v>69.93140740740742</v>
      </c>
      <c r="H137" s="4">
        <v>-0.35160301936169475</v>
      </c>
      <c r="I137" s="4" t="s">
        <v>37</v>
      </c>
      <c r="J137" s="4" t="s">
        <v>37</v>
      </c>
      <c r="K137" s="4" t="s">
        <v>37</v>
      </c>
      <c r="L137" s="4">
        <v>-0.3136577932164073</v>
      </c>
      <c r="M137" s="4">
        <v>-0.14353036267372474</v>
      </c>
      <c r="N137" s="4">
        <v>0.25086792162619531</v>
      </c>
      <c r="O137" s="4">
        <v>-0.61816391659279668</v>
      </c>
    </row>
    <row r="138" spans="1:15" x14ac:dyDescent="0.3">
      <c r="A138" s="6" t="s">
        <v>302</v>
      </c>
      <c r="B138" s="4">
        <v>3.7753572331856722</v>
      </c>
      <c r="C138" s="4">
        <v>5.3801723813312092</v>
      </c>
      <c r="D138" s="4" t="s">
        <v>37</v>
      </c>
      <c r="E138" s="4">
        <v>2.8334237069331478</v>
      </c>
      <c r="F138" s="4">
        <v>0.19189138392296926</v>
      </c>
      <c r="G138" s="4">
        <v>53.698000000000008</v>
      </c>
      <c r="H138" s="4">
        <v>-0.20915529365690136</v>
      </c>
      <c r="I138" s="4">
        <v>104.20842987060549</v>
      </c>
      <c r="J138" s="4">
        <v>23.410772105058033</v>
      </c>
      <c r="K138" s="4">
        <v>3.6354862905066945</v>
      </c>
      <c r="L138" s="4">
        <v>-0.62904308984676993</v>
      </c>
      <c r="M138" s="4">
        <v>-0.56982450808087981</v>
      </c>
      <c r="N138" s="4">
        <v>0.32760321659346431</v>
      </c>
      <c r="O138" s="4">
        <v>-0.26048363430891192</v>
      </c>
    </row>
    <row r="139" spans="1:15" x14ac:dyDescent="0.3">
      <c r="A139" s="6" t="s">
        <v>304</v>
      </c>
      <c r="B139" s="4">
        <v>6.5551988211022039</v>
      </c>
      <c r="C139" s="4">
        <v>5.3496853264569273</v>
      </c>
      <c r="D139" s="4" t="s">
        <v>37</v>
      </c>
      <c r="E139" s="4">
        <v>0.88083944510886647</v>
      </c>
      <c r="F139" s="4">
        <v>-0.23799372366920576</v>
      </c>
      <c r="G139" s="4">
        <v>62.557148148148144</v>
      </c>
      <c r="H139" s="4">
        <v>-1.2583780189355218</v>
      </c>
      <c r="I139" s="4">
        <v>86.612302633432222</v>
      </c>
      <c r="J139" s="4">
        <v>23.798520927429209</v>
      </c>
      <c r="K139" s="4">
        <v>4.3389491538206739</v>
      </c>
      <c r="L139" s="4">
        <v>-1.2156529525915785</v>
      </c>
      <c r="M139" s="4">
        <v>-1.6447365532318747</v>
      </c>
      <c r="N139" s="4">
        <v>-0.59626196256916353</v>
      </c>
      <c r="O139" s="4">
        <v>-1.6852499718467406</v>
      </c>
    </row>
    <row r="140" spans="1:15" x14ac:dyDescent="0.3">
      <c r="A140" s="6" t="s">
        <v>306</v>
      </c>
      <c r="B140" s="4">
        <v>1.5756890704915039</v>
      </c>
      <c r="C140" s="4">
        <v>7.9859918010164863</v>
      </c>
      <c r="D140" s="4">
        <v>21.302372781763751</v>
      </c>
      <c r="E140" s="4">
        <v>1.7823267167095851</v>
      </c>
      <c r="F140" s="4">
        <v>-0.84286196778217937</v>
      </c>
      <c r="G140" s="4">
        <v>56.463296296296285</v>
      </c>
      <c r="H140" s="4">
        <v>0.67129462709029486</v>
      </c>
      <c r="I140" s="4">
        <v>101.81775665283205</v>
      </c>
      <c r="J140" s="4">
        <v>85.46284164428711</v>
      </c>
      <c r="K140" s="4">
        <v>27.905694908565948</v>
      </c>
      <c r="L140" s="4">
        <v>0.33205129454533266</v>
      </c>
      <c r="M140" s="4">
        <v>0.15663204333638234</v>
      </c>
      <c r="N140" s="4">
        <v>1.7715782572825745</v>
      </c>
      <c r="O140" s="4">
        <v>0.43158974436422182</v>
      </c>
    </row>
    <row r="141" spans="1:15" x14ac:dyDescent="0.3">
      <c r="A141" s="6" t="s">
        <v>308</v>
      </c>
      <c r="B141" s="4" t="s">
        <v>37</v>
      </c>
      <c r="C141" s="4" t="s">
        <v>37</v>
      </c>
      <c r="D141" s="4" t="s">
        <v>37</v>
      </c>
      <c r="E141" s="4">
        <v>0.74808105939756098</v>
      </c>
      <c r="F141" s="4">
        <v>1.8327309439579647</v>
      </c>
      <c r="G141" s="4">
        <v>60.342370370370361</v>
      </c>
      <c r="H141" s="4">
        <v>1.0203319519758218</v>
      </c>
      <c r="I141" s="4">
        <v>138.98947265624997</v>
      </c>
      <c r="J141" s="4">
        <v>33.907310867309569</v>
      </c>
      <c r="K141" s="4">
        <v>0.91111776381731047</v>
      </c>
      <c r="L141" s="4">
        <v>0.13914363447111094</v>
      </c>
      <c r="M141" s="4">
        <v>-0.69792375573888421</v>
      </c>
      <c r="N141" s="4">
        <v>0.83149058222770711</v>
      </c>
      <c r="O141" s="4">
        <v>0.86286999285221111</v>
      </c>
    </row>
    <row r="142" spans="1:15" x14ac:dyDescent="0.3">
      <c r="A142" s="6" t="s">
        <v>310</v>
      </c>
      <c r="B142" s="4">
        <v>3.088026304224023</v>
      </c>
      <c r="C142" s="4">
        <v>6.1663694861793603</v>
      </c>
      <c r="D142" s="4">
        <v>23.996356843120697</v>
      </c>
      <c r="E142" s="4">
        <v>1.2057725253248002</v>
      </c>
      <c r="F142" s="4">
        <v>0.81868026852607656</v>
      </c>
      <c r="G142" s="4">
        <v>65.622925925925927</v>
      </c>
      <c r="H142" s="4">
        <v>-1.1390149528160696</v>
      </c>
      <c r="I142" s="4">
        <v>99.265285633228459</v>
      </c>
      <c r="J142" s="4">
        <v>79.354470661708291</v>
      </c>
      <c r="K142" s="4">
        <v>34.222983213571396</v>
      </c>
      <c r="L142" s="4">
        <v>-0.68354033430417382</v>
      </c>
      <c r="M142" s="4">
        <v>-0.66445433100064599</v>
      </c>
      <c r="N142" s="4">
        <v>1.8558569451173141</v>
      </c>
      <c r="O142" s="4">
        <v>-0.45112864580005407</v>
      </c>
    </row>
    <row r="143" spans="1:15" x14ac:dyDescent="0.3">
      <c r="A143" s="6" t="s">
        <v>312</v>
      </c>
      <c r="B143" s="4">
        <v>1.5131796225420047</v>
      </c>
      <c r="C143" s="4">
        <v>10.425156489363562</v>
      </c>
      <c r="D143" s="4">
        <v>20.928028253012432</v>
      </c>
      <c r="E143" s="4">
        <v>0.50131302090859176</v>
      </c>
      <c r="F143" s="4">
        <v>1.7022625605265296</v>
      </c>
      <c r="G143" s="4">
        <v>79.924227642276421</v>
      </c>
      <c r="H143" s="4">
        <v>1.0452498098214469</v>
      </c>
      <c r="I143" s="4">
        <v>122.45193426949639</v>
      </c>
      <c r="J143" s="4" t="s">
        <v>37</v>
      </c>
      <c r="K143" s="4">
        <v>14.573719554477272</v>
      </c>
      <c r="L143" s="4">
        <v>2.0038597434759131</v>
      </c>
      <c r="M143" s="4">
        <v>1.8041615635156638</v>
      </c>
      <c r="N143" s="4">
        <v>-0.81979748855034451</v>
      </c>
      <c r="O143" s="4">
        <v>1.5363506873448702</v>
      </c>
    </row>
    <row r="144" spans="1:15" x14ac:dyDescent="0.3">
      <c r="A144" s="6" t="s">
        <v>314</v>
      </c>
      <c r="B144" s="4" t="s">
        <v>37</v>
      </c>
      <c r="C144" s="4" t="s">
        <v>37</v>
      </c>
      <c r="D144" s="4">
        <v>31.897875777698907</v>
      </c>
      <c r="E144" s="4">
        <v>1.254410200044237</v>
      </c>
      <c r="F144" s="4">
        <v>-0.8252131169040996</v>
      </c>
      <c r="G144" s="4">
        <v>76.270902439024411</v>
      </c>
      <c r="H144" s="4" t="s">
        <v>37</v>
      </c>
      <c r="I144" s="4" t="s">
        <v>37</v>
      </c>
      <c r="J144" s="4" t="s">
        <v>37</v>
      </c>
      <c r="K144" s="4" t="e">
        <v>#DIV/0!</v>
      </c>
      <c r="L144" s="4">
        <v>0.9661332488059996</v>
      </c>
      <c r="M144" s="4" t="s">
        <v>37</v>
      </c>
      <c r="N144" s="4">
        <v>-0.60649732376138366</v>
      </c>
      <c r="O144" s="4" t="s">
        <v>37</v>
      </c>
    </row>
    <row r="145" spans="1:15" x14ac:dyDescent="0.3">
      <c r="A145" s="6" t="s">
        <v>316</v>
      </c>
      <c r="B145" s="4">
        <v>1.5635731501504768</v>
      </c>
      <c r="C145" s="4">
        <v>10.239746802616921</v>
      </c>
      <c r="D145" s="4">
        <v>22.492010570685032</v>
      </c>
      <c r="E145" s="4">
        <v>1.2410031214624859</v>
      </c>
      <c r="F145" s="4">
        <v>-0.78309322396914138</v>
      </c>
      <c r="G145" s="4">
        <v>80.092357723577251</v>
      </c>
      <c r="H145" s="4">
        <v>1.3578141381343201</v>
      </c>
      <c r="I145" s="4">
        <v>52.141441557142471</v>
      </c>
      <c r="J145" s="4">
        <v>11.378821806474162</v>
      </c>
      <c r="K145" s="4">
        <v>2.1270225246747327</v>
      </c>
      <c r="L145" s="4">
        <v>2.2392921249071764</v>
      </c>
      <c r="M145" s="4">
        <v>1.8320835282405217</v>
      </c>
      <c r="N145" s="4">
        <v>-1.1173807208736737</v>
      </c>
      <c r="O145" s="4">
        <v>1.5685249070326492</v>
      </c>
    </row>
    <row r="146" spans="1:15" x14ac:dyDescent="0.3">
      <c r="A146" s="6" t="s">
        <v>318</v>
      </c>
      <c r="B146" s="4">
        <v>2.0854740930227766</v>
      </c>
      <c r="C146" s="4">
        <v>7.1017552534311816</v>
      </c>
      <c r="D146" s="4">
        <v>24.244227241007611</v>
      </c>
      <c r="E146" s="4">
        <v>1.4534917153580056</v>
      </c>
      <c r="F146" s="4">
        <v>-1.0467441553870842</v>
      </c>
      <c r="G146" s="4">
        <v>70.033222222222221</v>
      </c>
      <c r="H146" s="4">
        <v>-0.33891331994285195</v>
      </c>
      <c r="I146" s="4">
        <v>89.419020080566426</v>
      </c>
      <c r="J146" s="4">
        <v>38.528485298156745</v>
      </c>
      <c r="K146" s="4">
        <v>9.8702456951141286</v>
      </c>
      <c r="L146" s="4">
        <v>-0.82749600956837321</v>
      </c>
      <c r="M146" s="4">
        <v>-0.48856252245604997</v>
      </c>
      <c r="N146" s="4">
        <v>-0.73162819941838586</v>
      </c>
      <c r="O146" s="4">
        <v>-0.48059868048100446</v>
      </c>
    </row>
    <row r="147" spans="1:15" x14ac:dyDescent="0.3">
      <c r="A147" s="6" t="s">
        <v>320</v>
      </c>
      <c r="B147" s="4">
        <v>0.98810110952949337</v>
      </c>
      <c r="C147" s="4">
        <v>6.0360652651250035</v>
      </c>
      <c r="D147" s="4">
        <v>21.74897238905718</v>
      </c>
      <c r="E147" s="4">
        <v>3.6266964833804702</v>
      </c>
      <c r="F147" s="4">
        <v>-0.61968129873275879</v>
      </c>
      <c r="G147" s="4">
        <v>55.539296296296293</v>
      </c>
      <c r="H147" s="4">
        <v>-0.84567557733195609</v>
      </c>
      <c r="I147" s="4">
        <v>108.42587309617271</v>
      </c>
      <c r="J147" s="4">
        <v>59.357054392496742</v>
      </c>
      <c r="K147" s="4">
        <v>16.425549779619491</v>
      </c>
      <c r="L147" s="4">
        <v>-0.736807068188985</v>
      </c>
      <c r="M147" s="4">
        <v>-0.67421452949444449</v>
      </c>
      <c r="N147" s="4">
        <v>-0.30389347501720004</v>
      </c>
      <c r="O147" s="4">
        <v>-0.45123506585756962</v>
      </c>
    </row>
    <row r="148" spans="1:15" x14ac:dyDescent="0.3">
      <c r="A148" s="6" t="s">
        <v>322</v>
      </c>
      <c r="B148" s="4">
        <v>2.0161155941423869</v>
      </c>
      <c r="C148" s="4">
        <v>7.2647386257224742</v>
      </c>
      <c r="D148" s="4" t="s">
        <v>37</v>
      </c>
      <c r="E148" s="4">
        <v>2.6024273511251268</v>
      </c>
      <c r="F148" s="4">
        <v>-0.22377081882829472</v>
      </c>
      <c r="G148" s="4">
        <v>49.776074074074074</v>
      </c>
      <c r="H148" s="4">
        <v>-1.808971529205639</v>
      </c>
      <c r="I148" s="4">
        <v>106.60194061279299</v>
      </c>
      <c r="J148" s="4">
        <v>120.99095916748047</v>
      </c>
      <c r="K148" s="4">
        <v>64.001449267069503</v>
      </c>
      <c r="L148" s="4">
        <v>-1.1660804127653448</v>
      </c>
      <c r="M148" s="4">
        <v>-0.91903460025787309</v>
      </c>
      <c r="N148" s="4">
        <v>1.9229007711013153</v>
      </c>
      <c r="O148" s="4">
        <v>-0.67587431271870946</v>
      </c>
    </row>
    <row r="149" spans="1:15" x14ac:dyDescent="0.3">
      <c r="A149" s="6" t="s">
        <v>324</v>
      </c>
      <c r="B149" s="4">
        <v>2.4027755516166094</v>
      </c>
      <c r="C149" s="4">
        <v>7.9714978810919979</v>
      </c>
      <c r="D149" s="4">
        <v>21.246830539309077</v>
      </c>
      <c r="E149" s="4">
        <v>0.13300414156927842</v>
      </c>
      <c r="F149" s="4">
        <v>1.8769155194362011</v>
      </c>
      <c r="G149" s="4">
        <v>74.191427280939493</v>
      </c>
      <c r="H149" s="4">
        <v>-0.42522214582034729</v>
      </c>
      <c r="I149" s="4">
        <v>98.758071051703581</v>
      </c>
      <c r="J149" s="4">
        <v>115.01374534324371</v>
      </c>
      <c r="K149" s="4">
        <v>75.011300546151617</v>
      </c>
      <c r="L149" s="4">
        <v>-0.3682212014682591</v>
      </c>
      <c r="M149" s="4">
        <v>0.1486521606178334</v>
      </c>
      <c r="N149" s="4">
        <v>0.46415914470950764</v>
      </c>
      <c r="O149" s="4">
        <v>-3.8645854607845261E-2</v>
      </c>
    </row>
    <row r="150" spans="1:15" x14ac:dyDescent="0.3">
      <c r="A150" s="6" t="s">
        <v>326</v>
      </c>
      <c r="B150" s="4" t="s">
        <v>37</v>
      </c>
      <c r="C150" s="4" t="s">
        <v>37</v>
      </c>
      <c r="D150" s="4" t="s">
        <v>37</v>
      </c>
      <c r="E150" s="4">
        <v>0.12998321539071592</v>
      </c>
      <c r="F150" s="4">
        <v>0.24826113328648114</v>
      </c>
      <c r="G150" s="4" t="s">
        <v>37</v>
      </c>
      <c r="H150" s="4" t="s">
        <v>37</v>
      </c>
      <c r="I150" s="4">
        <v>126.9989236684945</v>
      </c>
      <c r="J150" s="4">
        <v>56.742110411326088</v>
      </c>
      <c r="K150" s="4">
        <v>10.197038650512694</v>
      </c>
      <c r="L150" s="4" t="s">
        <v>37</v>
      </c>
      <c r="M150" s="4" t="s">
        <v>37</v>
      </c>
      <c r="N150" s="4">
        <v>-0.81618610521157564</v>
      </c>
      <c r="O150" s="4" t="s">
        <v>37</v>
      </c>
    </row>
    <row r="151" spans="1:15" x14ac:dyDescent="0.3">
      <c r="A151" s="6" t="s">
        <v>328</v>
      </c>
      <c r="B151" s="4">
        <v>1.1565877051117335</v>
      </c>
      <c r="C151" s="4">
        <v>10.974738381714724</v>
      </c>
      <c r="D151" s="4">
        <v>22.480768435949006</v>
      </c>
      <c r="E151" s="4">
        <v>0.82081725753635826</v>
      </c>
      <c r="F151" s="4">
        <v>-0.63259316980838787</v>
      </c>
      <c r="G151" s="4">
        <v>80.572466124661233</v>
      </c>
      <c r="H151" s="4">
        <v>1.2531713992357261</v>
      </c>
      <c r="I151" s="4">
        <v>96.604146172018645</v>
      </c>
      <c r="J151" s="4">
        <v>57.790940798245934</v>
      </c>
      <c r="K151" s="4" t="s">
        <v>37</v>
      </c>
      <c r="L151" s="4">
        <v>2.0954481462637582</v>
      </c>
      <c r="M151" s="4">
        <v>1.514164720972379</v>
      </c>
      <c r="N151" s="4">
        <v>0.82853340605894743</v>
      </c>
      <c r="O151" s="4">
        <v>1.6310738821824389</v>
      </c>
    </row>
    <row r="152" spans="1:15" x14ac:dyDescent="0.3">
      <c r="A152" s="6" t="s">
        <v>330</v>
      </c>
      <c r="B152" s="4">
        <v>0.1812339864309509</v>
      </c>
      <c r="C152" s="4">
        <v>9.7957439723881858</v>
      </c>
      <c r="D152" s="4">
        <v>25.796572990553518</v>
      </c>
      <c r="E152" s="4">
        <v>2.7251590328959843</v>
      </c>
      <c r="F152" s="4">
        <v>-0.13759889503320058</v>
      </c>
      <c r="G152" s="4">
        <v>75.052407407407387</v>
      </c>
      <c r="H152" s="4">
        <v>0.75008849551280354</v>
      </c>
      <c r="I152" s="4">
        <v>99.279371190954123</v>
      </c>
      <c r="J152" s="4">
        <v>116.20500211362486</v>
      </c>
      <c r="K152" s="4">
        <v>76.092525135387078</v>
      </c>
      <c r="L152" s="4">
        <v>0.36397220256427931</v>
      </c>
      <c r="M152" s="4">
        <v>0.4445642192537585</v>
      </c>
      <c r="N152" s="4">
        <v>-0.14640811956875649</v>
      </c>
      <c r="O152" s="4">
        <v>-1.0008915265401201</v>
      </c>
    </row>
    <row r="153" spans="1:15" x14ac:dyDescent="0.3">
      <c r="A153" s="6" t="s">
        <v>332</v>
      </c>
      <c r="B153" s="4">
        <v>1.8266646418237498</v>
      </c>
      <c r="C153" s="4">
        <v>6.94725316212193</v>
      </c>
      <c r="D153" s="4">
        <v>14.559640591391334</v>
      </c>
      <c r="E153" s="4">
        <v>2.1477804141396359</v>
      </c>
      <c r="F153" s="4">
        <v>0.12432613464382791</v>
      </c>
      <c r="G153" s="4">
        <v>63.803555555555569</v>
      </c>
      <c r="H153" s="4">
        <v>-2.0822696387767796</v>
      </c>
      <c r="I153" s="4">
        <v>96.318406911996718</v>
      </c>
      <c r="J153" s="4">
        <v>89.731719818115195</v>
      </c>
      <c r="K153" s="4">
        <v>27.486757863651622</v>
      </c>
      <c r="L153" s="4">
        <v>-0.93923326581716537</v>
      </c>
      <c r="M153" s="4">
        <v>-0.69106852635741234</v>
      </c>
      <c r="N153" s="4">
        <v>-0.80393451700607954</v>
      </c>
      <c r="O153" s="4">
        <v>-0.86041963100433339</v>
      </c>
    </row>
    <row r="154" spans="1:15" x14ac:dyDescent="0.3">
      <c r="A154" s="6" t="s">
        <v>334</v>
      </c>
      <c r="B154" s="4" t="s">
        <v>37</v>
      </c>
      <c r="C154" s="4" t="s">
        <v>37</v>
      </c>
      <c r="D154" s="4" t="s">
        <v>37</v>
      </c>
      <c r="E154" s="4">
        <v>0.26368242462251323</v>
      </c>
      <c r="F154" s="4">
        <v>-0.66961745048562682</v>
      </c>
      <c r="G154" s="4">
        <v>70.489186991869914</v>
      </c>
      <c r="H154" s="4">
        <v>1.1084386587142936</v>
      </c>
      <c r="I154" s="4">
        <v>73.122050694056924</v>
      </c>
      <c r="J154" s="4">
        <v>31.355923016866043</v>
      </c>
      <c r="K154" s="4">
        <v>7.1953903506783865</v>
      </c>
      <c r="L154" s="4">
        <v>7.8171513477961224E-2</v>
      </c>
      <c r="M154" s="4">
        <v>-0.26479258388280863</v>
      </c>
      <c r="N154" s="4">
        <v>-0.78724943970640515</v>
      </c>
      <c r="O154" s="4">
        <v>1.1597413718700407</v>
      </c>
    </row>
    <row r="155" spans="1:15" x14ac:dyDescent="0.3">
      <c r="A155" s="6" t="s">
        <v>336</v>
      </c>
      <c r="B155" s="4">
        <v>3.4786186856517354</v>
      </c>
      <c r="C155" s="4">
        <v>8.7180866833057955</v>
      </c>
      <c r="D155" s="4">
        <v>28.495191807513368</v>
      </c>
      <c r="E155" s="4">
        <v>1.8025221606869679</v>
      </c>
      <c r="F155" s="4">
        <v>-0.8584938173492751</v>
      </c>
      <c r="G155" s="4">
        <v>75.746074074074073</v>
      </c>
      <c r="H155" s="4">
        <v>0.13385353361566862</v>
      </c>
      <c r="I155" s="4">
        <v>102.81250234750601</v>
      </c>
      <c r="J155" s="4">
        <v>70.982598114013669</v>
      </c>
      <c r="K155" s="4">
        <v>42.374039043079726</v>
      </c>
      <c r="L155" s="4">
        <v>-0.40657020453363674</v>
      </c>
      <c r="M155" s="4">
        <v>0.42893905875583488</v>
      </c>
      <c r="N155" s="4">
        <v>-0.59402179718017578</v>
      </c>
      <c r="O155" s="4">
        <v>0.52658742604156339</v>
      </c>
    </row>
    <row r="156" spans="1:15" x14ac:dyDescent="0.3">
      <c r="A156" s="6" t="s">
        <v>338</v>
      </c>
      <c r="B156" s="4">
        <v>7.7065709404644522E-2</v>
      </c>
      <c r="C156" s="4">
        <v>7.7881525802848248</v>
      </c>
      <c r="D156" s="4">
        <v>17.540983435420056</v>
      </c>
      <c r="E156" s="4">
        <v>2.9409341104989344</v>
      </c>
      <c r="F156" s="4">
        <v>-0.33660640831415845</v>
      </c>
      <c r="G156" s="4">
        <v>62.98696296296297</v>
      </c>
      <c r="H156" s="4">
        <v>-0.60472798844178521</v>
      </c>
      <c r="I156" s="4">
        <v>109.39461326599121</v>
      </c>
      <c r="J156" s="4">
        <v>89.031561170305523</v>
      </c>
      <c r="K156" s="4">
        <v>37.057502746582038</v>
      </c>
      <c r="L156" s="4">
        <v>-0.92193516219655658</v>
      </c>
      <c r="M156" s="4">
        <v>-0.60019237423936522</v>
      </c>
      <c r="N156" s="4">
        <v>-0.45516228792257607</v>
      </c>
      <c r="O156" s="4">
        <v>-2.1180029143579315E-2</v>
      </c>
    </row>
    <row r="157" spans="1:15" x14ac:dyDescent="0.3">
      <c r="A157" s="6" t="s">
        <v>340</v>
      </c>
      <c r="B157" s="4">
        <v>1.2556263934004885</v>
      </c>
      <c r="C157" s="4">
        <v>8.3943270188798227</v>
      </c>
      <c r="D157" s="4">
        <v>18.889891845971814</v>
      </c>
      <c r="E157" s="4">
        <v>1.468050719539276</v>
      </c>
      <c r="F157" s="4">
        <v>1.4733579164991665E-2</v>
      </c>
      <c r="G157" s="4">
        <v>71.320111111111117</v>
      </c>
      <c r="H157" s="4">
        <v>-0.48307092871012475</v>
      </c>
      <c r="I157" s="4">
        <v>105.07999897003168</v>
      </c>
      <c r="J157" s="4">
        <v>82.557346509850547</v>
      </c>
      <c r="K157" s="4">
        <v>31.277169068654377</v>
      </c>
      <c r="L157" s="4">
        <v>-1.0488943159580233</v>
      </c>
      <c r="M157" s="4">
        <v>-0.40653314751883346</v>
      </c>
      <c r="N157" s="4">
        <v>0.59308206165830291</v>
      </c>
      <c r="O157" s="4">
        <v>-0.15842279793772229</v>
      </c>
    </row>
    <row r="158" spans="1:15" x14ac:dyDescent="0.3">
      <c r="A158" s="6" t="s">
        <v>342</v>
      </c>
      <c r="B158" s="4">
        <v>2.7560966998497971</v>
      </c>
      <c r="C158" s="4">
        <v>8.0539014310962305</v>
      </c>
      <c r="D158" s="4">
        <v>21.365092853039297</v>
      </c>
      <c r="E158" s="4">
        <v>1.2516497467107661</v>
      </c>
      <c r="F158" s="4">
        <v>0.52294698233405745</v>
      </c>
      <c r="G158" s="4">
        <v>72.801481481481488</v>
      </c>
      <c r="H158" s="4">
        <v>-0.70371187850832906</v>
      </c>
      <c r="I158" s="4">
        <v>105.5830431851473</v>
      </c>
      <c r="J158" s="4">
        <v>105.07082089510835</v>
      </c>
      <c r="K158" s="4">
        <v>46.476617813110352</v>
      </c>
      <c r="L158" s="4">
        <v>-0.42404774265984696</v>
      </c>
      <c r="M158" s="4">
        <v>0.32347635137072456</v>
      </c>
      <c r="N158" s="4">
        <v>1.1195836290717123</v>
      </c>
      <c r="O158" s="4">
        <v>5.880308616906401E-2</v>
      </c>
    </row>
    <row r="159" spans="1:15" x14ac:dyDescent="0.3">
      <c r="A159" s="6" t="s">
        <v>344</v>
      </c>
      <c r="B159" s="4">
        <v>2.6843125064765161</v>
      </c>
      <c r="C159" s="4">
        <v>7.4532735223153752</v>
      </c>
      <c r="D159" s="4">
        <v>20.949699348848764</v>
      </c>
      <c r="E159" s="4">
        <v>1.9122491500897565</v>
      </c>
      <c r="F159" s="4">
        <v>1.0683539807796463</v>
      </c>
      <c r="G159" s="4">
        <v>70.318851851851861</v>
      </c>
      <c r="H159" s="4">
        <v>-1.1723083158334096</v>
      </c>
      <c r="I159" s="4">
        <v>71.663102467854813</v>
      </c>
      <c r="J159" s="4">
        <v>28.598367929458625</v>
      </c>
      <c r="K159" s="4" t="s">
        <v>37</v>
      </c>
      <c r="L159" s="4">
        <v>-0.59058612833420432</v>
      </c>
      <c r="M159" s="4">
        <v>-2.733333346744389E-2</v>
      </c>
      <c r="N159" s="4">
        <v>0.69953271001577377</v>
      </c>
      <c r="O159" s="4">
        <v>4.4139215179408581E-2</v>
      </c>
    </row>
    <row r="160" spans="1:15" x14ac:dyDescent="0.3">
      <c r="A160" s="6" t="s">
        <v>346</v>
      </c>
      <c r="B160" s="4">
        <v>4.2055011122256403</v>
      </c>
      <c r="C160" s="4">
        <v>8.6355887041740029</v>
      </c>
      <c r="D160" s="4">
        <v>19.905418280454576</v>
      </c>
      <c r="E160" s="4">
        <v>-0.16313141502985637</v>
      </c>
      <c r="F160" s="4">
        <v>0.43936406448483439</v>
      </c>
      <c r="G160" s="4">
        <v>75.418337850045162</v>
      </c>
      <c r="H160" s="4">
        <v>0.66840423084795442</v>
      </c>
      <c r="I160" s="4">
        <v>98.440761413574236</v>
      </c>
      <c r="J160" s="4">
        <v>103.26630881980601</v>
      </c>
      <c r="K160" s="4">
        <v>62.222405468976056</v>
      </c>
      <c r="L160" s="4">
        <v>0.53664755200346315</v>
      </c>
      <c r="M160" s="4">
        <v>0.84583858400583256</v>
      </c>
      <c r="N160" s="4">
        <v>0.66620292576650775</v>
      </c>
      <c r="O160" s="4">
        <v>0.91669475038846315</v>
      </c>
    </row>
    <row r="161" spans="1:15" x14ac:dyDescent="0.3">
      <c r="A161" s="6" t="s">
        <v>348</v>
      </c>
      <c r="B161" s="4">
        <v>1.2576134404944206</v>
      </c>
      <c r="C161" s="4">
        <v>9.6670677040220738</v>
      </c>
      <c r="D161" s="4">
        <v>21.292889198251636</v>
      </c>
      <c r="E161" s="4">
        <v>0.14643290843516812</v>
      </c>
      <c r="F161" s="4">
        <v>0.7174532599747182</v>
      </c>
      <c r="G161" s="4">
        <v>78.712827461607972</v>
      </c>
      <c r="H161" s="4">
        <v>1.0018491446971887</v>
      </c>
      <c r="I161" s="4">
        <v>98.485616895887546</v>
      </c>
      <c r="J161" s="4">
        <v>89.305031670464416</v>
      </c>
      <c r="K161" s="4">
        <v>91.786279158158735</v>
      </c>
      <c r="L161" s="4">
        <v>0.98829601953426971</v>
      </c>
      <c r="M161" s="4">
        <v>0.95476246128479625</v>
      </c>
      <c r="N161" s="4">
        <v>0.92214854453739326</v>
      </c>
      <c r="O161" s="4">
        <v>1.2385563900073369</v>
      </c>
    </row>
    <row r="162" spans="1:15" x14ac:dyDescent="0.3">
      <c r="A162" s="6" t="s">
        <v>350</v>
      </c>
      <c r="B162" s="4">
        <v>1.1351011011056178</v>
      </c>
      <c r="C162" s="4">
        <v>9.9959050059969723</v>
      </c>
      <c r="D162" s="4">
        <v>13.153895626103793</v>
      </c>
      <c r="E162" s="4">
        <v>-0.44493324753914765</v>
      </c>
      <c r="F162" s="4">
        <v>1.0033238906609381</v>
      </c>
      <c r="G162" s="4">
        <v>77.574814814814815</v>
      </c>
      <c r="H162" s="4">
        <v>0.42177616370220977</v>
      </c>
      <c r="I162" s="4" t="s">
        <v>37</v>
      </c>
      <c r="J162" s="4">
        <v>95.956962585449205</v>
      </c>
      <c r="K162" s="4">
        <v>28.961044788360624</v>
      </c>
      <c r="L162" s="4">
        <v>0.48495499354127464</v>
      </c>
      <c r="M162" s="4">
        <v>0.97171323001384691</v>
      </c>
      <c r="N162" s="4">
        <v>0.10143100520751132</v>
      </c>
      <c r="O162" s="4">
        <v>0.78410469368100222</v>
      </c>
    </row>
    <row r="163" spans="1:15" x14ac:dyDescent="0.3">
      <c r="A163" s="6" t="s">
        <v>352</v>
      </c>
      <c r="B163" s="4" t="s">
        <v>37</v>
      </c>
      <c r="C163" s="4" t="s">
        <v>37</v>
      </c>
      <c r="D163" s="4" t="s">
        <v>37</v>
      </c>
      <c r="E163" s="4">
        <v>6.0115199465793951</v>
      </c>
      <c r="F163" s="4">
        <v>-0.17892438727524973</v>
      </c>
      <c r="G163" s="4">
        <v>77.50500000000001</v>
      </c>
      <c r="H163" s="4">
        <v>0.9590646860500186</v>
      </c>
      <c r="I163" s="4">
        <v>112.70514561579775</v>
      </c>
      <c r="J163" s="4">
        <v>109.49672933725212</v>
      </c>
      <c r="K163" s="4">
        <v>56.775136427445858</v>
      </c>
      <c r="L163" s="4">
        <v>0.80014939482013414</v>
      </c>
      <c r="M163" s="4">
        <v>0.49511115012379986</v>
      </c>
      <c r="N163" s="4">
        <v>-0.88526584953069687</v>
      </c>
      <c r="O163" s="4">
        <v>-0.95923518513639727</v>
      </c>
    </row>
    <row r="164" spans="1:15" x14ac:dyDescent="0.3">
      <c r="A164" s="6" t="s">
        <v>354</v>
      </c>
      <c r="B164" s="4">
        <v>3.6999568626298718</v>
      </c>
      <c r="C164" s="4">
        <v>8.4273089931925043</v>
      </c>
      <c r="D164" s="4">
        <v>24.081875759157757</v>
      </c>
      <c r="E164" s="4">
        <v>-0.63137442619911543</v>
      </c>
      <c r="F164" s="4">
        <v>-0.40812169046451663</v>
      </c>
      <c r="G164" s="4">
        <v>72.684191508581748</v>
      </c>
      <c r="H164" s="4">
        <v>0.24832279824962225</v>
      </c>
      <c r="I164" s="4">
        <v>110.21330085167521</v>
      </c>
      <c r="J164" s="4">
        <v>69.2754807472229</v>
      </c>
      <c r="K164" s="4">
        <v>25.162846271808341</v>
      </c>
      <c r="L164" s="4">
        <v>-0.27763789589516813</v>
      </c>
      <c r="M164" s="4">
        <v>0.38724524186303216</v>
      </c>
      <c r="N164" s="4">
        <v>-0.43543397852530075</v>
      </c>
      <c r="O164" s="4">
        <v>0.4535883901019892</v>
      </c>
    </row>
    <row r="165" spans="1:15" x14ac:dyDescent="0.3">
      <c r="A165" s="6" t="s">
        <v>356</v>
      </c>
      <c r="B165" s="4">
        <v>2.7177630337535064</v>
      </c>
      <c r="C165" s="4">
        <v>8.4893381127942806</v>
      </c>
      <c r="D165" s="4">
        <v>19.919892420254175</v>
      </c>
      <c r="E165" s="4">
        <v>-0.10181188992657526</v>
      </c>
      <c r="F165" s="4">
        <v>-0.32501085886421305</v>
      </c>
      <c r="G165" s="4">
        <v>68.328888888888898</v>
      </c>
      <c r="H165" s="4">
        <v>-0.92876798411210382</v>
      </c>
      <c r="I165" s="4">
        <v>93.464728178801366</v>
      </c>
      <c r="J165" s="4">
        <v>84.301400078667541</v>
      </c>
      <c r="K165" s="4">
        <v>38.192226657161001</v>
      </c>
      <c r="L165" s="4">
        <v>-0.95822818328936898</v>
      </c>
      <c r="M165" s="4">
        <v>-0.40999449137598259</v>
      </c>
      <c r="N165" s="4">
        <v>0.92235015581051538</v>
      </c>
      <c r="O165" s="4">
        <v>-0.85556064111491059</v>
      </c>
    </row>
    <row r="166" spans="1:15" x14ac:dyDescent="0.3">
      <c r="A166" s="6" t="s">
        <v>358</v>
      </c>
      <c r="B166" s="4">
        <v>4.2617739407743382</v>
      </c>
      <c r="C166" s="4">
        <v>5.7194337620501949</v>
      </c>
      <c r="D166" s="4">
        <v>18.933293596455126</v>
      </c>
      <c r="E166" s="4">
        <v>2.5571698601533894</v>
      </c>
      <c r="F166" s="4">
        <v>0.34317145666379173</v>
      </c>
      <c r="G166" s="4">
        <v>57.20066666666667</v>
      </c>
      <c r="H166" s="4">
        <v>-0.5484876636473931</v>
      </c>
      <c r="I166" s="4" t="s">
        <v>37</v>
      </c>
      <c r="J166" s="4" t="s">
        <v>37</v>
      </c>
      <c r="K166" s="4" t="s">
        <v>37</v>
      </c>
      <c r="L166" s="4">
        <v>0.11230743577471002</v>
      </c>
      <c r="M166" s="4">
        <v>-0.40392403265771754</v>
      </c>
      <c r="N166" s="4">
        <v>1.121609436429065</v>
      </c>
      <c r="O166" s="4">
        <v>-1.2446884885430334</v>
      </c>
    </row>
    <row r="167" spans="1:15" x14ac:dyDescent="0.3">
      <c r="A167" s="6" t="s">
        <v>360</v>
      </c>
      <c r="B167" s="4">
        <v>1.2264260298024077</v>
      </c>
      <c r="C167" s="4">
        <v>7.8572892100971812</v>
      </c>
      <c r="D167" s="4">
        <v>34.012099739634444</v>
      </c>
      <c r="E167" s="4">
        <v>0.89459544082891918</v>
      </c>
      <c r="F167" s="4">
        <v>1.634770691394805</v>
      </c>
      <c r="G167" s="4">
        <v>71.600740740740733</v>
      </c>
      <c r="H167" s="4">
        <v>1.1151707495252292</v>
      </c>
      <c r="I167" s="4">
        <v>100.38424183772158</v>
      </c>
      <c r="J167" s="4">
        <v>95.313741455078159</v>
      </c>
      <c r="K167" s="4">
        <v>17.761412126046643</v>
      </c>
      <c r="L167" s="4">
        <v>0.25561514248450606</v>
      </c>
      <c r="M167" s="4">
        <v>-0.14726696710567927</v>
      </c>
      <c r="N167" s="4">
        <v>-0.49616626588006812</v>
      </c>
      <c r="O167" s="4">
        <v>0.66729067638516426</v>
      </c>
    </row>
    <row r="168" spans="1:15" x14ac:dyDescent="0.3">
      <c r="A168" s="6" t="s">
        <v>362</v>
      </c>
      <c r="B168" s="4" t="s">
        <v>37</v>
      </c>
      <c r="C168" s="4" t="s">
        <v>37</v>
      </c>
      <c r="D168" s="4">
        <v>19.568223999790124</v>
      </c>
      <c r="E168" s="4">
        <v>1.1293197115028326</v>
      </c>
      <c r="F168" s="4">
        <v>-0.70454381778836239</v>
      </c>
      <c r="G168" s="4" t="s">
        <v>37</v>
      </c>
      <c r="H168" s="4">
        <v>1.1899041593074791</v>
      </c>
      <c r="I168" s="4">
        <v>98.121235046386744</v>
      </c>
      <c r="J168" s="4">
        <v>87.79650228994862</v>
      </c>
      <c r="K168" s="4">
        <v>45.75949870215522</v>
      </c>
      <c r="L168" s="4">
        <v>1.2068704515695576</v>
      </c>
      <c r="M168" s="4">
        <v>0.49670694023370754</v>
      </c>
      <c r="N168" s="4">
        <v>9.8165167379192994E-2</v>
      </c>
      <c r="O168" s="4">
        <v>1.1920321285724642</v>
      </c>
    </row>
    <row r="169" spans="1:15" x14ac:dyDescent="0.3">
      <c r="A169" s="6" t="s">
        <v>364</v>
      </c>
      <c r="B169" s="4" t="s">
        <v>37</v>
      </c>
      <c r="C169" s="4" t="s">
        <v>37</v>
      </c>
      <c r="D169" s="4" t="s">
        <v>37</v>
      </c>
      <c r="E169" s="4">
        <v>1.9784934915444274</v>
      </c>
      <c r="F169" s="4">
        <v>-1.922331610694528E-2</v>
      </c>
      <c r="G169" s="4">
        <v>64.683555555555557</v>
      </c>
      <c r="H169" s="4">
        <v>0.41582438384648407</v>
      </c>
      <c r="I169" s="4">
        <v>104.11264336627461</v>
      </c>
      <c r="J169" s="4">
        <v>93.00761159261063</v>
      </c>
      <c r="K169" s="4">
        <v>69.619874636332199</v>
      </c>
      <c r="L169" s="4">
        <v>-2.4756728671491129E-2</v>
      </c>
      <c r="M169" s="4">
        <v>-0.78983720391988754</v>
      </c>
      <c r="N169" s="4">
        <v>-0.18309299162744239</v>
      </c>
      <c r="O169" s="4">
        <v>0.27290075412020093</v>
      </c>
    </row>
    <row r="170" spans="1:15" x14ac:dyDescent="0.3">
      <c r="A170" s="6" t="s">
        <v>366</v>
      </c>
      <c r="B170" s="4">
        <v>0.62049189956046025</v>
      </c>
      <c r="C170" s="4">
        <v>9.7918430385535622</v>
      </c>
      <c r="D170" s="4">
        <v>21.771846941685425</v>
      </c>
      <c r="E170" s="4">
        <v>2.4436668930012893</v>
      </c>
      <c r="F170" s="4">
        <v>-0.2973809289493754</v>
      </c>
      <c r="G170" s="4">
        <v>74.820888888888902</v>
      </c>
      <c r="H170" s="4">
        <v>-0.37322932907651801</v>
      </c>
      <c r="I170" s="4">
        <v>126.37303253173827</v>
      </c>
      <c r="J170" s="4">
        <v>27.452257653941277</v>
      </c>
      <c r="K170" s="4">
        <v>4.9512881562113771</v>
      </c>
      <c r="L170" s="4">
        <v>1.3892694531629578E-2</v>
      </c>
      <c r="M170" s="4">
        <v>3.815130245250966E-2</v>
      </c>
      <c r="N170" s="4">
        <v>-0.49152272877593828</v>
      </c>
      <c r="O170" s="4">
        <v>-1.691575000683466</v>
      </c>
    </row>
    <row r="171" spans="1:15" x14ac:dyDescent="0.3">
      <c r="A171" s="6" t="s">
        <v>368</v>
      </c>
      <c r="B171" s="4">
        <v>1.4820591656354409</v>
      </c>
      <c r="C171" s="4">
        <v>6.8924630261288371</v>
      </c>
      <c r="D171" s="4">
        <v>22.076623655549064</v>
      </c>
      <c r="E171" s="4">
        <v>2.5764419471844486</v>
      </c>
      <c r="F171" s="4">
        <v>-0.24412804143018266</v>
      </c>
      <c r="G171" s="4">
        <v>62.559074074074083</v>
      </c>
      <c r="H171" s="4">
        <v>-0.23972944084865336</v>
      </c>
      <c r="I171" s="4" t="s">
        <v>37</v>
      </c>
      <c r="J171" s="4" t="s">
        <v>37</v>
      </c>
      <c r="K171" s="4">
        <v>33.061560133229129</v>
      </c>
      <c r="L171" s="4">
        <v>-0.15952984932422021</v>
      </c>
      <c r="M171" s="4">
        <v>-0.2488811764245232</v>
      </c>
      <c r="N171" s="4">
        <v>0.33847530873026699</v>
      </c>
      <c r="O171" s="4">
        <v>0.10369427387680245</v>
      </c>
    </row>
    <row r="172" spans="1:15" x14ac:dyDescent="0.3">
      <c r="A172" s="6" t="s">
        <v>370</v>
      </c>
      <c r="B172" s="4">
        <v>3.7389124709434007</v>
      </c>
      <c r="C172" s="4">
        <v>7.9306544329577688</v>
      </c>
      <c r="D172" s="4">
        <v>17.527200172627584</v>
      </c>
      <c r="E172" s="4">
        <v>-0.53186261576509308</v>
      </c>
      <c r="F172" s="4">
        <v>0.60595805818835891</v>
      </c>
      <c r="G172" s="4">
        <v>73.495840108401097</v>
      </c>
      <c r="H172" s="4">
        <v>-0.42494338607260346</v>
      </c>
      <c r="I172" s="4">
        <v>71.730941560533296</v>
      </c>
      <c r="J172" s="4">
        <v>40.367302576700844</v>
      </c>
      <c r="K172" s="4">
        <v>12.175885396845198</v>
      </c>
      <c r="L172" s="4">
        <v>-0.49668551671008282</v>
      </c>
      <c r="M172" s="4">
        <v>-0.23938077773588398</v>
      </c>
      <c r="N172" s="4">
        <v>-0.98774503916501921</v>
      </c>
      <c r="O172" s="4">
        <v>-3.3015789405908401E-2</v>
      </c>
    </row>
    <row r="173" spans="1:15" x14ac:dyDescent="0.3">
      <c r="A173" s="6" t="s">
        <v>372</v>
      </c>
      <c r="B173" s="4">
        <v>1.5552974657150553</v>
      </c>
      <c r="C173" s="4">
        <v>9.1625501818163784</v>
      </c>
      <c r="D173" s="4">
        <v>37.576547560255982</v>
      </c>
      <c r="E173" s="4">
        <v>1.0773740277968606</v>
      </c>
      <c r="F173" s="4">
        <v>-1.2559093336264286</v>
      </c>
      <c r="G173" s="4">
        <v>73.007136404697377</v>
      </c>
      <c r="H173" s="4">
        <v>0.79306045547127724</v>
      </c>
      <c r="I173" s="4">
        <v>78.61243615831647</v>
      </c>
      <c r="J173" s="4">
        <v>31.784757977440254</v>
      </c>
      <c r="K173" s="4">
        <v>9.5427343164171443</v>
      </c>
      <c r="L173" s="4">
        <v>0.77952598904569925</v>
      </c>
      <c r="M173" s="4">
        <v>9.6079889781928329E-2</v>
      </c>
      <c r="N173" s="4">
        <v>1.6361315747102101</v>
      </c>
      <c r="O173" s="4">
        <v>0.16465287936928988</v>
      </c>
    </row>
    <row r="174" spans="1:15" x14ac:dyDescent="0.3">
      <c r="A174" s="6" t="s">
        <v>374</v>
      </c>
      <c r="B174" s="4">
        <v>1.5240339189976027</v>
      </c>
      <c r="C174" s="4">
        <v>6.032405258211611</v>
      </c>
      <c r="D174" s="4">
        <v>12.387765055014793</v>
      </c>
      <c r="E174" s="4">
        <v>2.465501549298041</v>
      </c>
      <c r="F174" s="4">
        <v>2.174927969773611</v>
      </c>
      <c r="G174" s="4">
        <v>51.45366666666667</v>
      </c>
      <c r="H174" s="4">
        <v>-0.47133636319388889</v>
      </c>
      <c r="I174" s="4">
        <v>101.62461916605646</v>
      </c>
      <c r="J174" s="4">
        <v>107.12529945373535</v>
      </c>
      <c r="K174" s="4">
        <v>89.823834737141922</v>
      </c>
      <c r="L174" s="4">
        <v>-0.78514684488375952</v>
      </c>
      <c r="M174" s="4">
        <v>-1.0282900507251413</v>
      </c>
      <c r="N174" s="4">
        <v>0.46998659521341324</v>
      </c>
      <c r="O174" s="4">
        <v>-0.34632595659544102</v>
      </c>
    </row>
    <row r="175" spans="1:15" x14ac:dyDescent="0.3">
      <c r="A175" s="6" t="s">
        <v>376</v>
      </c>
      <c r="B175" s="4">
        <v>2.993055034378167</v>
      </c>
      <c r="C175" s="4">
        <v>10.321536455356226</v>
      </c>
      <c r="D175" s="4">
        <v>27.434078029685484</v>
      </c>
      <c r="E175" s="4">
        <v>1.785692007591535</v>
      </c>
      <c r="F175" s="4">
        <v>0.68184783061345422</v>
      </c>
      <c r="G175" s="4">
        <v>80.519783197831956</v>
      </c>
      <c r="H175" s="4">
        <v>1.2695075497031203</v>
      </c>
      <c r="I175" s="4">
        <v>103.19520167300573</v>
      </c>
      <c r="J175" s="4" t="s">
        <v>37</v>
      </c>
      <c r="K175" s="4" t="s">
        <v>37</v>
      </c>
      <c r="L175" s="4">
        <v>2.1397637029488878</v>
      </c>
      <c r="M175" s="4">
        <v>1.9981325666109726</v>
      </c>
      <c r="N175" s="4">
        <v>0.9927286083499588</v>
      </c>
      <c r="O175" s="4">
        <v>-9.0346254408359528E-2</v>
      </c>
    </row>
    <row r="176" spans="1:15" x14ac:dyDescent="0.3">
      <c r="A176" s="6" t="s">
        <v>378</v>
      </c>
      <c r="B176" s="4" t="s">
        <v>37</v>
      </c>
      <c r="C176" s="4" t="s">
        <v>37</v>
      </c>
      <c r="D176" s="4" t="s">
        <v>37</v>
      </c>
      <c r="E176" s="4">
        <v>1.0722814169654591</v>
      </c>
      <c r="F176" s="4">
        <v>0.97935543954372362</v>
      </c>
      <c r="G176" s="4">
        <v>74.878074074074064</v>
      </c>
      <c r="H176" s="4" t="s">
        <v>37</v>
      </c>
      <c r="I176" s="4">
        <v>114.30331103006993</v>
      </c>
      <c r="J176" s="4">
        <v>37.742160797119141</v>
      </c>
      <c r="K176" s="4">
        <v>1.8582933346430466</v>
      </c>
      <c r="L176" s="4" t="s">
        <v>37</v>
      </c>
      <c r="M176" s="4" t="s">
        <v>37</v>
      </c>
      <c r="N176" s="4">
        <v>-0.27244938723742956</v>
      </c>
      <c r="O176" s="4" t="s">
        <v>37</v>
      </c>
    </row>
    <row r="177" spans="1:15" x14ac:dyDescent="0.3">
      <c r="A177" s="6" t="s">
        <v>380</v>
      </c>
      <c r="B177" s="4">
        <v>3.4565177830178984</v>
      </c>
      <c r="C177" s="4">
        <v>8.9282573990456537</v>
      </c>
      <c r="D177" s="4">
        <v>24.565212742467651</v>
      </c>
      <c r="E177" s="4">
        <v>5.6611437813411568E-2</v>
      </c>
      <c r="F177" s="4">
        <v>-0.92262261478524421</v>
      </c>
      <c r="G177" s="4">
        <v>74.830803974706427</v>
      </c>
      <c r="H177" s="4">
        <v>0.86569283530116092</v>
      </c>
      <c r="I177" s="4">
        <v>106.15526763916017</v>
      </c>
      <c r="J177" s="4">
        <v>64.792566208612357</v>
      </c>
      <c r="K177" s="4">
        <v>24.347530593872076</v>
      </c>
      <c r="L177" s="4">
        <v>0.21278067476426557</v>
      </c>
      <c r="M177" s="4">
        <v>0.89838030437628458</v>
      </c>
      <c r="N177" s="4">
        <v>-2.2982054104407625</v>
      </c>
      <c r="O177" s="4">
        <v>0.90154992540677392</v>
      </c>
    </row>
    <row r="178" spans="1:15" x14ac:dyDescent="0.3">
      <c r="A178" s="6" t="s">
        <v>382</v>
      </c>
      <c r="B178" s="4">
        <v>2.4245015156223459</v>
      </c>
      <c r="C178" s="4">
        <v>9.493718677989742</v>
      </c>
      <c r="D178" s="4">
        <v>23.027423100514621</v>
      </c>
      <c r="E178" s="4">
        <v>0.21347870348009829</v>
      </c>
      <c r="F178" s="4">
        <v>-2.1065071026484179</v>
      </c>
      <c r="G178" s="4">
        <v>78.310885275519439</v>
      </c>
      <c r="H178" s="4">
        <v>0.98533149808645282</v>
      </c>
      <c r="I178" s="4">
        <v>94.747672137092138</v>
      </c>
      <c r="J178" s="4">
        <v>75.658456563949585</v>
      </c>
      <c r="K178" s="4">
        <v>58.080292628361626</v>
      </c>
      <c r="L178" s="4">
        <v>0.88003657509883204</v>
      </c>
      <c r="M178" s="4">
        <v>0.78589191287756011</v>
      </c>
      <c r="N178" s="4">
        <v>2.7635134676529564E-2</v>
      </c>
      <c r="O178" s="4">
        <v>1.0449198683102923</v>
      </c>
    </row>
    <row r="179" spans="1:15" x14ac:dyDescent="0.3">
      <c r="A179" s="6" t="s">
        <v>384</v>
      </c>
      <c r="B179" s="4">
        <v>-0.81079973610675982</v>
      </c>
      <c r="C179" s="4">
        <v>7.7657814879506546</v>
      </c>
      <c r="D179" s="4">
        <v>12.406318166424215</v>
      </c>
      <c r="E179" s="4">
        <v>2.4522433012837568</v>
      </c>
      <c r="F179" s="4">
        <v>0.30284910602495058</v>
      </c>
      <c r="G179" s="4">
        <v>68.435296296296315</v>
      </c>
      <c r="H179" s="4">
        <v>0.30504501502340026</v>
      </c>
      <c r="I179" s="4">
        <v>15.919819831848134</v>
      </c>
      <c r="J179" s="4">
        <v>5.7686972618103045</v>
      </c>
      <c r="K179" s="4" t="s">
        <v>37</v>
      </c>
      <c r="L179" s="4">
        <v>-0.10805377271026377</v>
      </c>
      <c r="M179" s="4">
        <v>-0.99928217812588305</v>
      </c>
      <c r="N179" s="4">
        <v>-1.8343079487482699</v>
      </c>
      <c r="O179" s="4">
        <v>0.24472964736438974</v>
      </c>
    </row>
    <row r="180" spans="1:15" x14ac:dyDescent="0.3">
      <c r="A180" s="6" t="s">
        <v>386</v>
      </c>
      <c r="B180" s="4" t="s">
        <v>37</v>
      </c>
      <c r="C180" s="4" t="s">
        <v>37</v>
      </c>
      <c r="D180" s="4">
        <v>15.07136984750079</v>
      </c>
      <c r="E180" s="4">
        <v>3.3128668221123463</v>
      </c>
      <c r="F180" s="4">
        <v>-2.1421282490094513</v>
      </c>
      <c r="G180" s="4">
        <v>52.365148148148151</v>
      </c>
      <c r="H180" s="4">
        <v>-2.6434101064999886</v>
      </c>
      <c r="I180" s="4">
        <v>99.388308317764924</v>
      </c>
      <c r="J180" s="4">
        <v>91.105416339376703</v>
      </c>
      <c r="K180" s="4">
        <v>53.494314020330258</v>
      </c>
      <c r="L180" s="4">
        <v>-1.6160893440246575</v>
      </c>
      <c r="M180" s="4">
        <v>-2.1971065998077388</v>
      </c>
      <c r="N180" s="4">
        <v>1.0912676031390827</v>
      </c>
      <c r="O180" s="4">
        <v>-1.8755163053671513</v>
      </c>
    </row>
    <row r="181" spans="1:15" x14ac:dyDescent="0.3">
      <c r="A181" s="6" t="s">
        <v>388</v>
      </c>
      <c r="B181" s="4">
        <v>1.1760834709418244</v>
      </c>
      <c r="C181" s="4">
        <v>8.3875559304939031</v>
      </c>
      <c r="D181" s="4">
        <v>16.41479687496982</v>
      </c>
      <c r="E181" s="4">
        <v>1.1612910619382679</v>
      </c>
      <c r="F181" s="4">
        <v>1.1751251568396883</v>
      </c>
      <c r="G181" s="4">
        <v>60.041037037037036</v>
      </c>
      <c r="H181" s="4">
        <v>-0.20591272553429005</v>
      </c>
      <c r="I181" s="4">
        <v>78.326379776000948</v>
      </c>
      <c r="J181" s="4">
        <v>10.889630317687999</v>
      </c>
      <c r="K181" s="4">
        <v>0.83000257611274697</v>
      </c>
      <c r="L181" s="4">
        <v>0.13003143906826162</v>
      </c>
      <c r="M181" s="4">
        <v>0.37729457323439419</v>
      </c>
      <c r="N181" s="4">
        <v>3.9143593664145306E-2</v>
      </c>
      <c r="O181" s="4">
        <v>0.66356337567170465</v>
      </c>
    </row>
    <row r="182" spans="1:15" x14ac:dyDescent="0.3">
      <c r="A182" s="6" t="s">
        <v>390</v>
      </c>
      <c r="B182" s="4" t="s">
        <v>37</v>
      </c>
      <c r="C182" s="4" t="s">
        <v>37</v>
      </c>
      <c r="D182" s="4">
        <v>9.923480314589991</v>
      </c>
      <c r="E182" s="4">
        <v>2.6869994238475559</v>
      </c>
      <c r="F182" s="4">
        <v>-0.18274584957786519</v>
      </c>
      <c r="G182" s="4">
        <v>49.132925925925925</v>
      </c>
      <c r="H182" s="4">
        <v>-2.1530322233835841</v>
      </c>
      <c r="I182" s="4">
        <v>117.20955276489248</v>
      </c>
      <c r="J182" s="4">
        <v>57.645801544189467</v>
      </c>
      <c r="K182" s="4">
        <v>8.5158013956887419</v>
      </c>
      <c r="L182" s="4">
        <v>-1.5863598401729866</v>
      </c>
      <c r="M182" s="4">
        <v>-1.8246348897616056</v>
      </c>
      <c r="N182" s="4">
        <v>0.69828848789135611</v>
      </c>
      <c r="O182" s="4">
        <v>-1.6614078879356386</v>
      </c>
    </row>
    <row r="183" spans="1:15" x14ac:dyDescent="0.3">
      <c r="A183" s="6" t="s">
        <v>392</v>
      </c>
      <c r="B183" s="4">
        <v>1.2136377824768729</v>
      </c>
      <c r="C183" s="4">
        <v>9.9035770885224625</v>
      </c>
      <c r="D183" s="4">
        <v>22.736375173625468</v>
      </c>
      <c r="E183" s="4">
        <v>0.67510449462194821</v>
      </c>
      <c r="F183" s="4">
        <v>0.7630927750938814</v>
      </c>
      <c r="G183" s="4">
        <v>81.075989159891591</v>
      </c>
      <c r="H183" s="4">
        <v>0.10715167647382857</v>
      </c>
      <c r="I183" s="4">
        <v>105.56086578369145</v>
      </c>
      <c r="J183" s="4">
        <v>71.131617069244385</v>
      </c>
      <c r="K183" s="4">
        <v>10.038929939270044</v>
      </c>
      <c r="L183" s="4">
        <v>0.99367788185675898</v>
      </c>
      <c r="M183" s="4">
        <v>1.0660700549681987</v>
      </c>
      <c r="N183" s="4">
        <v>0.75617387394110358</v>
      </c>
      <c r="O183" s="4">
        <v>1.1211390097935994</v>
      </c>
    </row>
    <row r="184" spans="1:15" x14ac:dyDescent="0.3">
      <c r="A184" s="6" t="s">
        <v>394</v>
      </c>
      <c r="B184" s="4">
        <v>3.3797502032089977</v>
      </c>
      <c r="C184" s="4">
        <v>7.3936144592014719</v>
      </c>
      <c r="D184" s="4">
        <v>25.454369017683529</v>
      </c>
      <c r="E184" s="4">
        <v>0.74361456063352449</v>
      </c>
      <c r="F184" s="4">
        <v>0.48987219874796084</v>
      </c>
      <c r="G184" s="4">
        <v>72.915962962962965</v>
      </c>
      <c r="H184" s="4">
        <v>-0.8412209382125484</v>
      </c>
      <c r="I184" s="4">
        <v>101.01747272632738</v>
      </c>
      <c r="J184" s="4">
        <v>91.805547926161026</v>
      </c>
      <c r="K184" s="4">
        <v>42.551019103438755</v>
      </c>
      <c r="L184" s="4">
        <v>-0.28524555312469596</v>
      </c>
      <c r="M184" s="4">
        <v>-0.16923802532255652</v>
      </c>
      <c r="N184" s="4">
        <v>0.74801400428016984</v>
      </c>
      <c r="O184" s="4">
        <v>-0.27476009637272603</v>
      </c>
    </row>
    <row r="185" spans="1:15" x14ac:dyDescent="0.3">
      <c r="A185" s="6" t="s">
        <v>396</v>
      </c>
      <c r="B185" s="4">
        <v>2.1007507463645769</v>
      </c>
      <c r="C185" s="4">
        <v>9.3633550005916586</v>
      </c>
      <c r="D185" s="4" t="s">
        <v>37</v>
      </c>
      <c r="E185" s="4">
        <v>0.45120034392547026</v>
      </c>
      <c r="F185" s="4">
        <v>0.57090945228150036</v>
      </c>
      <c r="G185" s="4">
        <v>70.577629629629627</v>
      </c>
      <c r="H185" s="4">
        <v>0.91701200604438671</v>
      </c>
      <c r="I185" s="4">
        <v>99.47005406132449</v>
      </c>
      <c r="J185" s="4">
        <v>103.43875856752759</v>
      </c>
      <c r="K185" s="4">
        <v>71.943007998996308</v>
      </c>
      <c r="L185" s="4">
        <v>0.77031511734974989</v>
      </c>
      <c r="M185" s="4">
        <v>0.82167423006735385</v>
      </c>
      <c r="N185" s="4">
        <v>-1.3520616342624028</v>
      </c>
      <c r="O185" s="4">
        <v>0.98511880263686313</v>
      </c>
    </row>
    <row r="186" spans="1:15" x14ac:dyDescent="0.3">
      <c r="A186" s="6" t="s">
        <v>398</v>
      </c>
      <c r="B186" s="4">
        <v>0.84939125696121831</v>
      </c>
      <c r="C186" s="4">
        <v>9.0591801412738313</v>
      </c>
      <c r="D186" s="4" t="s">
        <v>37</v>
      </c>
      <c r="E186" s="4">
        <v>0.63497776079349866</v>
      </c>
      <c r="F186" s="4">
        <v>-1.3633026480674741</v>
      </c>
      <c r="G186" s="4">
        <v>72.179037037037034</v>
      </c>
      <c r="H186" s="4">
        <v>0.86018029972910848</v>
      </c>
      <c r="I186" s="4">
        <v>108.86607728181062</v>
      </c>
      <c r="J186" s="4">
        <v>127.8851971096462</v>
      </c>
      <c r="K186" s="4">
        <v>69.51586786905925</v>
      </c>
      <c r="L186" s="4">
        <v>0.85812095278187805</v>
      </c>
      <c r="M186" s="4">
        <v>0.45447548753336847</v>
      </c>
      <c r="N186" s="4">
        <v>-0.12189672008389611</v>
      </c>
      <c r="O186" s="4">
        <v>1.0457420622309053</v>
      </c>
    </row>
    <row r="187" spans="1:15" x14ac:dyDescent="0.3">
      <c r="A187" s="6" t="s">
        <v>400</v>
      </c>
      <c r="B187" s="4" t="s">
        <v>37</v>
      </c>
      <c r="C187" s="4" t="s">
        <v>37</v>
      </c>
      <c r="D187" s="4" t="s">
        <v>37</v>
      </c>
      <c r="E187" s="4">
        <v>0.28167521469670387</v>
      </c>
      <c r="F187" s="4">
        <v>-0.33183242400021601</v>
      </c>
      <c r="G187" s="4">
        <v>78.111814814814792</v>
      </c>
      <c r="H187" s="4" t="s">
        <v>37</v>
      </c>
      <c r="I187" s="4">
        <v>111.68927319844572</v>
      </c>
      <c r="J187" s="4">
        <v>56.877847480773916</v>
      </c>
      <c r="K187" s="4">
        <v>5.1839300261603434</v>
      </c>
      <c r="L187" s="4" t="s">
        <v>37</v>
      </c>
      <c r="M187" s="4" t="s">
        <v>37</v>
      </c>
      <c r="N187" s="4" t="s">
        <v>37</v>
      </c>
      <c r="O187" s="4" t="s">
        <v>37</v>
      </c>
    </row>
    <row r="188" spans="1:15" x14ac:dyDescent="0.3">
      <c r="A188" s="6" t="s">
        <v>402</v>
      </c>
      <c r="B188" s="4">
        <v>2.4302167842413791</v>
      </c>
      <c r="C188" s="4">
        <v>8.3948352933329655</v>
      </c>
      <c r="D188" s="4" t="e">
        <v>#DIV/0!</v>
      </c>
      <c r="E188" s="4">
        <v>-0.32791544833069514</v>
      </c>
      <c r="F188" s="4">
        <v>1.83152977625529</v>
      </c>
      <c r="G188" s="4">
        <v>73.087592592592571</v>
      </c>
      <c r="H188" s="4">
        <v>0.91770357266068414</v>
      </c>
      <c r="I188" s="4" t="s">
        <v>37</v>
      </c>
      <c r="J188" s="4" t="s">
        <v>37</v>
      </c>
      <c r="K188" s="4">
        <v>3.9243000348409005</v>
      </c>
      <c r="L188" s="4">
        <v>0.85349032439683636</v>
      </c>
      <c r="M188" s="4">
        <v>0.42360607887569196</v>
      </c>
      <c r="N188" s="4">
        <v>1.850589071710905</v>
      </c>
      <c r="O188" s="4">
        <v>0.9922397906581556</v>
      </c>
    </row>
    <row r="189" spans="1:15" x14ac:dyDescent="0.3">
      <c r="A189" s="6" t="s">
        <v>404</v>
      </c>
      <c r="B189" s="4">
        <v>0.41146354946308694</v>
      </c>
      <c r="C189" s="4">
        <v>7.3184342290454962</v>
      </c>
      <c r="D189" s="4">
        <v>15.442457150394054</v>
      </c>
      <c r="E189" s="4">
        <v>2.5890808398933998</v>
      </c>
      <c r="F189" s="4">
        <v>1.9509777029355366</v>
      </c>
      <c r="G189" s="4">
        <v>60.434962962962963</v>
      </c>
      <c r="H189" s="4">
        <v>-2.1494941363732023</v>
      </c>
      <c r="I189" s="4">
        <v>101.35917718069894</v>
      </c>
      <c r="J189" s="4">
        <v>79.549130475079551</v>
      </c>
      <c r="K189" s="4">
        <v>10.958900878826775</v>
      </c>
      <c r="L189" s="4">
        <v>-1.3233251571655285</v>
      </c>
      <c r="M189" s="4">
        <v>-1.4221008072296772</v>
      </c>
      <c r="N189" s="4">
        <v>-1.1640930076440175</v>
      </c>
      <c r="O189" s="4">
        <v>-1.7022469391425465</v>
      </c>
    </row>
    <row r="190" spans="1:15" x14ac:dyDescent="0.3">
      <c r="A190" s="6" t="s">
        <v>406</v>
      </c>
      <c r="B190" s="4">
        <v>0.57677022698321423</v>
      </c>
      <c r="C190" s="4">
        <v>8.7184418497379728</v>
      </c>
      <c r="D190" s="4">
        <v>42.080875445334989</v>
      </c>
      <c r="E190" s="4">
        <v>1.324386699002124</v>
      </c>
      <c r="F190" s="4">
        <v>-1.188465834905704</v>
      </c>
      <c r="G190" s="4">
        <v>68.475740740740719</v>
      </c>
      <c r="H190" s="4">
        <v>0.22808415353453401</v>
      </c>
      <c r="I190" s="4">
        <v>105.91936215487402</v>
      </c>
      <c r="J190" s="4">
        <v>55.683652531016968</v>
      </c>
      <c r="K190" s="4">
        <v>26.391553699970242</v>
      </c>
      <c r="L190" s="4">
        <v>-0.12113777722697709</v>
      </c>
      <c r="M190" s="4">
        <v>-0.61109991744160641</v>
      </c>
      <c r="N190" s="4">
        <v>0.99801718691984764</v>
      </c>
      <c r="O190" s="4">
        <v>0.36473332407573866</v>
      </c>
    </row>
    <row r="191" spans="1:15" x14ac:dyDescent="0.3">
      <c r="A191" s="6" t="s">
        <v>408</v>
      </c>
      <c r="B191" s="4">
        <v>1.7931378158802191</v>
      </c>
      <c r="C191" s="4">
        <v>10.45299871499021</v>
      </c>
      <c r="D191" s="4">
        <v>23.000841345116363</v>
      </c>
      <c r="E191" s="4">
        <v>0.63417683157057314</v>
      </c>
      <c r="F191" s="4">
        <v>1.1377822955449426</v>
      </c>
      <c r="G191" s="4">
        <v>81.017506775067758</v>
      </c>
      <c r="H191" s="4">
        <v>1.1642981717983887</v>
      </c>
      <c r="I191" s="4">
        <v>105.41420431698076</v>
      </c>
      <c r="J191" s="4">
        <v>88.655434672037742</v>
      </c>
      <c r="K191" s="4">
        <v>9.9698766825927709</v>
      </c>
      <c r="L191" s="4">
        <v>2.1566365957260123</v>
      </c>
      <c r="M191" s="4">
        <v>1.6601833154757824</v>
      </c>
      <c r="N191" s="4">
        <v>-1.2439893384774519</v>
      </c>
      <c r="O191" s="4">
        <v>1.5640342930952718</v>
      </c>
    </row>
    <row r="192" spans="1:15" x14ac:dyDescent="0.3">
      <c r="A192" s="6" t="s">
        <v>410</v>
      </c>
      <c r="B192" s="4">
        <v>1.0866186084465879</v>
      </c>
      <c r="C192" s="4">
        <v>11.116394002167437</v>
      </c>
      <c r="D192" s="4">
        <v>26.548145058792262</v>
      </c>
      <c r="E192" s="4">
        <v>0.8106073139799469</v>
      </c>
      <c r="F192" s="4">
        <v>-1.0481960376103718</v>
      </c>
      <c r="G192" s="4">
        <v>81.624751580849164</v>
      </c>
      <c r="H192" s="4">
        <v>1.3101133406162266</v>
      </c>
      <c r="I192" s="4">
        <v>77.01449415418837</v>
      </c>
      <c r="J192" s="4">
        <v>17.841264981489918</v>
      </c>
      <c r="K192" s="4">
        <v>1.7996513088544215</v>
      </c>
      <c r="L192" s="4">
        <v>2.0400519669055943</v>
      </c>
      <c r="M192" s="4">
        <v>1.668000712990761</v>
      </c>
      <c r="N192" s="4">
        <v>-0.42136695173879457</v>
      </c>
      <c r="O192" s="4">
        <v>1.5385544449090949</v>
      </c>
    </row>
    <row r="193" spans="1:15" x14ac:dyDescent="0.3">
      <c r="A193" s="6" t="s">
        <v>412</v>
      </c>
      <c r="B193" s="4" t="s">
        <v>37</v>
      </c>
      <c r="C193" s="4">
        <v>7.1012393710452253</v>
      </c>
      <c r="D193" s="4">
        <v>16.769092348928769</v>
      </c>
      <c r="E193" s="4">
        <v>1.6543005661730621</v>
      </c>
      <c r="F193" s="4">
        <v>-0.60865358635783195</v>
      </c>
      <c r="G193" s="4">
        <v>70.549555555555571</v>
      </c>
      <c r="H193" s="4">
        <v>-1.4789292486384513</v>
      </c>
      <c r="I193" s="4">
        <v>118.72806331089562</v>
      </c>
      <c r="J193" s="4">
        <v>40.514259465535481</v>
      </c>
      <c r="K193" s="4">
        <v>9.3027681559324265</v>
      </c>
      <c r="L193" s="4">
        <v>-1.2262094529966518</v>
      </c>
      <c r="M193" s="4">
        <v>-1.3806654537717502</v>
      </c>
      <c r="N193" s="4">
        <v>3.1483575818128932E-2</v>
      </c>
      <c r="O193" s="4">
        <v>-1.7683587570985166</v>
      </c>
    </row>
    <row r="194" spans="1:15" x14ac:dyDescent="0.3">
      <c r="A194" s="6" t="s">
        <v>414</v>
      </c>
      <c r="B194" s="4">
        <v>4.1249700137305112</v>
      </c>
      <c r="C194" s="4">
        <v>6.1211445084042619</v>
      </c>
      <c r="D194" s="4">
        <v>21.693774092170912</v>
      </c>
      <c r="E194" s="4">
        <v>1.9260945839134302</v>
      </c>
      <c r="F194" s="4">
        <v>0.21464928224061927</v>
      </c>
      <c r="G194" s="4">
        <v>66.483888888888885</v>
      </c>
      <c r="H194" s="4">
        <v>-1.0427131702502572</v>
      </c>
      <c r="I194" s="4">
        <v>102.49238755967887</v>
      </c>
      <c r="J194" s="4">
        <v>90.818712310791</v>
      </c>
      <c r="K194" s="4">
        <v>44.724277001840107</v>
      </c>
      <c r="L194" s="4">
        <v>-1.2456894318262728</v>
      </c>
      <c r="M194" s="4">
        <v>-1.1329127872983606</v>
      </c>
      <c r="N194" s="4">
        <v>-1.0208057574927802</v>
      </c>
      <c r="O194" s="4">
        <v>-1.4782085220019034</v>
      </c>
    </row>
    <row r="195" spans="1:15" x14ac:dyDescent="0.3">
      <c r="A195" s="6" t="s">
        <v>416</v>
      </c>
      <c r="B195" s="4">
        <v>2.7690249847342141</v>
      </c>
      <c r="C195" s="4">
        <v>6.2263397934363551</v>
      </c>
      <c r="D195" s="4">
        <v>29.6747256880385</v>
      </c>
      <c r="E195" s="4">
        <v>2.8367787716111521</v>
      </c>
      <c r="F195" s="4">
        <v>-1.0162809349241715</v>
      </c>
      <c r="G195" s="4">
        <v>58.688481481481489</v>
      </c>
      <c r="H195" s="4">
        <v>-0.38312481921942276</v>
      </c>
      <c r="I195" s="4">
        <v>93.513737222422719</v>
      </c>
      <c r="J195" s="4">
        <v>80.430692195892334</v>
      </c>
      <c r="K195" s="4">
        <v>21.810807037353506</v>
      </c>
      <c r="L195" s="4">
        <v>-0.57167017956574762</v>
      </c>
      <c r="M195" s="4">
        <v>-0.50667604058980942</v>
      </c>
      <c r="N195" s="4">
        <v>-0.81485468149185181</v>
      </c>
      <c r="O195" s="4">
        <v>-0.35846228152513504</v>
      </c>
    </row>
    <row r="196" spans="1:15" x14ac:dyDescent="0.3">
      <c r="A196" s="6" t="s">
        <v>418</v>
      </c>
      <c r="B196" s="4">
        <v>2.0864515598342681</v>
      </c>
      <c r="C196" s="4">
        <v>8.1873172344295302</v>
      </c>
      <c r="D196" s="4">
        <v>25.618381108798953</v>
      </c>
      <c r="E196" s="4">
        <v>0.71979936802079147</v>
      </c>
      <c r="F196" s="4">
        <v>-1.1737078453103702</v>
      </c>
      <c r="G196" s="4">
        <v>75.314333333333352</v>
      </c>
      <c r="H196" s="4">
        <v>-0.67410661031802499</v>
      </c>
      <c r="I196" s="4">
        <v>109.3255672454835</v>
      </c>
      <c r="J196" s="4">
        <v>90.510412216186509</v>
      </c>
      <c r="K196" s="4">
        <v>13.961263942718492</v>
      </c>
      <c r="L196" s="4">
        <v>-0.37778530580302089</v>
      </c>
      <c r="M196" s="4">
        <v>0.14474177178150663</v>
      </c>
      <c r="N196" s="4">
        <v>0.32072032332265121</v>
      </c>
      <c r="O196" s="4">
        <v>-0.42544391161451761</v>
      </c>
    </row>
    <row r="197" spans="1:15" x14ac:dyDescent="0.3">
      <c r="A197" s="6" t="s">
        <v>420</v>
      </c>
      <c r="B197" s="4" t="s">
        <v>37</v>
      </c>
      <c r="C197" s="4" t="s">
        <v>37</v>
      </c>
      <c r="D197" s="4">
        <v>31.0014666846218</v>
      </c>
      <c r="E197" s="4">
        <v>1.8140193875246122</v>
      </c>
      <c r="F197" s="4">
        <v>-0.23500039266716488</v>
      </c>
      <c r="G197" s="4">
        <v>61.674037037037031</v>
      </c>
      <c r="H197" s="4">
        <v>-0.25830232368951495</v>
      </c>
      <c r="I197" s="4">
        <v>122.36159091525626</v>
      </c>
      <c r="J197" s="4">
        <v>66.042871475219727</v>
      </c>
      <c r="K197" s="4">
        <v>14.004893938700372</v>
      </c>
      <c r="L197" s="4">
        <v>-0.5170661104576928</v>
      </c>
      <c r="M197" s="4">
        <v>-1.0422194216932563</v>
      </c>
      <c r="N197" s="4">
        <v>-3.1685032959406619E-2</v>
      </c>
      <c r="O197" s="4">
        <v>1.5241507751246204E-2</v>
      </c>
    </row>
    <row r="198" spans="1:15" x14ac:dyDescent="0.3">
      <c r="A198" s="6" t="s">
        <v>422</v>
      </c>
      <c r="B198" s="4">
        <v>1.105861156886756</v>
      </c>
      <c r="C198" s="4">
        <v>6.4922258635566905</v>
      </c>
      <c r="D198" s="4">
        <v>17.709175463970936</v>
      </c>
      <c r="E198" s="4">
        <v>2.7538823055001722</v>
      </c>
      <c r="F198" s="4">
        <v>0.25831535132601863</v>
      </c>
      <c r="G198" s="4">
        <v>57.160148148148146</v>
      </c>
      <c r="H198" s="4">
        <v>-0.45801909407600777</v>
      </c>
      <c r="I198" s="4">
        <v>108.02135614248417</v>
      </c>
      <c r="J198" s="4">
        <v>98.129552568708078</v>
      </c>
      <c r="K198" s="4">
        <v>7.4445398251215664</v>
      </c>
      <c r="L198" s="4">
        <v>-0.86096915105978666</v>
      </c>
      <c r="M198" s="4">
        <v>-0.80108781034747756</v>
      </c>
      <c r="N198" s="4">
        <v>-4.5404820702970007E-2</v>
      </c>
      <c r="O198" s="4">
        <v>-0.94483815630277002</v>
      </c>
    </row>
    <row r="199" spans="1:15" x14ac:dyDescent="0.3">
      <c r="A199" s="6" t="s">
        <v>424</v>
      </c>
      <c r="B199" s="4" t="s">
        <v>37</v>
      </c>
      <c r="C199" s="4">
        <v>8.0887306887427748</v>
      </c>
      <c r="D199" s="4">
        <v>23.406532705528392</v>
      </c>
      <c r="E199" s="4">
        <v>0.24651531728844309</v>
      </c>
      <c r="F199" s="4">
        <v>0.15300454592215831</v>
      </c>
      <c r="G199" s="4">
        <v>69.876333333333349</v>
      </c>
      <c r="H199" s="4">
        <v>0.76825968846678727</v>
      </c>
      <c r="I199" s="4" t="s">
        <v>37</v>
      </c>
      <c r="J199" s="4" t="s">
        <v>37</v>
      </c>
      <c r="K199" s="4">
        <v>7.5925984382629315</v>
      </c>
      <c r="L199" s="4">
        <v>-0.48400816556654486</v>
      </c>
      <c r="M199" s="4">
        <v>-0.51053034945538156</v>
      </c>
      <c r="N199" s="4">
        <v>-0.12696256220806398</v>
      </c>
      <c r="O199" s="4">
        <v>0.32476819500637555</v>
      </c>
    </row>
    <row r="200" spans="1:15" x14ac:dyDescent="0.3">
      <c r="A200" s="6" t="s">
        <v>426</v>
      </c>
      <c r="B200" s="4">
        <v>2.6234652987701113</v>
      </c>
      <c r="C200" s="4">
        <v>8.8586320113979582</v>
      </c>
      <c r="D200" s="4" t="s">
        <v>37</v>
      </c>
      <c r="E200" s="4">
        <v>0.58040938002544962</v>
      </c>
      <c r="F200" s="4">
        <v>9.8399460723157917E-2</v>
      </c>
      <c r="G200" s="4">
        <v>71.837222222222209</v>
      </c>
      <c r="H200" s="4">
        <v>8.3380574981371566E-2</v>
      </c>
      <c r="I200" s="4">
        <v>107.38249411949748</v>
      </c>
      <c r="J200" s="4">
        <v>77.486852736700143</v>
      </c>
      <c r="K200" s="4">
        <v>27.567773239953176</v>
      </c>
      <c r="L200" s="4">
        <v>-8.6966977842772963E-2</v>
      </c>
      <c r="M200" s="4">
        <v>0.34351748003003491</v>
      </c>
      <c r="N200" s="4">
        <v>-1.4572718838850658</v>
      </c>
      <c r="O200" s="4">
        <v>0.57892050097386039</v>
      </c>
    </row>
    <row r="201" spans="1:15" x14ac:dyDescent="0.3">
      <c r="A201" s="6" t="s">
        <v>428</v>
      </c>
      <c r="B201" s="4">
        <v>1.986854719688691</v>
      </c>
      <c r="C201" s="4">
        <v>7.7360439113650203</v>
      </c>
      <c r="D201" s="4">
        <v>22.188290698195466</v>
      </c>
      <c r="E201" s="4">
        <v>1.0755259407069127</v>
      </c>
      <c r="F201" s="4">
        <v>-1.1936781530578922</v>
      </c>
      <c r="G201" s="4">
        <v>74.649555555555565</v>
      </c>
      <c r="H201" s="4">
        <v>-0.32043749761457241</v>
      </c>
      <c r="I201" s="4">
        <v>104.3015374755859</v>
      </c>
      <c r="J201" s="4">
        <v>92.071235198974648</v>
      </c>
      <c r="K201" s="4">
        <v>61.601280746460006</v>
      </c>
      <c r="L201" s="4">
        <v>-0.11884760573351127</v>
      </c>
      <c r="M201" s="4">
        <v>-0.16648540808819234</v>
      </c>
      <c r="N201" s="4">
        <v>0.78836465254426014</v>
      </c>
      <c r="O201" s="4">
        <v>-0.48818547371774867</v>
      </c>
    </row>
    <row r="202" spans="1:15" x14ac:dyDescent="0.3">
      <c r="A202" s="6" t="s">
        <v>430</v>
      </c>
      <c r="B202" s="4">
        <v>3.3975620005090912</v>
      </c>
      <c r="C202" s="4">
        <v>8.6486386622849292</v>
      </c>
      <c r="D202" s="4">
        <v>25.766886736109765</v>
      </c>
      <c r="E202" s="4">
        <v>1.3451325143211879</v>
      </c>
      <c r="F202" s="4">
        <v>-0.55781411712891182</v>
      </c>
      <c r="G202" s="4">
        <v>74.145037037037028</v>
      </c>
      <c r="H202" s="4">
        <v>-1.095592809220155</v>
      </c>
      <c r="I202" s="4">
        <v>100.15036145378562</v>
      </c>
      <c r="J202" s="4">
        <v>80.513568878173828</v>
      </c>
      <c r="K202" s="4" t="s">
        <v>37</v>
      </c>
      <c r="L202" s="4">
        <v>-0.15513957136621073</v>
      </c>
      <c r="M202" s="4">
        <v>0.18505765544250605</v>
      </c>
      <c r="N202" s="4">
        <v>-0.44291973362366366</v>
      </c>
      <c r="O202" s="4">
        <v>-0.35477988470969041</v>
      </c>
    </row>
    <row r="203" spans="1:15" x14ac:dyDescent="0.3">
      <c r="A203" s="6" t="s">
        <v>432</v>
      </c>
      <c r="B203" s="4">
        <v>4.978647623462451</v>
      </c>
      <c r="C203" s="4">
        <v>7.5834179474562466</v>
      </c>
      <c r="D203" s="4">
        <v>34.34867866335572</v>
      </c>
      <c r="E203" s="4">
        <v>1.5788635515069569</v>
      </c>
      <c r="F203" s="4">
        <v>-0.57634431247909867</v>
      </c>
      <c r="G203" s="4">
        <v>66.923148148148144</v>
      </c>
      <c r="H203" s="4">
        <v>7.8050591866485594E-2</v>
      </c>
      <c r="I203" s="4">
        <v>89.574327741350444</v>
      </c>
      <c r="J203" s="4">
        <v>23.172368248303741</v>
      </c>
      <c r="K203" s="4">
        <v>2.2427409319650558</v>
      </c>
      <c r="L203" s="4">
        <v>-1.3009378413359329</v>
      </c>
      <c r="M203" s="4">
        <v>-1.95056747396787</v>
      </c>
      <c r="N203" s="4">
        <v>-0.81876017401615764</v>
      </c>
      <c r="O203" s="4">
        <v>-2.0397938390572858</v>
      </c>
    </row>
    <row r="204" spans="1:15" x14ac:dyDescent="0.3">
      <c r="A204" s="6" t="s">
        <v>434</v>
      </c>
      <c r="B204" s="4" t="s">
        <v>37</v>
      </c>
      <c r="C204" s="4" t="s">
        <v>37</v>
      </c>
      <c r="D204" s="4" t="s">
        <v>37</v>
      </c>
      <c r="E204" s="4">
        <v>4.1242744836897653</v>
      </c>
      <c r="F204" s="4">
        <v>-0.62243833144505822</v>
      </c>
      <c r="G204" s="4">
        <v>75.352925925925931</v>
      </c>
      <c r="H204" s="4" t="s">
        <v>37</v>
      </c>
      <c r="I204" s="4">
        <v>115.41335396144703</v>
      </c>
      <c r="J204" s="4">
        <v>22.26985636624422</v>
      </c>
      <c r="K204" s="4">
        <v>3.5281586382124157</v>
      </c>
      <c r="L204" s="4" t="s">
        <v>37</v>
      </c>
      <c r="M204" s="4" t="s">
        <v>37</v>
      </c>
      <c r="N204" s="4">
        <v>0.60185801610350598</v>
      </c>
      <c r="O204" s="4" t="s">
        <v>37</v>
      </c>
    </row>
    <row r="205" spans="1:15" x14ac:dyDescent="0.3">
      <c r="A205" s="6" t="s">
        <v>436</v>
      </c>
      <c r="B205" s="4">
        <v>1.5784869708052485</v>
      </c>
      <c r="C205" s="4">
        <v>7.8682842150422934</v>
      </c>
      <c r="D205" s="4" t="s">
        <v>37</v>
      </c>
      <c r="E205" s="4">
        <v>0.60136067883068278</v>
      </c>
      <c r="F205" s="4">
        <v>1.0701959232489273</v>
      </c>
      <c r="G205" s="4">
        <v>63.841888888888889</v>
      </c>
      <c r="H205" s="4">
        <v>1.3025975823402396</v>
      </c>
      <c r="I205" s="4">
        <v>100.56664510873641</v>
      </c>
      <c r="J205" s="4">
        <v>94.607727714206845</v>
      </c>
      <c r="K205" s="4">
        <v>69.897944556342225</v>
      </c>
      <c r="L205" s="4">
        <v>5.3607831905154793E-2</v>
      </c>
      <c r="M205" s="4">
        <v>-0.71150325395558922</v>
      </c>
      <c r="N205" s="4">
        <v>1.6527150720357906</v>
      </c>
      <c r="O205" s="4">
        <v>0.96772478272517504</v>
      </c>
    </row>
    <row r="206" spans="1:15" x14ac:dyDescent="0.3">
      <c r="A206" s="6" t="s">
        <v>438</v>
      </c>
      <c r="B206" s="4">
        <v>2.8205910831362146</v>
      </c>
      <c r="C206" s="4">
        <v>6.0888241634175539</v>
      </c>
      <c r="D206" s="4">
        <v>22.294628564622375</v>
      </c>
      <c r="E206" s="4">
        <v>3.0481428716073347</v>
      </c>
      <c r="F206" s="4">
        <v>1.6002472639083865</v>
      </c>
      <c r="G206" s="4">
        <v>55.151703703703703</v>
      </c>
      <c r="H206" s="4">
        <v>-1.0074230656027792</v>
      </c>
      <c r="I206" s="4">
        <v>109.93105146620003</v>
      </c>
      <c r="J206" s="4">
        <v>102.95748226459204</v>
      </c>
      <c r="K206" s="4">
        <v>50.173635787963867</v>
      </c>
      <c r="L206" s="4">
        <v>-0.97269408404827129</v>
      </c>
      <c r="M206" s="4">
        <v>-0.24676833449242008</v>
      </c>
      <c r="N206" s="4">
        <v>1.534177566568057</v>
      </c>
      <c r="O206" s="4">
        <v>-0.65796313559015585</v>
      </c>
    </row>
    <row r="207" spans="1:15" x14ac:dyDescent="0.3">
      <c r="A207" s="6" t="s">
        <v>440</v>
      </c>
      <c r="B207" s="4">
        <v>1.1376624046611328</v>
      </c>
      <c r="C207" s="4">
        <v>7.3117593593713996</v>
      </c>
      <c r="D207" s="4">
        <v>18.838075357092372</v>
      </c>
      <c r="E207" s="4">
        <v>-1.1148031316670506</v>
      </c>
      <c r="F207" s="4">
        <v>1.5205664883057279</v>
      </c>
      <c r="G207" s="4">
        <v>69.356802168021687</v>
      </c>
      <c r="H207" s="4">
        <v>-0.76822067114214099</v>
      </c>
      <c r="I207" s="4">
        <v>101.30491256713867</v>
      </c>
      <c r="J207" s="4">
        <v>97.262175968715127</v>
      </c>
      <c r="K207" s="4">
        <v>83.744613102504175</v>
      </c>
      <c r="L207" s="4">
        <v>-0.95547784119844448</v>
      </c>
      <c r="M207" s="4">
        <v>-0.45663861930370325</v>
      </c>
      <c r="N207" s="4">
        <v>0.63242913037538528</v>
      </c>
      <c r="O207" s="4">
        <v>-0.16138670583798853</v>
      </c>
    </row>
    <row r="208" spans="1:15" x14ac:dyDescent="0.3">
      <c r="A208" s="6" t="s">
        <v>442</v>
      </c>
      <c r="B208" s="4">
        <v>-1.1750292055523914</v>
      </c>
      <c r="C208" s="4">
        <v>11.048946595620798</v>
      </c>
      <c r="D208" s="4">
        <v>20.742910987674154</v>
      </c>
      <c r="E208" s="4">
        <v>4.998665267010189</v>
      </c>
      <c r="F208" s="4">
        <v>0.5291007161140443</v>
      </c>
      <c r="G208" s="4">
        <v>76.906444444444432</v>
      </c>
      <c r="H208" s="4">
        <v>0.80369093020757043</v>
      </c>
      <c r="I208" s="4">
        <v>98.181187765938901</v>
      </c>
      <c r="J208" s="4">
        <v>91.555700550908625</v>
      </c>
      <c r="K208" s="4">
        <v>12.082455277442934</v>
      </c>
      <c r="L208" s="4">
        <v>0.93317035783547908</v>
      </c>
      <c r="M208" s="4">
        <v>0.77626204118132636</v>
      </c>
      <c r="N208" s="4">
        <v>-1.2243566090861953</v>
      </c>
      <c r="O208" s="4">
        <v>-0.91431955496470085</v>
      </c>
    </row>
    <row r="209" spans="1:15" x14ac:dyDescent="0.3">
      <c r="A209" s="6" t="s">
        <v>444</v>
      </c>
      <c r="B209" s="4">
        <v>1.3903776478579877</v>
      </c>
      <c r="C209" s="4">
        <v>10.404544744678809</v>
      </c>
      <c r="D209" s="4">
        <v>17.421529668901169</v>
      </c>
      <c r="E209" s="4">
        <v>0.52192857826984895</v>
      </c>
      <c r="F209" s="4">
        <v>-0.85515768826007921</v>
      </c>
      <c r="G209" s="4">
        <v>79.475293586269217</v>
      </c>
      <c r="H209" s="4">
        <v>0.47458318651964276</v>
      </c>
      <c r="I209" s="4">
        <v>111.39019941247015</v>
      </c>
      <c r="J209" s="4">
        <v>100.74340711321145</v>
      </c>
      <c r="K209" s="4">
        <v>23.699975013732903</v>
      </c>
      <c r="L209" s="4">
        <v>1.7927465587854379</v>
      </c>
      <c r="M209" s="4">
        <v>1.7222464531660087</v>
      </c>
      <c r="N209" s="4">
        <v>0.44376079210390657</v>
      </c>
      <c r="O209" s="4">
        <v>1.3186499178409572</v>
      </c>
    </row>
    <row r="210" spans="1:15" x14ac:dyDescent="0.3">
      <c r="A210" s="6" t="s">
        <v>446</v>
      </c>
      <c r="B210" s="4">
        <v>1.5165362245447289</v>
      </c>
      <c r="C210" s="4">
        <v>10.641146237499411</v>
      </c>
      <c r="D210" s="4">
        <v>21.132680211266869</v>
      </c>
      <c r="E210" s="4">
        <v>0.84418802492518952</v>
      </c>
      <c r="F210" s="4">
        <v>-0.44724101298733759</v>
      </c>
      <c r="G210" s="4">
        <v>77.621499548328828</v>
      </c>
      <c r="H210" s="4">
        <v>0.395394534803927</v>
      </c>
      <c r="I210" s="4">
        <v>101.15223112560447</v>
      </c>
      <c r="J210" s="4">
        <v>77.28393072831004</v>
      </c>
      <c r="K210" s="4">
        <v>50.734186490376779</v>
      </c>
      <c r="L210" s="4">
        <v>1.3903871973355597</v>
      </c>
      <c r="M210" s="4">
        <v>1.4741641680399578</v>
      </c>
      <c r="N210" s="4">
        <v>-1.6780482729276029</v>
      </c>
      <c r="O210" s="4">
        <v>1.1273661156495409</v>
      </c>
    </row>
    <row r="211" spans="1:15" x14ac:dyDescent="0.3">
      <c r="A211" s="6" t="s">
        <v>448</v>
      </c>
      <c r="B211" s="4">
        <v>2.3358055670246181</v>
      </c>
      <c r="C211" s="4">
        <v>9.1865754989832826</v>
      </c>
      <c r="D211" s="4">
        <v>16.902081330767651</v>
      </c>
      <c r="E211" s="4">
        <v>0.25161964764506056</v>
      </c>
      <c r="F211" s="4">
        <v>-1.1918542161583907</v>
      </c>
      <c r="G211" s="4">
        <v>76.253962962962959</v>
      </c>
      <c r="H211" s="4">
        <v>0.88435485462347685</v>
      </c>
      <c r="I211" s="4">
        <v>110.1084156036376</v>
      </c>
      <c r="J211" s="4">
        <v>98.07501029968266</v>
      </c>
      <c r="K211" s="4">
        <v>44.26933161417643</v>
      </c>
      <c r="L211" s="4">
        <v>1.237697233756383</v>
      </c>
      <c r="M211" s="4">
        <v>0.59500909845034278</v>
      </c>
      <c r="N211" s="4">
        <v>-0.37010269053280354</v>
      </c>
      <c r="O211" s="4">
        <v>1.0875176837046934</v>
      </c>
    </row>
    <row r="212" spans="1:15" x14ac:dyDescent="0.3">
      <c r="A212" s="6" t="s">
        <v>450</v>
      </c>
      <c r="B212" s="4">
        <v>4.2025446861504001</v>
      </c>
      <c r="C212" s="4">
        <v>7.0413863436018111</v>
      </c>
      <c r="D212" s="4">
        <v>25.369274100771523</v>
      </c>
      <c r="E212" s="4">
        <v>1.6630792995221853</v>
      </c>
      <c r="F212" s="4">
        <v>-0.17568633697616562</v>
      </c>
      <c r="G212" s="4">
        <v>68.281962962962965</v>
      </c>
      <c r="H212" s="4">
        <v>-0.77658161272605242</v>
      </c>
      <c r="I212" s="4" t="s">
        <v>37</v>
      </c>
      <c r="J212" s="4" t="s">
        <v>37</v>
      </c>
      <c r="K212" s="4" t="s">
        <v>37</v>
      </c>
      <c r="L212" s="4">
        <v>-1.1185982748866079</v>
      </c>
      <c r="M212" s="4">
        <v>-1.4585877433419221</v>
      </c>
      <c r="N212" s="4">
        <v>0.84513628551442432</v>
      </c>
      <c r="O212" s="4">
        <v>-1.8405121763547259</v>
      </c>
    </row>
    <row r="213" spans="1:15" x14ac:dyDescent="0.3">
      <c r="A213" s="6" t="s">
        <v>452</v>
      </c>
      <c r="B213" s="4">
        <v>-0.12448700294197534</v>
      </c>
      <c r="C213" s="4">
        <v>7.8875986546783379</v>
      </c>
      <c r="D213" s="4">
        <v>27.570045238608021</v>
      </c>
      <c r="E213" s="4">
        <v>2.4064612240417982</v>
      </c>
      <c r="F213" s="4">
        <v>1.0525227000838837</v>
      </c>
      <c r="G213" s="4">
        <v>69.356259259259261</v>
      </c>
      <c r="H213" s="4">
        <v>0.9938668919106326</v>
      </c>
      <c r="I213" s="4">
        <v>108.86285400390624</v>
      </c>
      <c r="J213" s="4">
        <v>88.073493533664291</v>
      </c>
      <c r="K213" s="4">
        <v>19.769844561815258</v>
      </c>
      <c r="L213" s="4">
        <v>0.13763906502087292</v>
      </c>
      <c r="M213" s="4">
        <v>-0.36661267106568346</v>
      </c>
      <c r="N213" s="4">
        <v>-0.37896779552102089</v>
      </c>
      <c r="O213" s="4">
        <v>0.5534880720078944</v>
      </c>
    </row>
    <row r="214" spans="1:15" x14ac:dyDescent="0.3">
      <c r="A214" s="6" t="s">
        <v>454</v>
      </c>
      <c r="B214" s="4" t="s">
        <v>37</v>
      </c>
      <c r="C214" s="4" t="s">
        <v>37</v>
      </c>
      <c r="D214" s="4">
        <v>21.178874265154974</v>
      </c>
      <c r="E214" s="4">
        <v>0.95835637647928618</v>
      </c>
      <c r="F214" s="4">
        <v>-0.83351415147384034</v>
      </c>
      <c r="G214" s="4">
        <v>72.36870370370373</v>
      </c>
      <c r="H214" s="4">
        <v>-1.1624949822823207</v>
      </c>
      <c r="I214" s="4">
        <v>111.29775772094736</v>
      </c>
      <c r="J214" s="4">
        <v>46.315955942327321</v>
      </c>
      <c r="K214" s="4">
        <v>4.3926399946212769</v>
      </c>
      <c r="L214" s="4">
        <v>-1.224823007980983</v>
      </c>
      <c r="M214" s="4">
        <v>-1.4663398638367651</v>
      </c>
      <c r="N214" s="4">
        <v>-1.389489824573199</v>
      </c>
      <c r="O214" s="4">
        <v>-0.87021417108674826</v>
      </c>
    </row>
    <row r="215" spans="1:15" x14ac:dyDescent="0.3">
      <c r="A215" s="6" t="s">
        <v>456</v>
      </c>
      <c r="B215" s="4">
        <v>5.3016675436850402</v>
      </c>
      <c r="C215" s="4">
        <v>6.8091830849186685</v>
      </c>
      <c r="D215" s="4">
        <v>30.184489012899068</v>
      </c>
      <c r="E215" s="4">
        <v>1.0831100080819802</v>
      </c>
      <c r="F215" s="4">
        <v>-1.3705965528885526</v>
      </c>
      <c r="G215" s="4">
        <v>73.239296296296288</v>
      </c>
      <c r="H215" s="4">
        <v>0.19505456602200863</v>
      </c>
      <c r="I215" s="4">
        <v>100.37949488713187</v>
      </c>
      <c r="J215" s="4">
        <v>79.391341018676755</v>
      </c>
      <c r="K215" s="4">
        <v>12.360908687114708</v>
      </c>
      <c r="L215" s="4">
        <v>-0.54292681813240051</v>
      </c>
      <c r="M215" s="4">
        <v>-0.55476633335153258</v>
      </c>
      <c r="N215" s="4">
        <v>-0.43862819050749141</v>
      </c>
      <c r="O215" s="4">
        <v>-1.3958408286174133</v>
      </c>
    </row>
    <row r="216" spans="1:15" x14ac:dyDescent="0.3">
      <c r="A216" s="6" t="s">
        <v>458</v>
      </c>
      <c r="B216" s="4" t="s">
        <v>37</v>
      </c>
      <c r="C216" s="4" t="s">
        <v>37</v>
      </c>
      <c r="D216" s="4" t="s">
        <v>37</v>
      </c>
      <c r="E216" s="4">
        <v>-6.396579060140109E-2</v>
      </c>
      <c r="F216" s="4">
        <v>-0.79957710454861308</v>
      </c>
      <c r="G216" s="4">
        <v>77.199416440831087</v>
      </c>
      <c r="H216" s="4">
        <v>0.72367225352086484</v>
      </c>
      <c r="I216" s="4" t="s">
        <v>37</v>
      </c>
      <c r="J216" s="4" t="s">
        <v>37</v>
      </c>
      <c r="K216" s="4" t="s">
        <v>37</v>
      </c>
      <c r="L216" s="4">
        <v>0.59483551368803567</v>
      </c>
      <c r="M216" s="4">
        <v>0.85589532475722518</v>
      </c>
      <c r="N216" s="4">
        <v>-1.4905985469619434</v>
      </c>
      <c r="O216" s="4">
        <v>0.80674775838851931</v>
      </c>
    </row>
    <row r="217" spans="1:15" x14ac:dyDescent="0.3">
      <c r="A217" s="6" t="s">
        <v>460</v>
      </c>
      <c r="B217" s="4">
        <v>1.2911617902775507</v>
      </c>
      <c r="C217" s="4">
        <v>7.6913223755616151</v>
      </c>
      <c r="D217" s="4">
        <v>25.484687345721987</v>
      </c>
      <c r="E217" s="4">
        <v>2.7028420838209888</v>
      </c>
      <c r="F217" s="4">
        <v>-1.1892741670211155</v>
      </c>
      <c r="G217" s="4">
        <v>72.381555555555551</v>
      </c>
      <c r="H217" s="4">
        <v>-1.7707397043704978</v>
      </c>
      <c r="I217" s="4">
        <v>80.738377888997391</v>
      </c>
      <c r="J217" s="4">
        <v>42.454604408957742</v>
      </c>
      <c r="K217" s="4">
        <v>8.946853240331011</v>
      </c>
      <c r="L217" s="4">
        <v>-0.28897982626222074</v>
      </c>
      <c r="M217" s="4">
        <v>-0.37616681905880539</v>
      </c>
      <c r="N217" s="4">
        <v>-1.4905985469619434</v>
      </c>
      <c r="O217" s="4">
        <v>-0.87792679667472839</v>
      </c>
    </row>
    <row r="218" spans="1:15" x14ac:dyDescent="0.3">
      <c r="A218" s="6" t="s">
        <v>462</v>
      </c>
      <c r="B218" s="4">
        <v>-2.4770891343877222</v>
      </c>
      <c r="C218" s="4">
        <v>7.602707540341493</v>
      </c>
      <c r="D218" s="4">
        <v>14.266805774245681</v>
      </c>
      <c r="E218" s="4">
        <v>2.7611886316698175</v>
      </c>
      <c r="F218" s="4">
        <v>-1.4936952640612924</v>
      </c>
      <c r="G218" s="4">
        <v>64.812703703703733</v>
      </c>
      <c r="H218" s="4">
        <v>-2.120327010750771</v>
      </c>
      <c r="I218" s="4">
        <v>101.43924302321214</v>
      </c>
      <c r="J218" s="4">
        <v>92.050065040588336</v>
      </c>
      <c r="K218" s="4">
        <v>20.39239009221394</v>
      </c>
      <c r="L218" s="4">
        <v>-1.2456549058357878</v>
      </c>
      <c r="M218" s="4">
        <v>-1.0438314874966934</v>
      </c>
      <c r="N218" s="4">
        <v>-1.42009029785792</v>
      </c>
      <c r="O218" s="4">
        <v>-1.3060015812516208</v>
      </c>
    </row>
    <row r="219" spans="1:15" x14ac:dyDescent="0.3">
      <c r="A219" s="6" t="s">
        <v>464</v>
      </c>
      <c r="B219" s="4">
        <v>1.9478464188299016</v>
      </c>
      <c r="C219" s="4">
        <v>6.6554703401968425</v>
      </c>
      <c r="D219" s="4">
        <v>31.064951633042213</v>
      </c>
      <c r="E219" s="4">
        <v>3.0699553273716771</v>
      </c>
      <c r="F219" s="4">
        <v>2.0878915054102758E-2</v>
      </c>
      <c r="G219" s="4">
        <v>53.829740740740739</v>
      </c>
      <c r="H219" s="4">
        <v>0.19977240419636175</v>
      </c>
      <c r="I219" s="4">
        <v>99.931925455729129</v>
      </c>
      <c r="J219" s="4" t="s">
        <v>37</v>
      </c>
      <c r="K219" s="4">
        <v>3.2127774953842199</v>
      </c>
      <c r="L219" s="4">
        <v>-0.56418023382623994</v>
      </c>
      <c r="M219" s="4">
        <v>-0.55065084745486581</v>
      </c>
      <c r="N219" s="4">
        <v>-0.67244340355197585</v>
      </c>
      <c r="O219" s="4">
        <v>-0.27761442990352703</v>
      </c>
    </row>
    <row r="220" spans="1:15" x14ac:dyDescent="0.3">
      <c r="A220" s="6" t="s">
        <v>466</v>
      </c>
      <c r="B220" s="4">
        <v>-0.6616281493907028</v>
      </c>
      <c r="C220" s="4">
        <v>7.3839541219279194</v>
      </c>
      <c r="D220" s="4">
        <v>10.961840336907372</v>
      </c>
      <c r="E220" s="4">
        <v>1.4552407614716198</v>
      </c>
      <c r="F220" s="4">
        <v>-0.96427201355497016</v>
      </c>
      <c r="G220" s="4">
        <v>51.435296296296293</v>
      </c>
      <c r="H220" s="4">
        <v>-0.94737469529112162</v>
      </c>
      <c r="I220" s="4">
        <v>104.26700672350428</v>
      </c>
      <c r="J220" s="4">
        <v>43.698055648803702</v>
      </c>
      <c r="K220" s="4">
        <v>8.535463047027589</v>
      </c>
      <c r="L220" s="4">
        <v>-1.2313465947906173</v>
      </c>
      <c r="M220" s="4">
        <v>-1.6954995666941002</v>
      </c>
      <c r="N220" s="4">
        <v>-0.64930454517404235</v>
      </c>
      <c r="O220" s="4">
        <v>-1.2898004278540605</v>
      </c>
    </row>
    <row r="221" spans="1:15" x14ac:dyDescent="0.3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3">
      <c r="B222" s="4" t="s">
        <v>491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3">
      <c r="A224" t="s">
        <v>31</v>
      </c>
      <c r="B224" s="4" t="str">
        <f>IFERROR(DONNEES!B2-B4,"NA")</f>
        <v>NA</v>
      </c>
      <c r="C224" s="4" t="str">
        <f>IFERROR(DONNEES!C2-C4,"NA")</f>
        <v>NA</v>
      </c>
      <c r="D224" s="4">
        <f>IFERROR(DONNEES!D2-D4,"NA")</f>
        <v>0</v>
      </c>
      <c r="E224" s="4">
        <f>IFERROR(DONNEES!E2-E4,"NA")</f>
        <v>0</v>
      </c>
      <c r="F224" s="4">
        <f>IFERROR(DONNEES!F2-F4,"NA")</f>
        <v>0</v>
      </c>
      <c r="G224" s="4">
        <f>IFERROR(DONNEES!G2-G4,"NA")</f>
        <v>0</v>
      </c>
      <c r="H224" s="4">
        <f>IFERROR(DONNEES!H2-H4,"NA")</f>
        <v>0</v>
      </c>
      <c r="I224" s="4">
        <f>IFERROR(DONNEES!I2-I4,"NA")</f>
        <v>0</v>
      </c>
      <c r="J224" s="4">
        <f>IFERROR(DONNEES!J2-J4,"NA")</f>
        <v>0</v>
      </c>
      <c r="K224" s="4">
        <f>IFERROR(DONNEES!K2-K4,"NA")</f>
        <v>0</v>
      </c>
      <c r="L224" s="4">
        <f>IFERROR(DONNEES!L2-L4,"NA")</f>
        <v>0</v>
      </c>
      <c r="M224" s="4">
        <f>IFERROR(DONNEES!M2-M4,"NA")</f>
        <v>0</v>
      </c>
      <c r="N224" s="4">
        <f>IFERROR(DONNEES!N2-N4,"NA")</f>
        <v>0</v>
      </c>
      <c r="O224" s="4">
        <f>IFERROR(DONNEES!O2-O4,"NA")</f>
        <v>0</v>
      </c>
    </row>
    <row r="225" spans="1:15" x14ac:dyDescent="0.3">
      <c r="A225" t="s">
        <v>35</v>
      </c>
      <c r="B225" s="4">
        <f>IFERROR(DONNEES!B3-B5,"NA")</f>
        <v>0</v>
      </c>
      <c r="C225" s="4">
        <f>IFERROR(DONNEES!C3-C5,"NA")</f>
        <v>0</v>
      </c>
      <c r="D225" s="4">
        <f>IFERROR(DONNEES!D3-D5,"NA")</f>
        <v>0</v>
      </c>
      <c r="E225" s="4">
        <f>IFERROR(DONNEES!E3-E5,"NA")</f>
        <v>0</v>
      </c>
      <c r="F225" s="4">
        <f>IFERROR(DONNEES!F3-F5,"NA")</f>
        <v>0</v>
      </c>
      <c r="G225" s="4">
        <f>IFERROR(DONNEES!G3-G5,"NA")</f>
        <v>0</v>
      </c>
      <c r="H225" s="4">
        <f>IFERROR(DONNEES!H3-H5,"NA")</f>
        <v>0</v>
      </c>
      <c r="I225" s="4">
        <f>IFERROR(DONNEES!I3-I5,"NA")</f>
        <v>0</v>
      </c>
      <c r="J225" s="4">
        <f>IFERROR(DONNEES!J3-J5,"NA")</f>
        <v>0</v>
      </c>
      <c r="K225" s="4">
        <f>IFERROR(DONNEES!K3-K5,"NA")</f>
        <v>0</v>
      </c>
      <c r="L225" s="4">
        <f>IFERROR(DONNEES!L3-L5,"NA")</f>
        <v>0</v>
      </c>
      <c r="M225" s="4">
        <f>IFERROR(DONNEES!M3-M5,"NA")</f>
        <v>0</v>
      </c>
      <c r="N225" s="4">
        <f>IFERROR(DONNEES!N3-N5,"NA")</f>
        <v>0</v>
      </c>
      <c r="O225" s="4">
        <f>IFERROR(DONNEES!O3-O5,"NA")</f>
        <v>0</v>
      </c>
    </row>
    <row r="226" spans="1:15" x14ac:dyDescent="0.3">
      <c r="A226" t="s">
        <v>38</v>
      </c>
      <c r="B226" s="4">
        <f>IFERROR(DONNEES!B4-B6,"NA")</f>
        <v>0</v>
      </c>
      <c r="C226" s="4">
        <f>IFERROR(DONNEES!C4-C6,"NA")</f>
        <v>0</v>
      </c>
      <c r="D226" s="4">
        <f>IFERROR(DONNEES!D4-D6,"NA")</f>
        <v>0</v>
      </c>
      <c r="E226" s="4">
        <f>IFERROR(DONNEES!E4-E6,"NA")</f>
        <v>0</v>
      </c>
      <c r="F226" s="4">
        <f>IFERROR(DONNEES!F4-F6,"NA")</f>
        <v>0</v>
      </c>
      <c r="G226" s="4">
        <f>IFERROR(DONNEES!G4-G6,"NA")</f>
        <v>0</v>
      </c>
      <c r="H226" s="4">
        <f>IFERROR(DONNEES!H4-H6,"NA")</f>
        <v>0</v>
      </c>
      <c r="I226" s="4">
        <f>IFERROR(DONNEES!I4-I6,"NA")</f>
        <v>0</v>
      </c>
      <c r="J226" s="4">
        <f>IFERROR(DONNEES!J4-J6,"NA")</f>
        <v>0</v>
      </c>
      <c r="K226" s="4">
        <f>IFERROR(DONNEES!K4-K6,"NA")</f>
        <v>0</v>
      </c>
      <c r="L226" s="4">
        <f>IFERROR(DONNEES!L4-L6,"NA")</f>
        <v>0</v>
      </c>
      <c r="M226" s="4">
        <f>IFERROR(DONNEES!M4-M6,"NA")</f>
        <v>0</v>
      </c>
      <c r="N226" s="4">
        <f>IFERROR(DONNEES!N4-N6,"NA")</f>
        <v>0</v>
      </c>
      <c r="O226" s="4">
        <f>IFERROR(DONNEES!O4-O6,"NA")</f>
        <v>0</v>
      </c>
    </row>
    <row r="227" spans="1:15" x14ac:dyDescent="0.3">
      <c r="A227" t="s">
        <v>40</v>
      </c>
      <c r="B227" s="4" t="str">
        <f>IFERROR(DONNEES!B5-B7,"NA")</f>
        <v>NA</v>
      </c>
      <c r="C227" s="4" t="str">
        <f>IFERROR(DONNEES!C5-C7,"NA")</f>
        <v>NA</v>
      </c>
      <c r="D227" s="4" t="str">
        <f>IFERROR(DONNEES!D5-D7,"NA")</f>
        <v>NA</v>
      </c>
      <c r="E227" s="4">
        <f>IFERROR(DONNEES!E5-E7,"NA")</f>
        <v>0</v>
      </c>
      <c r="F227" s="4">
        <f>IFERROR(DONNEES!F5-F7,"NA")</f>
        <v>0</v>
      </c>
      <c r="G227" s="4" t="str">
        <f>IFERROR(DONNEES!G5-G7,"NA")</f>
        <v>NA</v>
      </c>
      <c r="H227" s="4">
        <f>IFERROR(DONNEES!H5-H7,"NA")</f>
        <v>0</v>
      </c>
      <c r="I227" s="4">
        <f>IFERROR(DONNEES!I5-I7,"NA")</f>
        <v>0</v>
      </c>
      <c r="J227" s="4">
        <f>IFERROR(DONNEES!J5-J7,"NA")</f>
        <v>0</v>
      </c>
      <c r="K227" s="4">
        <f>IFERROR(DONNEES!K5-K7,"NA")</f>
        <v>0</v>
      </c>
      <c r="L227" s="4">
        <f>IFERROR(DONNEES!L5-L7,"NA")</f>
        <v>0</v>
      </c>
      <c r="M227" s="4">
        <f>IFERROR(DONNEES!M5-M7,"NA")</f>
        <v>0</v>
      </c>
      <c r="N227" s="4">
        <f>IFERROR(DONNEES!N5-N7,"NA")</f>
        <v>0</v>
      </c>
      <c r="O227" s="4">
        <f>IFERROR(DONNEES!O5-O7,"NA")</f>
        <v>0</v>
      </c>
    </row>
    <row r="228" spans="1:15" x14ac:dyDescent="0.3">
      <c r="A228" t="s">
        <v>42</v>
      </c>
      <c r="B228" s="4">
        <f>IFERROR(DONNEES!B6-B8,"NA")</f>
        <v>0</v>
      </c>
      <c r="C228" s="4">
        <f>IFERROR(DONNEES!C6-C8,"NA")</f>
        <v>0</v>
      </c>
      <c r="D228" s="4" t="str">
        <f>IFERROR(DONNEES!D6-D8,"NA")</f>
        <v>NA</v>
      </c>
      <c r="E228" s="4">
        <f>IFERROR(DONNEES!E6-E8,"NA")</f>
        <v>0</v>
      </c>
      <c r="F228" s="4">
        <f>IFERROR(DONNEES!F6-F8,"NA")</f>
        <v>0</v>
      </c>
      <c r="G228" s="4" t="str">
        <f>IFERROR(DONNEES!G6-G8,"NA")</f>
        <v>NA</v>
      </c>
      <c r="H228" s="4">
        <f>IFERROR(DONNEES!H6-H8,"NA")</f>
        <v>0</v>
      </c>
      <c r="I228" s="4">
        <f>IFERROR(DONNEES!I6-I8,"NA")</f>
        <v>0</v>
      </c>
      <c r="J228" s="4">
        <f>IFERROR(DONNEES!J6-J8,"NA")</f>
        <v>0</v>
      </c>
      <c r="K228" s="4">
        <f>IFERROR(DONNEES!K6-K8,"NA")</f>
        <v>0</v>
      </c>
      <c r="L228" s="4">
        <f>IFERROR(DONNEES!L6-L8,"NA")</f>
        <v>0</v>
      </c>
      <c r="M228" s="4">
        <f>IFERROR(DONNEES!M6-M8,"NA")</f>
        <v>0</v>
      </c>
      <c r="N228" s="4">
        <f>IFERROR(DONNEES!N6-N8,"NA")</f>
        <v>0</v>
      </c>
      <c r="O228" s="4">
        <f>IFERROR(DONNEES!O6-O8,"NA")</f>
        <v>0</v>
      </c>
    </row>
    <row r="229" spans="1:15" x14ac:dyDescent="0.3">
      <c r="A229" t="s">
        <v>44</v>
      </c>
      <c r="B229" s="4">
        <f>IFERROR(DONNEES!B7-B9,"NA")</f>
        <v>0</v>
      </c>
      <c r="C229" s="4">
        <f>IFERROR(DONNEES!C7-C9,"NA")</f>
        <v>0</v>
      </c>
      <c r="D229" s="4">
        <f>IFERROR(DONNEES!D7-D9,"NA")</f>
        <v>0</v>
      </c>
      <c r="E229" s="4">
        <f>IFERROR(DONNEES!E7-E9,"NA")</f>
        <v>0</v>
      </c>
      <c r="F229" s="4">
        <f>IFERROR(DONNEES!F7-F9,"NA")</f>
        <v>0</v>
      </c>
      <c r="G229" s="4">
        <f>IFERROR(DONNEES!G7-G9,"NA")</f>
        <v>0</v>
      </c>
      <c r="H229" s="4">
        <f>IFERROR(DONNEES!H7-H9,"NA")</f>
        <v>0</v>
      </c>
      <c r="I229" s="4">
        <f>IFERROR(DONNEES!I7-I9,"NA")</f>
        <v>0</v>
      </c>
      <c r="J229" s="4">
        <f>IFERROR(DONNEES!J7-J9,"NA")</f>
        <v>0</v>
      </c>
      <c r="K229" s="4">
        <f>IFERROR(DONNEES!K7-K9,"NA")</f>
        <v>0</v>
      </c>
      <c r="L229" s="4">
        <f>IFERROR(DONNEES!L7-L9,"NA")</f>
        <v>0</v>
      </c>
      <c r="M229" s="4">
        <f>IFERROR(DONNEES!M7-M9,"NA")</f>
        <v>0</v>
      </c>
      <c r="N229" s="4">
        <f>IFERROR(DONNEES!N7-N9,"NA")</f>
        <v>0</v>
      </c>
      <c r="O229" s="4">
        <f>IFERROR(DONNEES!O7-O9,"NA")</f>
        <v>0</v>
      </c>
    </row>
    <row r="230" spans="1:15" x14ac:dyDescent="0.3">
      <c r="A230" t="s">
        <v>46</v>
      </c>
      <c r="B230" s="4">
        <f>IFERROR(DONNEES!B8-B10,"NA")</f>
        <v>0</v>
      </c>
      <c r="C230" s="4">
        <f>IFERROR(DONNEES!C8-C10,"NA")</f>
        <v>0</v>
      </c>
      <c r="D230" s="4" t="str">
        <f>IFERROR(DONNEES!D8-D10,"NA")</f>
        <v>NA</v>
      </c>
      <c r="E230" s="4">
        <f>IFERROR(DONNEES!E8-E10,"NA")</f>
        <v>0</v>
      </c>
      <c r="F230" s="4">
        <f>IFERROR(DONNEES!F8-F10,"NA")</f>
        <v>0</v>
      </c>
      <c r="G230" s="4">
        <f>IFERROR(DONNEES!G8-G10,"NA")</f>
        <v>0</v>
      </c>
      <c r="H230" s="4">
        <f>IFERROR(DONNEES!H8-H10,"NA")</f>
        <v>0</v>
      </c>
      <c r="I230" s="4">
        <f>IFERROR(DONNEES!I8-I10,"NA")</f>
        <v>0</v>
      </c>
      <c r="J230" s="4">
        <f>IFERROR(DONNEES!J8-J10,"NA")</f>
        <v>0</v>
      </c>
      <c r="K230" s="4">
        <f>IFERROR(DONNEES!K8-K10,"NA")</f>
        <v>0</v>
      </c>
      <c r="L230" s="4">
        <f>IFERROR(DONNEES!L8-L10,"NA")</f>
        <v>0</v>
      </c>
      <c r="M230" s="4">
        <f>IFERROR(DONNEES!M8-M10,"NA")</f>
        <v>0</v>
      </c>
      <c r="N230" s="4">
        <f>IFERROR(DONNEES!N8-N10,"NA")</f>
        <v>0</v>
      </c>
      <c r="O230" s="4">
        <f>IFERROR(DONNEES!O8-O10,"NA")</f>
        <v>0</v>
      </c>
    </row>
    <row r="231" spans="1:15" x14ac:dyDescent="0.3">
      <c r="A231" t="s">
        <v>48</v>
      </c>
      <c r="B231" s="4">
        <f>IFERROR(DONNEES!B9-B11,"NA")</f>
        <v>0</v>
      </c>
      <c r="C231" s="4">
        <f>IFERROR(DONNEES!C9-C11,"NA")</f>
        <v>0</v>
      </c>
      <c r="D231" s="4">
        <f>IFERROR(DONNEES!D9-D11,"NA")</f>
        <v>0</v>
      </c>
      <c r="E231" s="4">
        <f>IFERROR(DONNEES!E9-E11,"NA")</f>
        <v>0</v>
      </c>
      <c r="F231" s="4">
        <f>IFERROR(DONNEES!F9-F11,"NA")</f>
        <v>0</v>
      </c>
      <c r="G231" s="4">
        <f>IFERROR(DONNEES!G9-G11,"NA")</f>
        <v>0</v>
      </c>
      <c r="H231" s="4">
        <f>IFERROR(DONNEES!H9-H11,"NA")</f>
        <v>0</v>
      </c>
      <c r="I231" s="4">
        <f>IFERROR(DONNEES!I9-I11,"NA")</f>
        <v>0</v>
      </c>
      <c r="J231" s="4">
        <f>IFERROR(DONNEES!J9-J11,"NA")</f>
        <v>0</v>
      </c>
      <c r="K231" s="4">
        <f>IFERROR(DONNEES!K9-K11,"NA")</f>
        <v>0</v>
      </c>
      <c r="L231" s="4">
        <f>IFERROR(DONNEES!L9-L11,"NA")</f>
        <v>0</v>
      </c>
      <c r="M231" s="4">
        <f>IFERROR(DONNEES!M9-M11,"NA")</f>
        <v>0</v>
      </c>
      <c r="N231" s="4">
        <f>IFERROR(DONNEES!N9-N11,"NA")</f>
        <v>0</v>
      </c>
      <c r="O231" s="4">
        <f>IFERROR(DONNEES!O9-O11,"NA")</f>
        <v>0</v>
      </c>
    </row>
    <row r="232" spans="1:15" x14ac:dyDescent="0.3">
      <c r="A232" t="s">
        <v>50</v>
      </c>
      <c r="B232" s="4">
        <f>IFERROR(DONNEES!B10-B12,"NA")</f>
        <v>0</v>
      </c>
      <c r="C232" s="4">
        <f>IFERROR(DONNEES!C10-C12,"NA")</f>
        <v>0</v>
      </c>
      <c r="D232" s="4">
        <f>IFERROR(DONNEES!D10-D12,"NA")</f>
        <v>0</v>
      </c>
      <c r="E232" s="4">
        <f>IFERROR(DONNEES!E10-E12,"NA")</f>
        <v>0</v>
      </c>
      <c r="F232" s="4">
        <f>IFERROR(DONNEES!F10-F12,"NA")</f>
        <v>0</v>
      </c>
      <c r="G232" s="4">
        <f>IFERROR(DONNEES!G10-G12,"NA")</f>
        <v>0</v>
      </c>
      <c r="H232" s="4">
        <f>IFERROR(DONNEES!H10-H12,"NA")</f>
        <v>0</v>
      </c>
      <c r="I232" s="4" t="str">
        <f>IFERROR(DONNEES!I10-I12,"NA")</f>
        <v>NA</v>
      </c>
      <c r="J232" s="4" t="str">
        <f>IFERROR(DONNEES!J10-J12,"NA")</f>
        <v>NA</v>
      </c>
      <c r="K232" s="4" t="str">
        <f>IFERROR(DONNEES!K10-K12,"NA")</f>
        <v>NA</v>
      </c>
      <c r="L232" s="4">
        <f>IFERROR(DONNEES!L10-L12,"NA")</f>
        <v>0</v>
      </c>
      <c r="M232" s="4">
        <f>IFERROR(DONNEES!M10-M12,"NA")</f>
        <v>0</v>
      </c>
      <c r="N232" s="4">
        <f>IFERROR(DONNEES!N10-N12,"NA")</f>
        <v>0</v>
      </c>
      <c r="O232" s="4">
        <f>IFERROR(DONNEES!O10-O12,"NA")</f>
        <v>0</v>
      </c>
    </row>
    <row r="233" spans="1:15" x14ac:dyDescent="0.3">
      <c r="A233" t="s">
        <v>52</v>
      </c>
      <c r="B233" s="4">
        <f>IFERROR(DONNEES!B11-B13,"NA")</f>
        <v>0</v>
      </c>
      <c r="C233" s="4">
        <f>IFERROR(DONNEES!C11-C13,"NA")</f>
        <v>0</v>
      </c>
      <c r="D233" s="4" t="str">
        <f>IFERROR(DONNEES!D11-D13,"NA")</f>
        <v>NA</v>
      </c>
      <c r="E233" s="4">
        <f>IFERROR(DONNEES!E11-E13,"NA")</f>
        <v>0</v>
      </c>
      <c r="F233" s="4">
        <f>IFERROR(DONNEES!F11-F13,"NA")</f>
        <v>0</v>
      </c>
      <c r="G233" s="4">
        <f>IFERROR(DONNEES!G11-G13,"NA")</f>
        <v>0</v>
      </c>
      <c r="H233" s="4">
        <f>IFERROR(DONNEES!H11-H13,"NA")</f>
        <v>0</v>
      </c>
      <c r="I233" s="4">
        <f>IFERROR(DONNEES!I11-I13,"NA")</f>
        <v>0</v>
      </c>
      <c r="J233" s="4">
        <f>IFERROR(DONNEES!J11-J13,"NA")</f>
        <v>0</v>
      </c>
      <c r="K233" s="4" t="str">
        <f>IFERROR(DONNEES!K11-K13,"NA")</f>
        <v>NA</v>
      </c>
      <c r="L233" s="4">
        <f>IFERROR(DONNEES!L11-L13,"NA")</f>
        <v>0</v>
      </c>
      <c r="M233" s="4">
        <f>IFERROR(DONNEES!M11-M13,"NA")</f>
        <v>0</v>
      </c>
      <c r="N233" s="4">
        <f>IFERROR(DONNEES!N11-N13,"NA")</f>
        <v>0</v>
      </c>
      <c r="O233" s="4">
        <f>IFERROR(DONNEES!O11-O13,"NA")</f>
        <v>0</v>
      </c>
    </row>
    <row r="234" spans="1:15" x14ac:dyDescent="0.3">
      <c r="A234" t="s">
        <v>54</v>
      </c>
      <c r="B234" s="4">
        <f>IFERROR(DONNEES!B12-B14,"NA")</f>
        <v>0</v>
      </c>
      <c r="C234" s="4">
        <f>IFERROR(DONNEES!C12-C14,"NA")</f>
        <v>0</v>
      </c>
      <c r="D234" s="4">
        <f>IFERROR(DONNEES!D12-D14,"NA")</f>
        <v>0</v>
      </c>
      <c r="E234" s="4">
        <f>IFERROR(DONNEES!E12-E14,"NA")</f>
        <v>0</v>
      </c>
      <c r="F234" s="4">
        <f>IFERROR(DONNEES!F12-F14,"NA")</f>
        <v>0</v>
      </c>
      <c r="G234" s="4">
        <f>IFERROR(DONNEES!G12-G14,"NA")</f>
        <v>0</v>
      </c>
      <c r="H234" s="4">
        <f>IFERROR(DONNEES!H12-H14,"NA")</f>
        <v>0</v>
      </c>
      <c r="I234" s="4">
        <f>IFERROR(DONNEES!I12-I14,"NA")</f>
        <v>0</v>
      </c>
      <c r="J234" s="4">
        <f>IFERROR(DONNEES!J12-J14,"NA")</f>
        <v>0</v>
      </c>
      <c r="K234" s="4">
        <f>IFERROR(DONNEES!K12-K14,"NA")</f>
        <v>0</v>
      </c>
      <c r="L234" s="4">
        <f>IFERROR(DONNEES!L12-L14,"NA")</f>
        <v>0</v>
      </c>
      <c r="M234" s="4">
        <f>IFERROR(DONNEES!M12-M14,"NA")</f>
        <v>0</v>
      </c>
      <c r="N234" s="4">
        <f>IFERROR(DONNEES!N12-N14,"NA")</f>
        <v>0</v>
      </c>
      <c r="O234" s="4">
        <f>IFERROR(DONNEES!O12-O14,"NA")</f>
        <v>0</v>
      </c>
    </row>
    <row r="235" spans="1:15" x14ac:dyDescent="0.3">
      <c r="A235" t="s">
        <v>56</v>
      </c>
      <c r="B235" s="4">
        <f>IFERROR(DONNEES!B13-B15,"NA")</f>
        <v>0</v>
      </c>
      <c r="C235" s="4">
        <f>IFERROR(DONNEES!C13-C15,"NA")</f>
        <v>0</v>
      </c>
      <c r="D235" s="4">
        <f>IFERROR(DONNEES!D13-D15,"NA")</f>
        <v>0</v>
      </c>
      <c r="E235" s="4">
        <f>IFERROR(DONNEES!E13-E15,"NA")</f>
        <v>0</v>
      </c>
      <c r="F235" s="4">
        <f>IFERROR(DONNEES!F13-F15,"NA")</f>
        <v>0</v>
      </c>
      <c r="G235" s="4">
        <f>IFERROR(DONNEES!G13-G15,"NA")</f>
        <v>0</v>
      </c>
      <c r="H235" s="4">
        <f>IFERROR(DONNEES!H13-H15,"NA")</f>
        <v>0</v>
      </c>
      <c r="I235" s="4">
        <f>IFERROR(DONNEES!I13-I15,"NA")</f>
        <v>0</v>
      </c>
      <c r="J235" s="4">
        <f>IFERROR(DONNEES!J13-J15,"NA")</f>
        <v>0</v>
      </c>
      <c r="K235" s="4">
        <f>IFERROR(DONNEES!K13-K15,"NA")</f>
        <v>0</v>
      </c>
      <c r="L235" s="4">
        <f>IFERROR(DONNEES!L13-L15,"NA")</f>
        <v>0</v>
      </c>
      <c r="M235" s="4">
        <f>IFERROR(DONNEES!M13-M15,"NA")</f>
        <v>0</v>
      </c>
      <c r="N235" s="4">
        <f>IFERROR(DONNEES!N13-N15,"NA")</f>
        <v>0</v>
      </c>
      <c r="O235" s="4">
        <f>IFERROR(DONNEES!O13-O15,"NA")</f>
        <v>0</v>
      </c>
    </row>
    <row r="236" spans="1:15" x14ac:dyDescent="0.3">
      <c r="A236" t="s">
        <v>58</v>
      </c>
      <c r="B236" s="4">
        <f>IFERROR(DONNEES!B14-B16,"NA")</f>
        <v>0</v>
      </c>
      <c r="C236" s="4">
        <f>IFERROR(DONNEES!C14-C16,"NA")</f>
        <v>0</v>
      </c>
      <c r="D236" s="4">
        <f>IFERROR(DONNEES!D14-D16,"NA")</f>
        <v>0</v>
      </c>
      <c r="E236" s="4">
        <f>IFERROR(DONNEES!E14-E16,"NA")</f>
        <v>0</v>
      </c>
      <c r="F236" s="4">
        <f>IFERROR(DONNEES!F14-F16,"NA")</f>
        <v>0</v>
      </c>
      <c r="G236" s="4">
        <f>IFERROR(DONNEES!G14-G16,"NA")</f>
        <v>0</v>
      </c>
      <c r="H236" s="4">
        <f>IFERROR(DONNEES!H14-H16,"NA")</f>
        <v>0</v>
      </c>
      <c r="I236" s="4">
        <f>IFERROR(DONNEES!I14-I16,"NA")</f>
        <v>0</v>
      </c>
      <c r="J236" s="4">
        <f>IFERROR(DONNEES!J14-J16,"NA")</f>
        <v>0</v>
      </c>
      <c r="K236" s="4">
        <f>IFERROR(DONNEES!K14-K16,"NA")</f>
        <v>0</v>
      </c>
      <c r="L236" s="4">
        <f>IFERROR(DONNEES!L14-L16,"NA")</f>
        <v>0</v>
      </c>
      <c r="M236" s="4">
        <f>IFERROR(DONNEES!M14-M16,"NA")</f>
        <v>0</v>
      </c>
      <c r="N236" s="4">
        <f>IFERROR(DONNEES!N14-N16,"NA")</f>
        <v>0</v>
      </c>
      <c r="O236" s="4">
        <f>IFERROR(DONNEES!O14-O16,"NA")</f>
        <v>0</v>
      </c>
    </row>
    <row r="237" spans="1:15" x14ac:dyDescent="0.3">
      <c r="A237" t="s">
        <v>60</v>
      </c>
      <c r="B237" s="4">
        <f>IFERROR(DONNEES!B15-B17,"NA")</f>
        <v>0</v>
      </c>
      <c r="C237" s="4">
        <f>IFERROR(DONNEES!C15-C17,"NA")</f>
        <v>0</v>
      </c>
      <c r="D237" s="4">
        <f>IFERROR(DONNEES!D15-D17,"NA")</f>
        <v>0</v>
      </c>
      <c r="E237" s="4">
        <f>IFERROR(DONNEES!E15-E17,"NA")</f>
        <v>0</v>
      </c>
      <c r="F237" s="4">
        <f>IFERROR(DONNEES!F15-F17,"NA")</f>
        <v>0</v>
      </c>
      <c r="G237" s="4">
        <f>IFERROR(DONNEES!G15-G17,"NA")</f>
        <v>0</v>
      </c>
      <c r="H237" s="4">
        <f>IFERROR(DONNEES!H15-H17,"NA")</f>
        <v>0</v>
      </c>
      <c r="I237" s="4">
        <f>IFERROR(DONNEES!I15-I17,"NA")</f>
        <v>0</v>
      </c>
      <c r="J237" s="4">
        <f>IFERROR(DONNEES!J15-J17,"NA")</f>
        <v>0</v>
      </c>
      <c r="K237" s="4">
        <f>IFERROR(DONNEES!K15-K17,"NA")</f>
        <v>0</v>
      </c>
      <c r="L237" s="4">
        <f>IFERROR(DONNEES!L15-L17,"NA")</f>
        <v>0</v>
      </c>
      <c r="M237" s="4">
        <f>IFERROR(DONNEES!M15-M17,"NA")</f>
        <v>0</v>
      </c>
      <c r="N237" s="4">
        <f>IFERROR(DONNEES!N15-N17,"NA")</f>
        <v>0</v>
      </c>
      <c r="O237" s="4">
        <f>IFERROR(DONNEES!O15-O17,"NA")</f>
        <v>0</v>
      </c>
    </row>
    <row r="238" spans="1:15" x14ac:dyDescent="0.3">
      <c r="A238" t="s">
        <v>62</v>
      </c>
      <c r="B238" s="4">
        <f>IFERROR(DONNEES!B16-B18,"NA")</f>
        <v>0</v>
      </c>
      <c r="C238" s="4">
        <f>IFERROR(DONNEES!C16-C18,"NA")</f>
        <v>0</v>
      </c>
      <c r="D238" s="4">
        <f>IFERROR(DONNEES!D16-D18,"NA")</f>
        <v>0</v>
      </c>
      <c r="E238" s="4">
        <f>IFERROR(DONNEES!E16-E18,"NA")</f>
        <v>0</v>
      </c>
      <c r="F238" s="4">
        <f>IFERROR(DONNEES!F16-F18,"NA")</f>
        <v>0</v>
      </c>
      <c r="G238" s="4">
        <f>IFERROR(DONNEES!G16-G18,"NA")</f>
        <v>0</v>
      </c>
      <c r="H238" s="4">
        <f>IFERROR(DONNEES!H16-H18,"NA")</f>
        <v>0</v>
      </c>
      <c r="I238" s="4">
        <f>IFERROR(DONNEES!I16-I18,"NA")</f>
        <v>0</v>
      </c>
      <c r="J238" s="4">
        <f>IFERROR(DONNEES!J16-J18,"NA")</f>
        <v>0</v>
      </c>
      <c r="K238" s="4">
        <f>IFERROR(DONNEES!K16-K18,"NA")</f>
        <v>0</v>
      </c>
      <c r="L238" s="4">
        <f>IFERROR(DONNEES!L16-L18,"NA")</f>
        <v>0</v>
      </c>
      <c r="M238" s="4">
        <f>IFERROR(DONNEES!M16-M18,"NA")</f>
        <v>0</v>
      </c>
      <c r="N238" s="4">
        <f>IFERROR(DONNEES!N16-N18,"NA")</f>
        <v>0</v>
      </c>
      <c r="O238" s="4">
        <f>IFERROR(DONNEES!O16-O18,"NA")</f>
        <v>0</v>
      </c>
    </row>
    <row r="239" spans="1:15" x14ac:dyDescent="0.3">
      <c r="A239" t="s">
        <v>64</v>
      </c>
      <c r="B239" s="4">
        <f>IFERROR(DONNEES!B17-B19,"NA")</f>
        <v>0</v>
      </c>
      <c r="C239" s="4">
        <f>IFERROR(DONNEES!C17-C19,"NA")</f>
        <v>0</v>
      </c>
      <c r="D239" s="4">
        <f>IFERROR(DONNEES!D17-D19,"NA")</f>
        <v>0</v>
      </c>
      <c r="E239" s="4">
        <f>IFERROR(DONNEES!E17-E19,"NA")</f>
        <v>0</v>
      </c>
      <c r="F239" s="4">
        <f>IFERROR(DONNEES!F17-F19,"NA")</f>
        <v>0</v>
      </c>
      <c r="G239" s="4">
        <f>IFERROR(DONNEES!G17-G19,"NA")</f>
        <v>0</v>
      </c>
      <c r="H239" s="4">
        <f>IFERROR(DONNEES!H17-H19,"NA")</f>
        <v>0</v>
      </c>
      <c r="I239" s="4">
        <f>IFERROR(DONNEES!I17-I19,"NA")</f>
        <v>0</v>
      </c>
      <c r="J239" s="4">
        <f>IFERROR(DONNEES!J17-J19,"NA")</f>
        <v>0</v>
      </c>
      <c r="K239" s="4">
        <f>IFERROR(DONNEES!K17-K19,"NA")</f>
        <v>0</v>
      </c>
      <c r="L239" s="4">
        <f>IFERROR(DONNEES!L17-L19,"NA")</f>
        <v>0</v>
      </c>
      <c r="M239" s="4">
        <f>IFERROR(DONNEES!M17-M19,"NA")</f>
        <v>0</v>
      </c>
      <c r="N239" s="4">
        <f>IFERROR(DONNEES!N17-N19,"NA")</f>
        <v>0</v>
      </c>
      <c r="O239" s="4">
        <f>IFERROR(DONNEES!O17-O19,"NA")</f>
        <v>0</v>
      </c>
    </row>
    <row r="240" spans="1:15" x14ac:dyDescent="0.3">
      <c r="A240" t="s">
        <v>66</v>
      </c>
      <c r="B240" s="4">
        <f>IFERROR(DONNEES!B18-B20,"NA")</f>
        <v>0</v>
      </c>
      <c r="C240" s="4">
        <f>IFERROR(DONNEES!C18-C20,"NA")</f>
        <v>0</v>
      </c>
      <c r="D240" s="4">
        <f>IFERROR(DONNEES!D18-D20,"NA")</f>
        <v>0</v>
      </c>
      <c r="E240" s="4">
        <f>IFERROR(DONNEES!E18-E20,"NA")</f>
        <v>0</v>
      </c>
      <c r="F240" s="4">
        <f>IFERROR(DONNEES!F18-F20,"NA")</f>
        <v>0</v>
      </c>
      <c r="G240" s="4">
        <f>IFERROR(DONNEES!G18-G20,"NA")</f>
        <v>0</v>
      </c>
      <c r="H240" s="4">
        <f>IFERROR(DONNEES!H18-H20,"NA")</f>
        <v>0</v>
      </c>
      <c r="I240" s="4">
        <f>IFERROR(DONNEES!I18-I20,"NA")</f>
        <v>0</v>
      </c>
      <c r="J240" s="4">
        <f>IFERROR(DONNEES!J18-J20,"NA")</f>
        <v>0</v>
      </c>
      <c r="K240" s="4">
        <f>IFERROR(DONNEES!K18-K20,"NA")</f>
        <v>0</v>
      </c>
      <c r="L240" s="4">
        <f>IFERROR(DONNEES!L18-L20,"NA")</f>
        <v>0</v>
      </c>
      <c r="M240" s="4">
        <f>IFERROR(DONNEES!M18-M20,"NA")</f>
        <v>0</v>
      </c>
      <c r="N240" s="4">
        <f>IFERROR(DONNEES!N18-N20,"NA")</f>
        <v>0</v>
      </c>
      <c r="O240" s="4">
        <f>IFERROR(DONNEES!O18-O20,"NA")</f>
        <v>0</v>
      </c>
    </row>
    <row r="241" spans="1:15" x14ac:dyDescent="0.3">
      <c r="A241" t="s">
        <v>68</v>
      </c>
      <c r="B241" s="4">
        <f>IFERROR(DONNEES!B19-B21,"NA")</f>
        <v>0</v>
      </c>
      <c r="C241" s="4">
        <f>IFERROR(DONNEES!C19-C21,"NA")</f>
        <v>0</v>
      </c>
      <c r="D241" s="4">
        <f>IFERROR(DONNEES!D19-D21,"NA")</f>
        <v>0</v>
      </c>
      <c r="E241" s="4">
        <f>IFERROR(DONNEES!E19-E21,"NA")</f>
        <v>0</v>
      </c>
      <c r="F241" s="4">
        <f>IFERROR(DONNEES!F19-F21,"NA")</f>
        <v>0</v>
      </c>
      <c r="G241" s="4">
        <f>IFERROR(DONNEES!G19-G21,"NA")</f>
        <v>0</v>
      </c>
      <c r="H241" s="4">
        <f>IFERROR(DONNEES!H19-H21,"NA")</f>
        <v>0</v>
      </c>
      <c r="I241" s="4">
        <f>IFERROR(DONNEES!I19-I21,"NA")</f>
        <v>0</v>
      </c>
      <c r="J241" s="4">
        <f>IFERROR(DONNEES!J19-J21,"NA")</f>
        <v>0</v>
      </c>
      <c r="K241" s="4">
        <f>IFERROR(DONNEES!K19-K21,"NA")</f>
        <v>0</v>
      </c>
      <c r="L241" s="4">
        <f>IFERROR(DONNEES!L19-L21,"NA")</f>
        <v>0</v>
      </c>
      <c r="M241" s="4">
        <f>IFERROR(DONNEES!M19-M21,"NA")</f>
        <v>0</v>
      </c>
      <c r="N241" s="4">
        <f>IFERROR(DONNEES!N19-N21,"NA")</f>
        <v>0</v>
      </c>
      <c r="O241" s="4">
        <f>IFERROR(DONNEES!O19-O21,"NA")</f>
        <v>0</v>
      </c>
    </row>
    <row r="242" spans="1:15" x14ac:dyDescent="0.3">
      <c r="A242" t="s">
        <v>70</v>
      </c>
      <c r="B242" s="4">
        <f>IFERROR(DONNEES!B20-B22,"NA")</f>
        <v>0</v>
      </c>
      <c r="C242" s="4">
        <f>IFERROR(DONNEES!C20-C22,"NA")</f>
        <v>0</v>
      </c>
      <c r="D242" s="4">
        <f>IFERROR(DONNEES!D20-D22,"NA")</f>
        <v>0</v>
      </c>
      <c r="E242" s="4">
        <f>IFERROR(DONNEES!E20-E22,"NA")</f>
        <v>0</v>
      </c>
      <c r="F242" s="4">
        <f>IFERROR(DONNEES!F20-F22,"NA")</f>
        <v>0</v>
      </c>
      <c r="G242" s="4">
        <f>IFERROR(DONNEES!G20-G22,"NA")</f>
        <v>0</v>
      </c>
      <c r="H242" s="4">
        <f>IFERROR(DONNEES!H20-H22,"NA")</f>
        <v>0</v>
      </c>
      <c r="I242" s="4">
        <f>IFERROR(DONNEES!I20-I22,"NA")</f>
        <v>0</v>
      </c>
      <c r="J242" s="4">
        <f>IFERROR(DONNEES!J20-J22,"NA")</f>
        <v>0</v>
      </c>
      <c r="K242" s="4">
        <f>IFERROR(DONNEES!K20-K22,"NA")</f>
        <v>0</v>
      </c>
      <c r="L242" s="4">
        <f>IFERROR(DONNEES!L20-L22,"NA")</f>
        <v>0</v>
      </c>
      <c r="M242" s="4">
        <f>IFERROR(DONNEES!M20-M22,"NA")</f>
        <v>0</v>
      </c>
      <c r="N242" s="4">
        <f>IFERROR(DONNEES!N20-N22,"NA")</f>
        <v>0</v>
      </c>
      <c r="O242" s="4">
        <f>IFERROR(DONNEES!O20-O22,"NA")</f>
        <v>0</v>
      </c>
    </row>
    <row r="243" spans="1:15" x14ac:dyDescent="0.3">
      <c r="A243" t="s">
        <v>72</v>
      </c>
      <c r="B243" s="4">
        <f>IFERROR(DONNEES!B21-B23,"NA")</f>
        <v>0</v>
      </c>
      <c r="C243" s="4">
        <f>IFERROR(DONNEES!C21-C23,"NA")</f>
        <v>0</v>
      </c>
      <c r="D243" s="4">
        <f>IFERROR(DONNEES!D21-D23,"NA")</f>
        <v>0</v>
      </c>
      <c r="E243" s="4">
        <f>IFERROR(DONNEES!E21-E23,"NA")</f>
        <v>0</v>
      </c>
      <c r="F243" s="4">
        <f>IFERROR(DONNEES!F21-F23,"NA")</f>
        <v>0</v>
      </c>
      <c r="G243" s="4">
        <f>IFERROR(DONNEES!G21-G23,"NA")</f>
        <v>0</v>
      </c>
      <c r="H243" s="4">
        <f>IFERROR(DONNEES!H21-H23,"NA")</f>
        <v>0</v>
      </c>
      <c r="I243" s="4">
        <f>IFERROR(DONNEES!I21-I23,"NA")</f>
        <v>0</v>
      </c>
      <c r="J243" s="4">
        <f>IFERROR(DONNEES!J21-J23,"NA")</f>
        <v>0</v>
      </c>
      <c r="K243" s="4">
        <f>IFERROR(DONNEES!K21-K23,"NA")</f>
        <v>0</v>
      </c>
      <c r="L243" s="4">
        <f>IFERROR(DONNEES!L21-L23,"NA")</f>
        <v>0</v>
      </c>
      <c r="M243" s="4">
        <f>IFERROR(DONNEES!M21-M23,"NA")</f>
        <v>0</v>
      </c>
      <c r="N243" s="4">
        <f>IFERROR(DONNEES!N21-N23,"NA")</f>
        <v>0</v>
      </c>
      <c r="O243" s="4">
        <f>IFERROR(DONNEES!O21-O23,"NA")</f>
        <v>0</v>
      </c>
    </row>
    <row r="244" spans="1:15" x14ac:dyDescent="0.3">
      <c r="A244" t="s">
        <v>74</v>
      </c>
      <c r="B244" s="4">
        <f>IFERROR(DONNEES!B22-B24,"NA")</f>
        <v>0</v>
      </c>
      <c r="C244" s="4">
        <f>IFERROR(DONNEES!C22-C24,"NA")</f>
        <v>0</v>
      </c>
      <c r="D244" s="4">
        <f>IFERROR(DONNEES!D22-D24,"NA")</f>
        <v>0</v>
      </c>
      <c r="E244" s="4">
        <f>IFERROR(DONNEES!E22-E24,"NA")</f>
        <v>0</v>
      </c>
      <c r="F244" s="4">
        <f>IFERROR(DONNEES!F22-F24,"NA")</f>
        <v>0</v>
      </c>
      <c r="G244" s="4">
        <f>IFERROR(DONNEES!G22-G24,"NA")</f>
        <v>0</v>
      </c>
      <c r="H244" s="4">
        <f>IFERROR(DONNEES!H22-H24,"NA")</f>
        <v>0</v>
      </c>
      <c r="I244" s="4" t="str">
        <f>IFERROR(DONNEES!I22-I24,"NA")</f>
        <v>NA</v>
      </c>
      <c r="J244" s="4">
        <f>IFERROR(DONNEES!J22-J24,"NA")</f>
        <v>0</v>
      </c>
      <c r="K244" s="4">
        <f>IFERROR(DONNEES!K22-K24,"NA")</f>
        <v>0</v>
      </c>
      <c r="L244" s="4">
        <f>IFERROR(DONNEES!L22-L24,"NA")</f>
        <v>0</v>
      </c>
      <c r="M244" s="4">
        <f>IFERROR(DONNEES!M22-M24,"NA")</f>
        <v>0</v>
      </c>
      <c r="N244" s="4">
        <f>IFERROR(DONNEES!N22-N24,"NA")</f>
        <v>0</v>
      </c>
      <c r="O244" s="4">
        <f>IFERROR(DONNEES!O22-O24,"NA")</f>
        <v>0</v>
      </c>
    </row>
    <row r="245" spans="1:15" x14ac:dyDescent="0.3">
      <c r="A245" t="s">
        <v>76</v>
      </c>
      <c r="B245" s="4">
        <f>IFERROR(DONNEES!B23-B25,"NA")</f>
        <v>0</v>
      </c>
      <c r="C245" s="4">
        <f>IFERROR(DONNEES!C23-C25,"NA")</f>
        <v>0</v>
      </c>
      <c r="D245" s="4">
        <f>IFERROR(DONNEES!D23-D25,"NA")</f>
        <v>0</v>
      </c>
      <c r="E245" s="4">
        <f>IFERROR(DONNEES!E23-E25,"NA")</f>
        <v>0</v>
      </c>
      <c r="F245" s="4">
        <f>IFERROR(DONNEES!F23-F25,"NA")</f>
        <v>0</v>
      </c>
      <c r="G245" s="4">
        <f>IFERROR(DONNEES!G23-G25,"NA")</f>
        <v>0</v>
      </c>
      <c r="H245" s="4">
        <f>IFERROR(DONNEES!H23-H25,"NA")</f>
        <v>0</v>
      </c>
      <c r="I245" s="4">
        <f>IFERROR(DONNEES!I23-I25,"NA")</f>
        <v>0</v>
      </c>
      <c r="J245" s="4">
        <f>IFERROR(DONNEES!J23-J25,"NA")</f>
        <v>0</v>
      </c>
      <c r="K245" s="4">
        <f>IFERROR(DONNEES!K23-K25,"NA")</f>
        <v>0</v>
      </c>
      <c r="L245" s="4">
        <f>IFERROR(DONNEES!L23-L25,"NA")</f>
        <v>0</v>
      </c>
      <c r="M245" s="4">
        <f>IFERROR(DONNEES!M23-M25,"NA")</f>
        <v>0</v>
      </c>
      <c r="N245" s="4">
        <f>IFERROR(DONNEES!N23-N25,"NA")</f>
        <v>0</v>
      </c>
      <c r="O245" s="4">
        <f>IFERROR(DONNEES!O23-O25,"NA")</f>
        <v>0</v>
      </c>
    </row>
    <row r="246" spans="1:15" x14ac:dyDescent="0.3">
      <c r="A246" t="s">
        <v>78</v>
      </c>
      <c r="B246" s="4" t="str">
        <f>IFERROR(DONNEES!B24-B26,"NA")</f>
        <v>NA</v>
      </c>
      <c r="C246" s="4">
        <f>IFERROR(DONNEES!C24-C26,"NA")</f>
        <v>0</v>
      </c>
      <c r="D246" s="4">
        <f>IFERROR(DONNEES!D24-D26,"NA")</f>
        <v>0</v>
      </c>
      <c r="E246" s="4">
        <f>IFERROR(DONNEES!E24-E26,"NA")</f>
        <v>0</v>
      </c>
      <c r="F246" s="4">
        <f>IFERROR(DONNEES!F24-F26,"NA")</f>
        <v>0</v>
      </c>
      <c r="G246" s="4">
        <f>IFERROR(DONNEES!G24-G26,"NA")</f>
        <v>0</v>
      </c>
      <c r="H246" s="4">
        <f>IFERROR(DONNEES!H24-H26,"NA")</f>
        <v>0</v>
      </c>
      <c r="I246" s="4">
        <f>IFERROR(DONNEES!I24-I26,"NA")</f>
        <v>0</v>
      </c>
      <c r="J246" s="4">
        <f>IFERROR(DONNEES!J24-J26,"NA")</f>
        <v>0</v>
      </c>
      <c r="K246" s="4">
        <f>IFERROR(DONNEES!K24-K26,"NA")</f>
        <v>0</v>
      </c>
      <c r="L246" s="4">
        <f>IFERROR(DONNEES!L24-L26,"NA")</f>
        <v>0</v>
      </c>
      <c r="M246" s="4">
        <f>IFERROR(DONNEES!M24-M26,"NA")</f>
        <v>0</v>
      </c>
      <c r="N246" s="4">
        <f>IFERROR(DONNEES!N24-N26,"NA")</f>
        <v>0</v>
      </c>
      <c r="O246" s="4">
        <f>IFERROR(DONNEES!O24-O26,"NA")</f>
        <v>0</v>
      </c>
    </row>
    <row r="247" spans="1:15" x14ac:dyDescent="0.3">
      <c r="A247" t="s">
        <v>80</v>
      </c>
      <c r="B247" s="4">
        <f>IFERROR(DONNEES!B25-B27,"NA")</f>
        <v>0</v>
      </c>
      <c r="C247" s="4">
        <f>IFERROR(DONNEES!C25-C27,"NA")</f>
        <v>0</v>
      </c>
      <c r="D247" s="4">
        <f>IFERROR(DONNEES!D25-D27,"NA")</f>
        <v>0</v>
      </c>
      <c r="E247" s="4">
        <f>IFERROR(DONNEES!E25-E27,"NA")</f>
        <v>0</v>
      </c>
      <c r="F247" s="4">
        <f>IFERROR(DONNEES!F25-F27,"NA")</f>
        <v>0</v>
      </c>
      <c r="G247" s="4">
        <f>IFERROR(DONNEES!G25-G27,"NA")</f>
        <v>0</v>
      </c>
      <c r="H247" s="4">
        <f>IFERROR(DONNEES!H25-H27,"NA")</f>
        <v>0</v>
      </c>
      <c r="I247" s="4">
        <f>IFERROR(DONNEES!I25-I27,"NA")</f>
        <v>0</v>
      </c>
      <c r="J247" s="4">
        <f>IFERROR(DONNEES!J25-J27,"NA")</f>
        <v>0</v>
      </c>
      <c r="K247" s="4">
        <f>IFERROR(DONNEES!K25-K27,"NA")</f>
        <v>0</v>
      </c>
      <c r="L247" s="4">
        <f>IFERROR(DONNEES!L25-L27,"NA")</f>
        <v>0</v>
      </c>
      <c r="M247" s="4">
        <f>IFERROR(DONNEES!M25-M27,"NA")</f>
        <v>0</v>
      </c>
      <c r="N247" s="4">
        <f>IFERROR(DONNEES!N25-N27,"NA")</f>
        <v>0</v>
      </c>
      <c r="O247" s="4">
        <f>IFERROR(DONNEES!O25-O27,"NA")</f>
        <v>0</v>
      </c>
    </row>
    <row r="248" spans="1:15" x14ac:dyDescent="0.3">
      <c r="A248" t="s">
        <v>82</v>
      </c>
      <c r="B248" s="4">
        <f>IFERROR(DONNEES!B26-B28,"NA")</f>
        <v>0</v>
      </c>
      <c r="C248" s="4">
        <f>IFERROR(DONNEES!C26-C28,"NA")</f>
        <v>0</v>
      </c>
      <c r="D248" s="4">
        <f>IFERROR(DONNEES!D26-D28,"NA")</f>
        <v>0</v>
      </c>
      <c r="E248" s="4">
        <f>IFERROR(DONNEES!E26-E28,"NA")</f>
        <v>0</v>
      </c>
      <c r="F248" s="4">
        <f>IFERROR(DONNEES!F26-F28,"NA")</f>
        <v>0</v>
      </c>
      <c r="G248" s="4">
        <f>IFERROR(DONNEES!G26-G28,"NA")</f>
        <v>0</v>
      </c>
      <c r="H248" s="4">
        <f>IFERROR(DONNEES!H26-H28,"NA")</f>
        <v>0</v>
      </c>
      <c r="I248" s="4">
        <f>IFERROR(DONNEES!I26-I28,"NA")</f>
        <v>0</v>
      </c>
      <c r="J248" s="4">
        <f>IFERROR(DONNEES!J26-J28,"NA")</f>
        <v>0</v>
      </c>
      <c r="K248" s="4">
        <f>IFERROR(DONNEES!K26-K28,"NA")</f>
        <v>0</v>
      </c>
      <c r="L248" s="4">
        <f>IFERROR(DONNEES!L26-L28,"NA")</f>
        <v>0</v>
      </c>
      <c r="M248" s="4">
        <f>IFERROR(DONNEES!M26-M28,"NA")</f>
        <v>0</v>
      </c>
      <c r="N248" s="4">
        <f>IFERROR(DONNEES!N26-N28,"NA")</f>
        <v>0</v>
      </c>
      <c r="O248" s="4">
        <f>IFERROR(DONNEES!O26-O28,"NA")</f>
        <v>0</v>
      </c>
    </row>
    <row r="249" spans="1:15" x14ac:dyDescent="0.3">
      <c r="A249" t="s">
        <v>84</v>
      </c>
      <c r="B249" s="4">
        <f>IFERROR(DONNEES!B27-B29,"NA")</f>
        <v>0</v>
      </c>
      <c r="C249" s="4">
        <f>IFERROR(DONNEES!C27-C29,"NA")</f>
        <v>0</v>
      </c>
      <c r="D249" s="4">
        <f>IFERROR(DONNEES!D27-D29,"NA")</f>
        <v>0</v>
      </c>
      <c r="E249" s="4">
        <f>IFERROR(DONNEES!E27-E29,"NA")</f>
        <v>0</v>
      </c>
      <c r="F249" s="4">
        <f>IFERROR(DONNEES!F27-F29,"NA")</f>
        <v>0</v>
      </c>
      <c r="G249" s="4">
        <f>IFERROR(DONNEES!G27-G29,"NA")</f>
        <v>0</v>
      </c>
      <c r="H249" s="4">
        <f>IFERROR(DONNEES!H27-H29,"NA")</f>
        <v>0</v>
      </c>
      <c r="I249" s="4" t="str">
        <f>IFERROR(DONNEES!I27-I29,"NA")</f>
        <v>NA</v>
      </c>
      <c r="J249" s="4">
        <f>IFERROR(DONNEES!J27-J29,"NA")</f>
        <v>0</v>
      </c>
      <c r="K249" s="4" t="str">
        <f>IFERROR(DONNEES!K27-K29,"NA")</f>
        <v>NA</v>
      </c>
      <c r="L249" s="4">
        <f>IFERROR(DONNEES!L27-L29,"NA")</f>
        <v>0</v>
      </c>
      <c r="M249" s="4">
        <f>IFERROR(DONNEES!M27-M29,"NA")</f>
        <v>0</v>
      </c>
      <c r="N249" s="4">
        <f>IFERROR(DONNEES!N27-N29,"NA")</f>
        <v>0</v>
      </c>
      <c r="O249" s="4">
        <f>IFERROR(DONNEES!O27-O29,"NA")</f>
        <v>0</v>
      </c>
    </row>
    <row r="250" spans="1:15" x14ac:dyDescent="0.3">
      <c r="A250" t="s">
        <v>86</v>
      </c>
      <c r="B250" s="4">
        <f>IFERROR(DONNEES!B28-B30,"NA")</f>
        <v>0</v>
      </c>
      <c r="C250" s="4">
        <f>IFERROR(DONNEES!C28-C30,"NA")</f>
        <v>0</v>
      </c>
      <c r="D250" s="4">
        <f>IFERROR(DONNEES!D28-D30,"NA")</f>
        <v>0</v>
      </c>
      <c r="E250" s="4">
        <f>IFERROR(DONNEES!E28-E30,"NA")</f>
        <v>0</v>
      </c>
      <c r="F250" s="4">
        <f>IFERROR(DONNEES!F28-F30,"NA")</f>
        <v>0</v>
      </c>
      <c r="G250" s="4">
        <f>IFERROR(DONNEES!G28-G30,"NA")</f>
        <v>0</v>
      </c>
      <c r="H250" s="4">
        <f>IFERROR(DONNEES!H28-H30,"NA")</f>
        <v>0</v>
      </c>
      <c r="I250" s="4">
        <f>IFERROR(DONNEES!I28-I30,"NA")</f>
        <v>0</v>
      </c>
      <c r="J250" s="4">
        <f>IFERROR(DONNEES!J28-J30,"NA")</f>
        <v>0</v>
      </c>
      <c r="K250" s="4">
        <f>IFERROR(DONNEES!K28-K30,"NA")</f>
        <v>0</v>
      </c>
      <c r="L250" s="4">
        <f>IFERROR(DONNEES!L28-L30,"NA")</f>
        <v>0</v>
      </c>
      <c r="M250" s="4">
        <f>IFERROR(DONNEES!M28-M30,"NA")</f>
        <v>0</v>
      </c>
      <c r="N250" s="4">
        <f>IFERROR(DONNEES!N28-N30,"NA")</f>
        <v>0</v>
      </c>
      <c r="O250" s="4">
        <f>IFERROR(DONNEES!O28-O30,"NA")</f>
        <v>0</v>
      </c>
    </row>
    <row r="251" spans="1:15" x14ac:dyDescent="0.3">
      <c r="A251" t="s">
        <v>88</v>
      </c>
      <c r="B251" s="4" t="str">
        <f>IFERROR(DONNEES!B29-B31,"NA")</f>
        <v>NA</v>
      </c>
      <c r="C251" s="4" t="str">
        <f>IFERROR(DONNEES!C29-C31,"NA")</f>
        <v>NA</v>
      </c>
      <c r="D251" s="4" t="str">
        <f>IFERROR(DONNEES!D29-D31,"NA")</f>
        <v>NA</v>
      </c>
      <c r="E251" s="4">
        <f>IFERROR(DONNEES!E29-E31,"NA")</f>
        <v>0</v>
      </c>
      <c r="F251" s="4">
        <f>IFERROR(DONNEES!F29-F31,"NA")</f>
        <v>0</v>
      </c>
      <c r="G251" s="4">
        <f>IFERROR(DONNEES!G29-G31,"NA")</f>
        <v>0</v>
      </c>
      <c r="H251" s="4" t="str">
        <f>IFERROR(DONNEES!H29-H31,"NA")</f>
        <v>NA</v>
      </c>
      <c r="I251" s="4">
        <f>IFERROR(DONNEES!I29-I31,"NA")</f>
        <v>0</v>
      </c>
      <c r="J251" s="4">
        <f>IFERROR(DONNEES!J29-J31,"NA")</f>
        <v>0</v>
      </c>
      <c r="K251" s="4">
        <f>IFERROR(DONNEES!K29-K31,"NA")</f>
        <v>0</v>
      </c>
      <c r="L251" s="4" t="str">
        <f>IFERROR(DONNEES!L29-L31,"NA")</f>
        <v>NA</v>
      </c>
      <c r="M251" s="4" t="str">
        <f>IFERROR(DONNEES!M29-M31,"NA")</f>
        <v>NA</v>
      </c>
      <c r="N251" s="4" t="str">
        <f>IFERROR(DONNEES!N29-N31,"NA")</f>
        <v>NA</v>
      </c>
      <c r="O251" s="4" t="str">
        <f>IFERROR(DONNEES!O29-O31,"NA")</f>
        <v>NA</v>
      </c>
    </row>
    <row r="252" spans="1:15" x14ac:dyDescent="0.3">
      <c r="A252" t="s">
        <v>90</v>
      </c>
      <c r="B252" s="4">
        <f>IFERROR(DONNEES!B30-B32,"NA")</f>
        <v>0</v>
      </c>
      <c r="C252" s="4">
        <f>IFERROR(DONNEES!C30-C32,"NA")</f>
        <v>0</v>
      </c>
      <c r="D252" s="4">
        <f>IFERROR(DONNEES!D30-D32,"NA")</f>
        <v>0</v>
      </c>
      <c r="E252" s="4">
        <f>IFERROR(DONNEES!E30-E32,"NA")</f>
        <v>0</v>
      </c>
      <c r="F252" s="4">
        <f>IFERROR(DONNEES!F30-F32,"NA")</f>
        <v>0</v>
      </c>
      <c r="G252" s="4">
        <f>IFERROR(DONNEES!G30-G32,"NA")</f>
        <v>0</v>
      </c>
      <c r="H252" s="4">
        <f>IFERROR(DONNEES!H30-H32,"NA")</f>
        <v>0</v>
      </c>
      <c r="I252" s="4">
        <f>IFERROR(DONNEES!I30-I32,"NA")</f>
        <v>0</v>
      </c>
      <c r="J252" s="4">
        <f>IFERROR(DONNEES!J30-J32,"NA")</f>
        <v>0</v>
      </c>
      <c r="K252" s="4">
        <f>IFERROR(DONNEES!K30-K32,"NA")</f>
        <v>0</v>
      </c>
      <c r="L252" s="4">
        <f>IFERROR(DONNEES!L30-L32,"NA")</f>
        <v>0</v>
      </c>
      <c r="M252" s="4">
        <f>IFERROR(DONNEES!M30-M32,"NA")</f>
        <v>0</v>
      </c>
      <c r="N252" s="4">
        <f>IFERROR(DONNEES!N30-N32,"NA")</f>
        <v>0.71149358820791031</v>
      </c>
      <c r="O252" s="4">
        <f>IFERROR(DONNEES!O30-O32,"NA")</f>
        <v>0</v>
      </c>
    </row>
    <row r="253" spans="1:15" x14ac:dyDescent="0.3">
      <c r="A253" t="s">
        <v>92</v>
      </c>
      <c r="B253" s="4">
        <f>IFERROR(DONNEES!B31-B33,"NA")</f>
        <v>0</v>
      </c>
      <c r="C253" s="4">
        <f>IFERROR(DONNEES!C31-C33,"NA")</f>
        <v>0</v>
      </c>
      <c r="D253" s="4">
        <f>IFERROR(DONNEES!D31-D33,"NA")</f>
        <v>0</v>
      </c>
      <c r="E253" s="4">
        <f>IFERROR(DONNEES!E31-E33,"NA")</f>
        <v>0</v>
      </c>
      <c r="F253" s="4">
        <f>IFERROR(DONNEES!F31-F33,"NA")</f>
        <v>0</v>
      </c>
      <c r="G253" s="4">
        <f>IFERROR(DONNEES!G31-G33,"NA")</f>
        <v>0</v>
      </c>
      <c r="H253" s="4">
        <f>IFERROR(DONNEES!H31-H33,"NA")</f>
        <v>0</v>
      </c>
      <c r="I253" s="4">
        <f>IFERROR(DONNEES!I31-I33,"NA")</f>
        <v>0</v>
      </c>
      <c r="J253" s="4">
        <f>IFERROR(DONNEES!J31-J33,"NA")</f>
        <v>0</v>
      </c>
      <c r="K253" s="4">
        <f>IFERROR(DONNEES!K31-K33,"NA")</f>
        <v>0</v>
      </c>
      <c r="L253" s="4">
        <f>IFERROR(DONNEES!L31-L33,"NA")</f>
        <v>0</v>
      </c>
      <c r="M253" s="4">
        <f>IFERROR(DONNEES!M31-M33,"NA")</f>
        <v>0</v>
      </c>
      <c r="N253" s="4">
        <f>IFERROR(DONNEES!N31-N33,"NA")</f>
        <v>0.39205830777063971</v>
      </c>
      <c r="O253" s="4">
        <f>IFERROR(DONNEES!O31-O33,"NA")</f>
        <v>0</v>
      </c>
    </row>
    <row r="254" spans="1:15" x14ac:dyDescent="0.3">
      <c r="A254" t="s">
        <v>94</v>
      </c>
      <c r="B254" s="4">
        <f>IFERROR(DONNEES!B32-B34,"NA")</f>
        <v>0</v>
      </c>
      <c r="C254" s="4">
        <f>IFERROR(DONNEES!C32-C34,"NA")</f>
        <v>0</v>
      </c>
      <c r="D254" s="4">
        <f>IFERROR(DONNEES!D32-D34,"NA")</f>
        <v>0</v>
      </c>
      <c r="E254" s="4">
        <f>IFERROR(DONNEES!E32-E34,"NA")</f>
        <v>0</v>
      </c>
      <c r="F254" s="4">
        <f>IFERROR(DONNEES!F32-F34,"NA")</f>
        <v>0</v>
      </c>
      <c r="G254" s="4">
        <f>IFERROR(DONNEES!G32-G34,"NA")</f>
        <v>0</v>
      </c>
      <c r="H254" s="4">
        <f>IFERROR(DONNEES!H32-H34,"NA")</f>
        <v>0</v>
      </c>
      <c r="I254" s="4">
        <f>IFERROR(DONNEES!I32-I34,"NA")</f>
        <v>0</v>
      </c>
      <c r="J254" s="4">
        <f>IFERROR(DONNEES!J32-J34,"NA")</f>
        <v>0</v>
      </c>
      <c r="K254" s="4">
        <f>IFERROR(DONNEES!K32-K34,"NA")</f>
        <v>0</v>
      </c>
      <c r="L254" s="4">
        <f>IFERROR(DONNEES!L32-L34,"NA")</f>
        <v>0</v>
      </c>
      <c r="M254" s="4">
        <f>IFERROR(DONNEES!M32-M34,"NA")</f>
        <v>0</v>
      </c>
      <c r="N254" s="4">
        <f>IFERROR(DONNEES!N32-N34,"NA")</f>
        <v>0.76047312033673153</v>
      </c>
      <c r="O254" s="4">
        <f>IFERROR(DONNEES!O32-O34,"NA")</f>
        <v>0</v>
      </c>
    </row>
    <row r="255" spans="1:15" x14ac:dyDescent="0.3">
      <c r="A255" t="s">
        <v>96</v>
      </c>
      <c r="B255" s="4">
        <f>IFERROR(DONNEES!B33-B35,"NA")</f>
        <v>0</v>
      </c>
      <c r="C255" s="4">
        <f>IFERROR(DONNEES!C33-C35,"NA")</f>
        <v>0</v>
      </c>
      <c r="D255" s="4">
        <f>IFERROR(DONNEES!D33-D35,"NA")</f>
        <v>0</v>
      </c>
      <c r="E255" s="4">
        <f>IFERROR(DONNEES!E33-E35,"NA")</f>
        <v>0</v>
      </c>
      <c r="F255" s="4">
        <f>IFERROR(DONNEES!F33-F35,"NA")</f>
        <v>0</v>
      </c>
      <c r="G255" s="4">
        <f>IFERROR(DONNEES!G33-G35,"NA")</f>
        <v>0</v>
      </c>
      <c r="H255" s="4">
        <f>IFERROR(DONNEES!H33-H35,"NA")</f>
        <v>0</v>
      </c>
      <c r="I255" s="4">
        <f>IFERROR(DONNEES!I33-I35,"NA")</f>
        <v>0</v>
      </c>
      <c r="J255" s="4">
        <f>IFERROR(DONNEES!J33-J35,"NA")</f>
        <v>0</v>
      </c>
      <c r="K255" s="4">
        <f>IFERROR(DONNEES!K33-K35,"NA")</f>
        <v>0</v>
      </c>
      <c r="L255" s="4">
        <f>IFERROR(DONNEES!L33-L35,"NA")</f>
        <v>0</v>
      </c>
      <c r="M255" s="4">
        <f>IFERROR(DONNEES!M33-M35,"NA")</f>
        <v>0</v>
      </c>
      <c r="N255" s="4">
        <f>IFERROR(DONNEES!N33-N35,"NA")</f>
        <v>-1.7674469264845054</v>
      </c>
      <c r="O255" s="4">
        <f>IFERROR(DONNEES!O33-O35,"NA")</f>
        <v>0</v>
      </c>
    </row>
    <row r="256" spans="1:15" x14ac:dyDescent="0.3">
      <c r="A256" t="s">
        <v>98</v>
      </c>
      <c r="B256" s="4">
        <f>IFERROR(DONNEES!B34-B36,"NA")</f>
        <v>0</v>
      </c>
      <c r="C256" s="4">
        <f>IFERROR(DONNEES!C34-C36,"NA")</f>
        <v>0</v>
      </c>
      <c r="D256" s="4" t="str">
        <f>IFERROR(DONNEES!D34-D36,"NA")</f>
        <v>NA</v>
      </c>
      <c r="E256" s="4">
        <f>IFERROR(DONNEES!E34-E36,"NA")</f>
        <v>0</v>
      </c>
      <c r="F256" s="4">
        <f>IFERROR(DONNEES!F34-F36,"NA")</f>
        <v>0</v>
      </c>
      <c r="G256" s="4">
        <f>IFERROR(DONNEES!G34-G36,"NA")</f>
        <v>0</v>
      </c>
      <c r="H256" s="4">
        <f>IFERROR(DONNEES!H34-H36,"NA")</f>
        <v>0</v>
      </c>
      <c r="I256" s="4">
        <f>IFERROR(DONNEES!I34-I36,"NA")</f>
        <v>0</v>
      </c>
      <c r="J256" s="4">
        <f>IFERROR(DONNEES!J34-J36,"NA")</f>
        <v>0</v>
      </c>
      <c r="K256" s="4">
        <f>IFERROR(DONNEES!K34-K36,"NA")</f>
        <v>0</v>
      </c>
      <c r="L256" s="4">
        <f>IFERROR(DONNEES!L34-L36,"NA")</f>
        <v>0</v>
      </c>
      <c r="M256" s="4">
        <f>IFERROR(DONNEES!M34-M36,"NA")</f>
        <v>0</v>
      </c>
      <c r="N256" s="4">
        <f>IFERROR(DONNEES!N34-N36,"NA")</f>
        <v>1.5764382220804689</v>
      </c>
      <c r="O256" s="4">
        <f>IFERROR(DONNEES!O34-O36,"NA")</f>
        <v>0</v>
      </c>
    </row>
    <row r="257" spans="1:15" x14ac:dyDescent="0.3">
      <c r="A257" t="s">
        <v>100</v>
      </c>
      <c r="B257" s="4">
        <f>IFERROR(DONNEES!B35-B37,"NA")</f>
        <v>0</v>
      </c>
      <c r="C257" s="4">
        <f>IFERROR(DONNEES!C35-C37,"NA")</f>
        <v>0</v>
      </c>
      <c r="D257" s="4">
        <f>IFERROR(DONNEES!D35-D37,"NA")</f>
        <v>0</v>
      </c>
      <c r="E257" s="4">
        <f>IFERROR(DONNEES!E35-E37,"NA")</f>
        <v>0</v>
      </c>
      <c r="F257" s="4">
        <f>IFERROR(DONNEES!F35-F37,"NA")</f>
        <v>0</v>
      </c>
      <c r="G257" s="4">
        <f>IFERROR(DONNEES!G35-G37,"NA")</f>
        <v>0</v>
      </c>
      <c r="H257" s="4">
        <f>IFERROR(DONNEES!H35-H37,"NA")</f>
        <v>0</v>
      </c>
      <c r="I257" s="4">
        <f>IFERROR(DONNEES!I35-I37,"NA")</f>
        <v>0</v>
      </c>
      <c r="J257" s="4">
        <f>IFERROR(DONNEES!J35-J37,"NA")</f>
        <v>0</v>
      </c>
      <c r="K257" s="4">
        <f>IFERROR(DONNEES!K35-K37,"NA")</f>
        <v>0</v>
      </c>
      <c r="L257" s="4">
        <f>IFERROR(DONNEES!L35-L37,"NA")</f>
        <v>0</v>
      </c>
      <c r="M257" s="4">
        <f>IFERROR(DONNEES!M35-M37,"NA")</f>
        <v>0</v>
      </c>
      <c r="N257" s="4">
        <f>IFERROR(DONNEES!N35-N37,"NA")</f>
        <v>4.1470694045225631E-2</v>
      </c>
      <c r="O257" s="4">
        <f>IFERROR(DONNEES!O35-O37,"NA")</f>
        <v>0</v>
      </c>
    </row>
    <row r="258" spans="1:15" x14ac:dyDescent="0.3">
      <c r="A258" t="s">
        <v>102</v>
      </c>
      <c r="B258" s="4">
        <f>IFERROR(DONNEES!B36-B38,"NA")</f>
        <v>0</v>
      </c>
      <c r="C258" s="4">
        <f>IFERROR(DONNEES!C36-C38,"NA")</f>
        <v>0</v>
      </c>
      <c r="D258" s="4">
        <f>IFERROR(DONNEES!D36-D38,"NA")</f>
        <v>0</v>
      </c>
      <c r="E258" s="4">
        <f>IFERROR(DONNEES!E36-E38,"NA")</f>
        <v>0</v>
      </c>
      <c r="F258" s="4">
        <f>IFERROR(DONNEES!F36-F38,"NA")</f>
        <v>0</v>
      </c>
      <c r="G258" s="4">
        <f>IFERROR(DONNEES!G36-G38,"NA")</f>
        <v>0</v>
      </c>
      <c r="H258" s="4">
        <f>IFERROR(DONNEES!H36-H38,"NA")</f>
        <v>0</v>
      </c>
      <c r="I258" s="4" t="str">
        <f>IFERROR(DONNEES!I36-I38,"NA")</f>
        <v>NA</v>
      </c>
      <c r="J258" s="4" t="str">
        <f>IFERROR(DONNEES!J36-J38,"NA")</f>
        <v>NA</v>
      </c>
      <c r="K258" s="4" t="str">
        <f>IFERROR(DONNEES!K36-K38,"NA")</f>
        <v>NA</v>
      </c>
      <c r="L258" s="4">
        <f>IFERROR(DONNEES!L36-L38,"NA")</f>
        <v>0</v>
      </c>
      <c r="M258" s="4">
        <f>IFERROR(DONNEES!M36-M38,"NA")</f>
        <v>0</v>
      </c>
      <c r="N258" s="4">
        <f>IFERROR(DONNEES!N36-N38,"NA")</f>
        <v>-2.850526062150796</v>
      </c>
      <c r="O258" s="4">
        <f>IFERROR(DONNEES!O36-O38,"NA")</f>
        <v>0</v>
      </c>
    </row>
    <row r="259" spans="1:15" x14ac:dyDescent="0.3">
      <c r="A259" t="s">
        <v>104</v>
      </c>
      <c r="B259" s="4">
        <f>IFERROR(DONNEES!B37-B39,"NA")</f>
        <v>0</v>
      </c>
      <c r="C259" s="4">
        <f>IFERROR(DONNEES!C37-C39,"NA")</f>
        <v>0</v>
      </c>
      <c r="D259" s="4">
        <f>IFERROR(DONNEES!D37-D39,"NA")</f>
        <v>0</v>
      </c>
      <c r="E259" s="4">
        <f>IFERROR(DONNEES!E37-E39,"NA")</f>
        <v>0</v>
      </c>
      <c r="F259" s="4">
        <f>IFERROR(DONNEES!F37-F39,"NA")</f>
        <v>0</v>
      </c>
      <c r="G259" s="4">
        <f>IFERROR(DONNEES!G37-G39,"NA")</f>
        <v>0</v>
      </c>
      <c r="H259" s="4">
        <f>IFERROR(DONNEES!H37-H39,"NA")</f>
        <v>0</v>
      </c>
      <c r="I259" s="4">
        <f>IFERROR(DONNEES!I37-I39,"NA")</f>
        <v>0</v>
      </c>
      <c r="J259" s="4">
        <f>IFERROR(DONNEES!J37-J39,"NA")</f>
        <v>0</v>
      </c>
      <c r="K259" s="4">
        <f>IFERROR(DONNEES!K37-K39,"NA")</f>
        <v>0</v>
      </c>
      <c r="L259" s="4">
        <f>IFERROR(DONNEES!L37-L39,"NA")</f>
        <v>0</v>
      </c>
      <c r="M259" s="4">
        <f>IFERROR(DONNEES!M37-M39,"NA")</f>
        <v>0</v>
      </c>
      <c r="N259" s="4">
        <f>IFERROR(DONNEES!N37-N39,"NA")</f>
        <v>0.75185284266869168</v>
      </c>
      <c r="O259" s="4">
        <f>IFERROR(DONNEES!O37-O39,"NA")</f>
        <v>0</v>
      </c>
    </row>
    <row r="260" spans="1:15" x14ac:dyDescent="0.3">
      <c r="A260" t="s">
        <v>106</v>
      </c>
      <c r="B260" s="4" t="str">
        <f>IFERROR(DONNEES!B38-B40,"NA")</f>
        <v>NA</v>
      </c>
      <c r="C260" s="4" t="str">
        <f>IFERROR(DONNEES!C38-C40,"NA")</f>
        <v>NA</v>
      </c>
      <c r="D260" s="4" t="str">
        <f>IFERROR(DONNEES!D38-D40,"NA")</f>
        <v>NA</v>
      </c>
      <c r="E260" s="4">
        <f>IFERROR(DONNEES!E38-E40,"NA")</f>
        <v>0</v>
      </c>
      <c r="F260" s="4">
        <f>IFERROR(DONNEES!F38-F40,"NA")</f>
        <v>0</v>
      </c>
      <c r="G260" s="4">
        <f>IFERROR(DONNEES!G38-G40,"NA")</f>
        <v>0</v>
      </c>
      <c r="H260" s="4">
        <f>IFERROR(DONNEES!H38-H40,"NA")</f>
        <v>0</v>
      </c>
      <c r="I260" s="4">
        <f>IFERROR(DONNEES!I38-I40,"NA")</f>
        <v>0</v>
      </c>
      <c r="J260" s="4">
        <f>IFERROR(DONNEES!J38-J40,"NA")</f>
        <v>0</v>
      </c>
      <c r="K260" s="4">
        <f>IFERROR(DONNEES!K38-K40,"NA")</f>
        <v>0</v>
      </c>
      <c r="L260" s="4">
        <f>IFERROR(DONNEES!L38-L40,"NA")</f>
        <v>0</v>
      </c>
      <c r="M260" s="4">
        <f>IFERROR(DONNEES!M38-M40,"NA")</f>
        <v>0</v>
      </c>
      <c r="N260" s="4">
        <f>IFERROR(DONNEES!N38-N40,"NA")</f>
        <v>2.4941354890664416</v>
      </c>
      <c r="O260" s="4">
        <f>IFERROR(DONNEES!O38-O40,"NA")</f>
        <v>0</v>
      </c>
    </row>
    <row r="261" spans="1:15" x14ac:dyDescent="0.3">
      <c r="A261" t="s">
        <v>108</v>
      </c>
      <c r="B261" s="4">
        <f>IFERROR(DONNEES!B39-B41,"NA")</f>
        <v>0</v>
      </c>
      <c r="C261" s="4">
        <f>IFERROR(DONNEES!C39-C41,"NA")</f>
        <v>0</v>
      </c>
      <c r="D261" s="4">
        <f>IFERROR(DONNEES!D39-D41,"NA")</f>
        <v>0</v>
      </c>
      <c r="E261" s="4">
        <f>IFERROR(DONNEES!E39-E41,"NA")</f>
        <v>0</v>
      </c>
      <c r="F261" s="4">
        <f>IFERROR(DONNEES!F39-F41,"NA")</f>
        <v>0</v>
      </c>
      <c r="G261" s="4">
        <f>IFERROR(DONNEES!G39-G41,"NA")</f>
        <v>0</v>
      </c>
      <c r="H261" s="4">
        <f>IFERROR(DONNEES!H39-H41,"NA")</f>
        <v>0</v>
      </c>
      <c r="I261" s="4">
        <f>IFERROR(DONNEES!I39-I41,"NA")</f>
        <v>0</v>
      </c>
      <c r="J261" s="4">
        <f>IFERROR(DONNEES!J39-J41,"NA")</f>
        <v>0</v>
      </c>
      <c r="K261" s="4">
        <f>IFERROR(DONNEES!K39-K41,"NA")</f>
        <v>0</v>
      </c>
      <c r="L261" s="4">
        <f>IFERROR(DONNEES!L39-L41,"NA")</f>
        <v>0</v>
      </c>
      <c r="M261" s="4">
        <f>IFERROR(DONNEES!M39-M41,"NA")</f>
        <v>0</v>
      </c>
      <c r="N261" s="4">
        <f>IFERROR(DONNEES!N39-N41,"NA")</f>
        <v>-0.14826618383328172</v>
      </c>
      <c r="O261" s="4">
        <f>IFERROR(DONNEES!O39-O41,"NA")</f>
        <v>0</v>
      </c>
    </row>
    <row r="262" spans="1:15" x14ac:dyDescent="0.3">
      <c r="A262" t="s">
        <v>110</v>
      </c>
      <c r="B262" s="4">
        <f>IFERROR(DONNEES!B40-B42,"NA")</f>
        <v>0</v>
      </c>
      <c r="C262" s="4">
        <f>IFERROR(DONNEES!C40-C42,"NA")</f>
        <v>0</v>
      </c>
      <c r="D262" s="4">
        <f>IFERROR(DONNEES!D40-D42,"NA")</f>
        <v>0</v>
      </c>
      <c r="E262" s="4">
        <f>IFERROR(DONNEES!E40-E42,"NA")</f>
        <v>0</v>
      </c>
      <c r="F262" s="4">
        <f>IFERROR(DONNEES!F40-F42,"NA")</f>
        <v>0</v>
      </c>
      <c r="G262" s="4">
        <f>IFERROR(DONNEES!G40-G42,"NA")</f>
        <v>0</v>
      </c>
      <c r="H262" s="4">
        <f>IFERROR(DONNEES!H40-H42,"NA")</f>
        <v>0</v>
      </c>
      <c r="I262" s="4">
        <f>IFERROR(DONNEES!I40-I42,"NA")</f>
        <v>0</v>
      </c>
      <c r="J262" s="4">
        <f>IFERROR(DONNEES!J40-J42,"NA")</f>
        <v>0</v>
      </c>
      <c r="K262" s="4">
        <f>IFERROR(DONNEES!K40-K42,"NA")</f>
        <v>0</v>
      </c>
      <c r="L262" s="4">
        <f>IFERROR(DONNEES!L40-L42,"NA")</f>
        <v>0</v>
      </c>
      <c r="M262" s="4">
        <f>IFERROR(DONNEES!M40-M42,"NA")</f>
        <v>0</v>
      </c>
      <c r="N262" s="4">
        <f>IFERROR(DONNEES!N40-N42,"NA")</f>
        <v>-2.4961267237861948</v>
      </c>
      <c r="O262" s="4">
        <f>IFERROR(DONNEES!O40-O42,"NA")</f>
        <v>0</v>
      </c>
    </row>
    <row r="263" spans="1:15" x14ac:dyDescent="0.3">
      <c r="A263" t="s">
        <v>112</v>
      </c>
      <c r="B263" s="4" t="str">
        <f>IFERROR(DONNEES!B41-B43,"NA")</f>
        <v>NA</v>
      </c>
      <c r="C263" s="4" t="str">
        <f>IFERROR(DONNEES!C41-C43,"NA")</f>
        <v>NA</v>
      </c>
      <c r="D263" s="4" t="str">
        <f>IFERROR(DONNEES!D41-D43,"NA")</f>
        <v>NA</v>
      </c>
      <c r="E263" s="4">
        <f>IFERROR(DONNEES!E41-E43,"NA")</f>
        <v>0</v>
      </c>
      <c r="F263" s="4">
        <f>IFERROR(DONNEES!F41-F43,"NA")</f>
        <v>0</v>
      </c>
      <c r="G263" s="4">
        <f>IFERROR(DONNEES!G41-G43,"NA")</f>
        <v>0</v>
      </c>
      <c r="H263" s="4" t="str">
        <f>IFERROR(DONNEES!H41-H43,"NA")</f>
        <v>NA</v>
      </c>
      <c r="I263" s="4">
        <f>IFERROR(DONNEES!I41-I43,"NA")</f>
        <v>0</v>
      </c>
      <c r="J263" s="4">
        <f>IFERROR(DONNEES!J41-J43,"NA")</f>
        <v>0</v>
      </c>
      <c r="K263" s="4">
        <f>IFERROR(DONNEES!K41-K43,"NA")</f>
        <v>0</v>
      </c>
      <c r="L263" s="4" t="str">
        <f>IFERROR(DONNEES!L41-L43,"NA")</f>
        <v>NA</v>
      </c>
      <c r="M263" s="4" t="str">
        <f>IFERROR(DONNEES!M41-M43,"NA")</f>
        <v>NA</v>
      </c>
      <c r="N263" s="4" t="str">
        <f>IFERROR(DONNEES!N41-N43,"NA")</f>
        <v>NA</v>
      </c>
      <c r="O263" s="4" t="str">
        <f>IFERROR(DONNEES!O41-O43,"NA")</f>
        <v>NA</v>
      </c>
    </row>
    <row r="264" spans="1:15" x14ac:dyDescent="0.3">
      <c r="A264" t="s">
        <v>114</v>
      </c>
      <c r="B264" s="4">
        <f>IFERROR(DONNEES!B42-B44,"NA")</f>
        <v>0</v>
      </c>
      <c r="C264" s="4">
        <f>IFERROR(DONNEES!C42-C44,"NA")</f>
        <v>0</v>
      </c>
      <c r="D264" s="4">
        <f>IFERROR(DONNEES!D42-D44,"NA")</f>
        <v>0</v>
      </c>
      <c r="E264" s="4">
        <f>IFERROR(DONNEES!E42-E44,"NA")</f>
        <v>0</v>
      </c>
      <c r="F264" s="4">
        <f>IFERROR(DONNEES!F42-F44,"NA")</f>
        <v>0</v>
      </c>
      <c r="G264" s="4">
        <f>IFERROR(DONNEES!G42-G44,"NA")</f>
        <v>0</v>
      </c>
      <c r="H264" s="4">
        <f>IFERROR(DONNEES!H42-H44,"NA")</f>
        <v>0</v>
      </c>
      <c r="I264" s="4">
        <f>IFERROR(DONNEES!I42-I44,"NA")</f>
        <v>0</v>
      </c>
      <c r="J264" s="4">
        <f>IFERROR(DONNEES!J42-J44,"NA")</f>
        <v>0</v>
      </c>
      <c r="K264" s="4">
        <f>IFERROR(DONNEES!K42-K44,"NA")</f>
        <v>0</v>
      </c>
      <c r="L264" s="4">
        <f>IFERROR(DONNEES!L42-L44,"NA")</f>
        <v>0</v>
      </c>
      <c r="M264" s="4">
        <f>IFERROR(DONNEES!M42-M44,"NA")</f>
        <v>0</v>
      </c>
      <c r="N264" s="4">
        <f>IFERROR(DONNEES!N42-N44,"NA")</f>
        <v>1.5967059402416157</v>
      </c>
      <c r="O264" s="4">
        <f>IFERROR(DONNEES!O42-O44,"NA")</f>
        <v>0</v>
      </c>
    </row>
    <row r="265" spans="1:15" x14ac:dyDescent="0.3">
      <c r="A265" t="s">
        <v>116</v>
      </c>
      <c r="B265" s="4">
        <f>IFERROR(DONNEES!B43-B45,"NA")</f>
        <v>0</v>
      </c>
      <c r="C265" s="4">
        <f>IFERROR(DONNEES!C43-C45,"NA")</f>
        <v>0</v>
      </c>
      <c r="D265" s="4">
        <f>IFERROR(DONNEES!D43-D45,"NA")</f>
        <v>0</v>
      </c>
      <c r="E265" s="4">
        <f>IFERROR(DONNEES!E43-E45,"NA")</f>
        <v>0</v>
      </c>
      <c r="F265" s="4">
        <f>IFERROR(DONNEES!F43-F45,"NA")</f>
        <v>0</v>
      </c>
      <c r="G265" s="4">
        <f>IFERROR(DONNEES!G43-G45,"NA")</f>
        <v>0</v>
      </c>
      <c r="H265" s="4">
        <f>IFERROR(DONNEES!H43-H45,"NA")</f>
        <v>0</v>
      </c>
      <c r="I265" s="4">
        <f>IFERROR(DONNEES!I43-I45,"NA")</f>
        <v>0</v>
      </c>
      <c r="J265" s="4">
        <f>IFERROR(DONNEES!J43-J45,"NA")</f>
        <v>0</v>
      </c>
      <c r="K265" s="4">
        <f>IFERROR(DONNEES!K43-K45,"NA")</f>
        <v>0</v>
      </c>
      <c r="L265" s="4">
        <f>IFERROR(DONNEES!L43-L45,"NA")</f>
        <v>0</v>
      </c>
      <c r="M265" s="4">
        <f>IFERROR(DONNEES!M43-M45,"NA")</f>
        <v>0</v>
      </c>
      <c r="N265" s="4">
        <f>IFERROR(DONNEES!N43-N45,"NA")</f>
        <v>0.62035473195525559</v>
      </c>
      <c r="O265" s="4">
        <f>IFERROR(DONNEES!O43-O45,"NA")</f>
        <v>0</v>
      </c>
    </row>
    <row r="266" spans="1:15" x14ac:dyDescent="0.3">
      <c r="A266" t="s">
        <v>118</v>
      </c>
      <c r="B266" s="4">
        <f>IFERROR(DONNEES!B44-B46,"NA")</f>
        <v>0</v>
      </c>
      <c r="C266" s="4">
        <f>IFERROR(DONNEES!C44-C46,"NA")</f>
        <v>0</v>
      </c>
      <c r="D266" s="4">
        <f>IFERROR(DONNEES!D44-D46,"NA")</f>
        <v>0</v>
      </c>
      <c r="E266" s="4">
        <f>IFERROR(DONNEES!E44-E46,"NA")</f>
        <v>0</v>
      </c>
      <c r="F266" s="4">
        <f>IFERROR(DONNEES!F44-F46,"NA")</f>
        <v>0</v>
      </c>
      <c r="G266" s="4">
        <f>IFERROR(DONNEES!G44-G46,"NA")</f>
        <v>0</v>
      </c>
      <c r="H266" s="4">
        <f>IFERROR(DONNEES!H44-H46,"NA")</f>
        <v>0</v>
      </c>
      <c r="I266" s="4">
        <f>IFERROR(DONNEES!I44-I46,"NA")</f>
        <v>0</v>
      </c>
      <c r="J266" s="4">
        <f>IFERROR(DONNEES!J44-J46,"NA")</f>
        <v>0</v>
      </c>
      <c r="K266" s="4">
        <f>IFERROR(DONNEES!K44-K46,"NA")</f>
        <v>0</v>
      </c>
      <c r="L266" s="4">
        <f>IFERROR(DONNEES!L44-L46,"NA")</f>
        <v>0</v>
      </c>
      <c r="M266" s="4">
        <f>IFERROR(DONNEES!M44-M46,"NA")</f>
        <v>0</v>
      </c>
      <c r="N266" s="4">
        <f>IFERROR(DONNEES!N44-N46,"NA")</f>
        <v>1.2236763692150516</v>
      </c>
      <c r="O266" s="4">
        <f>IFERROR(DONNEES!O44-O46,"NA")</f>
        <v>0</v>
      </c>
    </row>
    <row r="267" spans="1:15" x14ac:dyDescent="0.3">
      <c r="A267" t="s">
        <v>120</v>
      </c>
      <c r="B267" s="4">
        <f>IFERROR(DONNEES!B45-B47,"NA")</f>
        <v>0</v>
      </c>
      <c r="C267" s="4">
        <f>IFERROR(DONNEES!C45-C47,"NA")</f>
        <v>0</v>
      </c>
      <c r="D267" s="4">
        <f>IFERROR(DONNEES!D45-D47,"NA")</f>
        <v>0</v>
      </c>
      <c r="E267" s="4">
        <f>IFERROR(DONNEES!E45-E47,"NA")</f>
        <v>0</v>
      </c>
      <c r="F267" s="4">
        <f>IFERROR(DONNEES!F45-F47,"NA")</f>
        <v>0</v>
      </c>
      <c r="G267" s="4">
        <f>IFERROR(DONNEES!G45-G47,"NA")</f>
        <v>0</v>
      </c>
      <c r="H267" s="4">
        <f>IFERROR(DONNEES!H45-H47,"NA")</f>
        <v>0</v>
      </c>
      <c r="I267" s="4">
        <f>IFERROR(DONNEES!I45-I47,"NA")</f>
        <v>0</v>
      </c>
      <c r="J267" s="4">
        <f>IFERROR(DONNEES!J45-J47,"NA")</f>
        <v>0</v>
      </c>
      <c r="K267" s="4">
        <f>IFERROR(DONNEES!K45-K47,"NA")</f>
        <v>0</v>
      </c>
      <c r="L267" s="4">
        <f>IFERROR(DONNEES!L45-L47,"NA")</f>
        <v>0</v>
      </c>
      <c r="M267" s="4">
        <f>IFERROR(DONNEES!M45-M47,"NA")</f>
        <v>0</v>
      </c>
      <c r="N267" s="4">
        <f>IFERROR(DONNEES!N45-N47,"NA")</f>
        <v>0.16684762388467789</v>
      </c>
      <c r="O267" s="4">
        <f>IFERROR(DONNEES!O45-O47,"NA")</f>
        <v>0</v>
      </c>
    </row>
    <row r="268" spans="1:15" x14ac:dyDescent="0.3">
      <c r="A268" t="s">
        <v>122</v>
      </c>
      <c r="B268" s="4">
        <f>IFERROR(DONNEES!B46-B48,"NA")</f>
        <v>0</v>
      </c>
      <c r="C268" s="4">
        <f>IFERROR(DONNEES!C46-C48,"NA")</f>
        <v>0</v>
      </c>
      <c r="D268" s="4">
        <f>IFERROR(DONNEES!D46-D48,"NA")</f>
        <v>0</v>
      </c>
      <c r="E268" s="4">
        <f>IFERROR(DONNEES!E46-E48,"NA")</f>
        <v>0</v>
      </c>
      <c r="F268" s="4">
        <f>IFERROR(DONNEES!F46-F48,"NA")</f>
        <v>0</v>
      </c>
      <c r="G268" s="4">
        <f>IFERROR(DONNEES!G46-G48,"NA")</f>
        <v>0</v>
      </c>
      <c r="H268" s="4">
        <f>IFERROR(DONNEES!H46-H48,"NA")</f>
        <v>0</v>
      </c>
      <c r="I268" s="4">
        <f>IFERROR(DONNEES!I46-I48,"NA")</f>
        <v>0</v>
      </c>
      <c r="J268" s="4">
        <f>IFERROR(DONNEES!J46-J48,"NA")</f>
        <v>0</v>
      </c>
      <c r="K268" s="4">
        <f>IFERROR(DONNEES!K46-K48,"NA")</f>
        <v>0</v>
      </c>
      <c r="L268" s="4">
        <f>IFERROR(DONNEES!L46-L48,"NA")</f>
        <v>0</v>
      </c>
      <c r="M268" s="4">
        <f>IFERROR(DONNEES!M46-M48,"NA")</f>
        <v>0</v>
      </c>
      <c r="N268" s="4">
        <f>IFERROR(DONNEES!N46-N48,"NA")</f>
        <v>-1.696350157260895</v>
      </c>
      <c r="O268" s="4">
        <f>IFERROR(DONNEES!O46-O48,"NA")</f>
        <v>0</v>
      </c>
    </row>
    <row r="269" spans="1:15" x14ac:dyDescent="0.3">
      <c r="A269" t="s">
        <v>124</v>
      </c>
      <c r="B269" s="4">
        <f>IFERROR(DONNEES!B47-B49,"NA")</f>
        <v>0</v>
      </c>
      <c r="C269" s="4">
        <f>IFERROR(DONNEES!C47-C49,"NA")</f>
        <v>0</v>
      </c>
      <c r="D269" s="4">
        <f>IFERROR(DONNEES!D47-D49,"NA")</f>
        <v>0</v>
      </c>
      <c r="E269" s="4">
        <f>IFERROR(DONNEES!E47-E49,"NA")</f>
        <v>0</v>
      </c>
      <c r="F269" s="4">
        <f>IFERROR(DONNEES!F47-F49,"NA")</f>
        <v>0</v>
      </c>
      <c r="G269" s="4">
        <f>IFERROR(DONNEES!G47-G49,"NA")</f>
        <v>0</v>
      </c>
      <c r="H269" s="4">
        <f>IFERROR(DONNEES!H47-H49,"NA")</f>
        <v>0</v>
      </c>
      <c r="I269" s="4">
        <f>IFERROR(DONNEES!I47-I49,"NA")</f>
        <v>0</v>
      </c>
      <c r="J269" s="4">
        <f>IFERROR(DONNEES!J47-J49,"NA")</f>
        <v>0</v>
      </c>
      <c r="K269" s="4">
        <f>IFERROR(DONNEES!K47-K49,"NA")</f>
        <v>0</v>
      </c>
      <c r="L269" s="4">
        <f>IFERROR(DONNEES!L47-L49,"NA")</f>
        <v>0</v>
      </c>
      <c r="M269" s="4">
        <f>IFERROR(DONNEES!M47-M49,"NA")</f>
        <v>0</v>
      </c>
      <c r="N269" s="4">
        <f>IFERROR(DONNEES!N47-N49,"NA")</f>
        <v>-1.7064041979610924</v>
      </c>
      <c r="O269" s="4">
        <f>IFERROR(DONNEES!O47-O49,"NA")</f>
        <v>-3.9968028886505635E-15</v>
      </c>
    </row>
    <row r="270" spans="1:15" x14ac:dyDescent="0.3">
      <c r="A270" t="s">
        <v>126</v>
      </c>
      <c r="B270" s="4">
        <f>IFERROR(DONNEES!B48-B50,"NA")</f>
        <v>0</v>
      </c>
      <c r="C270" s="4">
        <f>IFERROR(DONNEES!C48-C50,"NA")</f>
        <v>0</v>
      </c>
      <c r="D270" s="4">
        <f>IFERROR(DONNEES!D48-D50,"NA")</f>
        <v>0</v>
      </c>
      <c r="E270" s="4">
        <f>IFERROR(DONNEES!E48-E50,"NA")</f>
        <v>0</v>
      </c>
      <c r="F270" s="4">
        <f>IFERROR(DONNEES!F48-F50,"NA")</f>
        <v>0</v>
      </c>
      <c r="G270" s="4">
        <f>IFERROR(DONNEES!G48-G50,"NA")</f>
        <v>0</v>
      </c>
      <c r="H270" s="4">
        <f>IFERROR(DONNEES!H48-H50,"NA")</f>
        <v>0</v>
      </c>
      <c r="I270" s="4">
        <f>IFERROR(DONNEES!I48-I50,"NA")</f>
        <v>0</v>
      </c>
      <c r="J270" s="4">
        <f>IFERROR(DONNEES!J48-J50,"NA")</f>
        <v>0</v>
      </c>
      <c r="K270" s="4">
        <f>IFERROR(DONNEES!K48-K50,"NA")</f>
        <v>0</v>
      </c>
      <c r="L270" s="4">
        <f>IFERROR(DONNEES!L48-L50,"NA")</f>
        <v>0</v>
      </c>
      <c r="M270" s="4">
        <f>IFERROR(DONNEES!M48-M50,"NA")</f>
        <v>0</v>
      </c>
      <c r="N270" s="4">
        <f>IFERROR(DONNEES!N48-N50,"NA")</f>
        <v>1.51405951132377</v>
      </c>
      <c r="O270" s="4">
        <f>IFERROR(DONNEES!O48-O50,"NA")</f>
        <v>0</v>
      </c>
    </row>
    <row r="271" spans="1:15" x14ac:dyDescent="0.3">
      <c r="A271" t="s">
        <v>128</v>
      </c>
      <c r="B271" s="4">
        <f>IFERROR(DONNEES!B49-B51,"NA")</f>
        <v>0</v>
      </c>
      <c r="C271" s="4">
        <f>IFERROR(DONNEES!C49-C51,"NA")</f>
        <v>0</v>
      </c>
      <c r="D271" s="4">
        <f>IFERROR(DONNEES!D49-D51,"NA")</f>
        <v>0</v>
      </c>
      <c r="E271" s="4">
        <f>IFERROR(DONNEES!E49-E51,"NA")</f>
        <v>0</v>
      </c>
      <c r="F271" s="4">
        <f>IFERROR(DONNEES!F49-F51,"NA")</f>
        <v>0</v>
      </c>
      <c r="G271" s="4">
        <f>IFERROR(DONNEES!G49-G51,"NA")</f>
        <v>0</v>
      </c>
      <c r="H271" s="4">
        <f>IFERROR(DONNEES!H49-H51,"NA")</f>
        <v>0</v>
      </c>
      <c r="I271" s="4">
        <f>IFERROR(DONNEES!I49-I51,"NA")</f>
        <v>0</v>
      </c>
      <c r="J271" s="4">
        <f>IFERROR(DONNEES!J49-J51,"NA")</f>
        <v>0</v>
      </c>
      <c r="K271" s="4">
        <f>IFERROR(DONNEES!K49-K51,"NA")</f>
        <v>0</v>
      </c>
      <c r="L271" s="4">
        <f>IFERROR(DONNEES!L49-L51,"NA")</f>
        <v>0</v>
      </c>
      <c r="M271" s="4">
        <f>IFERROR(DONNEES!M49-M51,"NA")</f>
        <v>0</v>
      </c>
      <c r="N271" s="4">
        <f>IFERROR(DONNEES!N49-N51,"NA")</f>
        <v>-1.0952532101267329</v>
      </c>
      <c r="O271" s="4">
        <f>IFERROR(DONNEES!O49-O51,"NA")</f>
        <v>0</v>
      </c>
    </row>
    <row r="272" spans="1:15" x14ac:dyDescent="0.3">
      <c r="A272" t="s">
        <v>130</v>
      </c>
      <c r="B272" s="4">
        <f>IFERROR(DONNEES!B50-B52,"NA")</f>
        <v>0</v>
      </c>
      <c r="C272" s="4">
        <f>IFERROR(DONNEES!C50-C52,"NA")</f>
        <v>0</v>
      </c>
      <c r="D272" s="4">
        <f>IFERROR(DONNEES!D50-D52,"NA")</f>
        <v>0</v>
      </c>
      <c r="E272" s="4">
        <f>IFERROR(DONNEES!E50-E52,"NA")</f>
        <v>0</v>
      </c>
      <c r="F272" s="4">
        <f>IFERROR(DONNEES!F50-F52,"NA")</f>
        <v>0</v>
      </c>
      <c r="G272" s="4">
        <f>IFERROR(DONNEES!G50-G52,"NA")</f>
        <v>0</v>
      </c>
      <c r="H272" s="4">
        <f>IFERROR(DONNEES!H50-H52,"NA")</f>
        <v>0</v>
      </c>
      <c r="I272" s="4">
        <f>IFERROR(DONNEES!I50-I52,"NA")</f>
        <v>0</v>
      </c>
      <c r="J272" s="4">
        <f>IFERROR(DONNEES!J50-J52,"NA")</f>
        <v>0</v>
      </c>
      <c r="K272" s="4">
        <f>IFERROR(DONNEES!K50-K52,"NA")</f>
        <v>0</v>
      </c>
      <c r="L272" s="4">
        <f>IFERROR(DONNEES!L50-L52,"NA")</f>
        <v>0</v>
      </c>
      <c r="M272" s="4">
        <f>IFERROR(DONNEES!M50-M52,"NA")</f>
        <v>0</v>
      </c>
      <c r="N272" s="4">
        <f>IFERROR(DONNEES!N50-N52,"NA")</f>
        <v>0.82742930909929135</v>
      </c>
      <c r="O272" s="4">
        <f>IFERROR(DONNEES!O50-O52,"NA")</f>
        <v>0</v>
      </c>
    </row>
    <row r="273" spans="1:15" x14ac:dyDescent="0.3">
      <c r="A273" t="s">
        <v>132</v>
      </c>
      <c r="B273" s="4">
        <f>IFERROR(DONNEES!B51-B53,"NA")</f>
        <v>0</v>
      </c>
      <c r="C273" s="4">
        <f>IFERROR(DONNEES!C51-C53,"NA")</f>
        <v>0</v>
      </c>
      <c r="D273" s="4">
        <f>IFERROR(DONNEES!D51-D53,"NA")</f>
        <v>0</v>
      </c>
      <c r="E273" s="4">
        <f>IFERROR(DONNEES!E51-E53,"NA")</f>
        <v>0</v>
      </c>
      <c r="F273" s="4">
        <f>IFERROR(DONNEES!F51-F53,"NA")</f>
        <v>0</v>
      </c>
      <c r="G273" s="4">
        <f>IFERROR(DONNEES!G51-G53,"NA")</f>
        <v>0</v>
      </c>
      <c r="H273" s="4">
        <f>IFERROR(DONNEES!H51-H53,"NA")</f>
        <v>0</v>
      </c>
      <c r="I273" s="4">
        <f>IFERROR(DONNEES!I51-I53,"NA")</f>
        <v>0</v>
      </c>
      <c r="J273" s="4">
        <f>IFERROR(DONNEES!J51-J53,"NA")</f>
        <v>0</v>
      </c>
      <c r="K273" s="4">
        <f>IFERROR(DONNEES!K51-K53,"NA")</f>
        <v>0</v>
      </c>
      <c r="L273" s="4">
        <f>IFERROR(DONNEES!L51-L53,"NA")</f>
        <v>0</v>
      </c>
      <c r="M273" s="4">
        <f>IFERROR(DONNEES!M51-M53,"NA")</f>
        <v>0</v>
      </c>
      <c r="N273" s="4">
        <f>IFERROR(DONNEES!N51-N53,"NA")</f>
        <v>-1.6770632093151403</v>
      </c>
      <c r="O273" s="4">
        <f>IFERROR(DONNEES!O51-O53,"NA")</f>
        <v>0</v>
      </c>
    </row>
    <row r="274" spans="1:15" x14ac:dyDescent="0.3">
      <c r="A274" t="s">
        <v>134</v>
      </c>
      <c r="B274" s="4" t="str">
        <f>IFERROR(DONNEES!B52-B54,"NA")</f>
        <v>NA</v>
      </c>
      <c r="C274" s="4" t="str">
        <f>IFERROR(DONNEES!C52-C54,"NA")</f>
        <v>NA</v>
      </c>
      <c r="D274" s="4">
        <f>IFERROR(DONNEES!D52-D54,"NA")</f>
        <v>0</v>
      </c>
      <c r="E274" s="4">
        <f>IFERROR(DONNEES!E52-E54,"NA")</f>
        <v>0</v>
      </c>
      <c r="F274" s="4">
        <f>IFERROR(DONNEES!F52-F54,"NA")</f>
        <v>0</v>
      </c>
      <c r="G274" s="4">
        <f>IFERROR(DONNEES!G52-G54,"NA")</f>
        <v>0</v>
      </c>
      <c r="H274" s="4" t="str">
        <f>IFERROR(DONNEES!H52-H54,"NA")</f>
        <v>NA</v>
      </c>
      <c r="I274" s="4">
        <f>IFERROR(DONNEES!I52-I54,"NA")</f>
        <v>0</v>
      </c>
      <c r="J274" s="4">
        <f>IFERROR(DONNEES!J52-J54,"NA")</f>
        <v>0</v>
      </c>
      <c r="K274" s="4">
        <f>IFERROR(DONNEES!K52-K54,"NA")</f>
        <v>0</v>
      </c>
      <c r="L274" s="4" t="str">
        <f>IFERROR(DONNEES!L52-L54,"NA")</f>
        <v>NA</v>
      </c>
      <c r="M274" s="4" t="str">
        <f>IFERROR(DONNEES!M52-M54,"NA")</f>
        <v>NA</v>
      </c>
      <c r="N274" s="4" t="str">
        <f>IFERROR(DONNEES!N52-N54,"NA")</f>
        <v>NA</v>
      </c>
      <c r="O274" s="4" t="str">
        <f>IFERROR(DONNEES!O52-O54,"NA")</f>
        <v>NA</v>
      </c>
    </row>
    <row r="275" spans="1:15" x14ac:dyDescent="0.3">
      <c r="A275" t="s">
        <v>136</v>
      </c>
      <c r="B275" s="4">
        <f>IFERROR(DONNEES!B53-B55,"NA")</f>
        <v>0</v>
      </c>
      <c r="C275" s="4">
        <f>IFERROR(DONNEES!C53-C55,"NA")</f>
        <v>0</v>
      </c>
      <c r="D275" s="4">
        <f>IFERROR(DONNEES!D53-D55,"NA")</f>
        <v>0</v>
      </c>
      <c r="E275" s="4">
        <f>IFERROR(DONNEES!E53-E55,"NA")</f>
        <v>0</v>
      </c>
      <c r="F275" s="4">
        <f>IFERROR(DONNEES!F53-F55,"NA")</f>
        <v>0</v>
      </c>
      <c r="G275" s="4">
        <f>IFERROR(DONNEES!G53-G55,"NA")</f>
        <v>0</v>
      </c>
      <c r="H275" s="4">
        <f>IFERROR(DONNEES!H53-H55,"NA")</f>
        <v>0</v>
      </c>
      <c r="I275" s="4">
        <f>IFERROR(DONNEES!I53-I55,"NA")</f>
        <v>0</v>
      </c>
      <c r="J275" s="4">
        <f>IFERROR(DONNEES!J53-J55,"NA")</f>
        <v>0</v>
      </c>
      <c r="K275" s="4">
        <f>IFERROR(DONNEES!K53-K55,"NA")</f>
        <v>0</v>
      </c>
      <c r="L275" s="4">
        <f>IFERROR(DONNEES!L53-L55,"NA")</f>
        <v>0</v>
      </c>
      <c r="M275" s="4">
        <f>IFERROR(DONNEES!M53-M55,"NA")</f>
        <v>0</v>
      </c>
      <c r="N275" s="4">
        <f>IFERROR(DONNEES!N53-N55,"NA")</f>
        <v>-0.96860633790492956</v>
      </c>
      <c r="O275" s="4">
        <f>IFERROR(DONNEES!O53-O55,"NA")</f>
        <v>0</v>
      </c>
    </row>
    <row r="276" spans="1:15" x14ac:dyDescent="0.3">
      <c r="A276" t="s">
        <v>138</v>
      </c>
      <c r="B276" s="4">
        <f>IFERROR(DONNEES!B54-B56,"NA")</f>
        <v>0</v>
      </c>
      <c r="C276" s="4">
        <f>IFERROR(DONNEES!C54-C56,"NA")</f>
        <v>0</v>
      </c>
      <c r="D276" s="4">
        <f>IFERROR(DONNEES!D54-D56,"NA")</f>
        <v>0</v>
      </c>
      <c r="E276" s="4">
        <f>IFERROR(DONNEES!E54-E56,"NA")</f>
        <v>0</v>
      </c>
      <c r="F276" s="4">
        <f>IFERROR(DONNEES!F54-F56,"NA")</f>
        <v>0</v>
      </c>
      <c r="G276" s="4">
        <f>IFERROR(DONNEES!G54-G56,"NA")</f>
        <v>0</v>
      </c>
      <c r="H276" s="4">
        <f>IFERROR(DONNEES!H54-H56,"NA")</f>
        <v>0</v>
      </c>
      <c r="I276" s="4">
        <f>IFERROR(DONNEES!I54-I56,"NA")</f>
        <v>0</v>
      </c>
      <c r="J276" s="4">
        <f>IFERROR(DONNEES!J54-J56,"NA")</f>
        <v>0</v>
      </c>
      <c r="K276" s="4" t="str">
        <f>IFERROR(DONNEES!K54-K56,"NA")</f>
        <v>NA</v>
      </c>
      <c r="L276" s="4">
        <f>IFERROR(DONNEES!L54-L56,"NA")</f>
        <v>0</v>
      </c>
      <c r="M276" s="4">
        <f>IFERROR(DONNEES!M54-M56,"NA")</f>
        <v>0</v>
      </c>
      <c r="N276" s="4">
        <f>IFERROR(DONNEES!N54-N56,"NA")</f>
        <v>1.8416532228390374</v>
      </c>
      <c r="O276" s="4">
        <f>IFERROR(DONNEES!O54-O56,"NA")</f>
        <v>0</v>
      </c>
    </row>
    <row r="277" spans="1:15" x14ac:dyDescent="0.3">
      <c r="A277" t="s">
        <v>140</v>
      </c>
      <c r="B277" s="4">
        <f>IFERROR(DONNEES!B55-B57,"NA")</f>
        <v>0</v>
      </c>
      <c r="C277" s="4">
        <f>IFERROR(DONNEES!C55-C57,"NA")</f>
        <v>0</v>
      </c>
      <c r="D277" s="4">
        <f>IFERROR(DONNEES!D55-D57,"NA")</f>
        <v>0</v>
      </c>
      <c r="E277" s="4">
        <f>IFERROR(DONNEES!E55-E57,"NA")</f>
        <v>0</v>
      </c>
      <c r="F277" s="4">
        <f>IFERROR(DONNEES!F55-F57,"NA")</f>
        <v>0</v>
      </c>
      <c r="G277" s="4">
        <f>IFERROR(DONNEES!G55-G57,"NA")</f>
        <v>0</v>
      </c>
      <c r="H277" s="4">
        <f>IFERROR(DONNEES!H55-H57,"NA")</f>
        <v>0</v>
      </c>
      <c r="I277" s="4">
        <f>IFERROR(DONNEES!I55-I57,"NA")</f>
        <v>0</v>
      </c>
      <c r="J277" s="4">
        <f>IFERROR(DONNEES!J55-J57,"NA")</f>
        <v>0</v>
      </c>
      <c r="K277" s="4">
        <f>IFERROR(DONNEES!K55-K57,"NA")</f>
        <v>0</v>
      </c>
      <c r="L277" s="4">
        <f>IFERROR(DONNEES!L55-L57,"NA")</f>
        <v>0</v>
      </c>
      <c r="M277" s="4">
        <f>IFERROR(DONNEES!M55-M57,"NA")</f>
        <v>0</v>
      </c>
      <c r="N277" s="4">
        <f>IFERROR(DONNEES!N55-N57,"NA")</f>
        <v>1.1748028298219035</v>
      </c>
      <c r="O277" s="4">
        <f>IFERROR(DONNEES!O55-O57,"NA")</f>
        <v>0</v>
      </c>
    </row>
    <row r="278" spans="1:15" x14ac:dyDescent="0.3">
      <c r="A278" t="s">
        <v>142</v>
      </c>
      <c r="B278" s="4" t="str">
        <f>IFERROR(DONNEES!B56-B58,"NA")</f>
        <v>NA</v>
      </c>
      <c r="C278" s="4" t="str">
        <f>IFERROR(DONNEES!C56-C58,"NA")</f>
        <v>NA</v>
      </c>
      <c r="D278" s="4">
        <f>IFERROR(DONNEES!D56-D58,"NA")</f>
        <v>0</v>
      </c>
      <c r="E278" s="4">
        <f>IFERROR(DONNEES!E56-E58,"NA")</f>
        <v>0</v>
      </c>
      <c r="F278" s="4">
        <f>IFERROR(DONNEES!F56-F58,"NA")</f>
        <v>0</v>
      </c>
      <c r="G278" s="4">
        <f>IFERROR(DONNEES!G56-G58,"NA")</f>
        <v>0</v>
      </c>
      <c r="H278" s="4">
        <f>IFERROR(DONNEES!H56-H58,"NA")</f>
        <v>0</v>
      </c>
      <c r="I278" s="4">
        <f>IFERROR(DONNEES!I56-I58,"NA")</f>
        <v>0</v>
      </c>
      <c r="J278" s="4">
        <f>IFERROR(DONNEES!J56-J58,"NA")</f>
        <v>0</v>
      </c>
      <c r="K278" s="4">
        <f>IFERROR(DONNEES!K56-K58,"NA")</f>
        <v>0</v>
      </c>
      <c r="L278" s="4">
        <f>IFERROR(DONNEES!L56-L58,"NA")</f>
        <v>0</v>
      </c>
      <c r="M278" s="4">
        <f>IFERROR(DONNEES!M56-M58,"NA")</f>
        <v>0</v>
      </c>
      <c r="N278" s="4">
        <f>IFERROR(DONNEES!N56-N58,"NA")</f>
        <v>-0.34937478881329309</v>
      </c>
      <c r="O278" s="4">
        <f>IFERROR(DONNEES!O56-O58,"NA")</f>
        <v>0</v>
      </c>
    </row>
    <row r="279" spans="1:15" x14ac:dyDescent="0.3">
      <c r="A279" t="s">
        <v>144</v>
      </c>
      <c r="B279" s="4">
        <f>IFERROR(DONNEES!B57-B59,"NA")</f>
        <v>0</v>
      </c>
      <c r="C279" s="4">
        <f>IFERROR(DONNEES!C57-C59,"NA")</f>
        <v>0</v>
      </c>
      <c r="D279" s="4" t="str">
        <f>IFERROR(DONNEES!D57-D59,"NA")</f>
        <v>NA</v>
      </c>
      <c r="E279" s="4">
        <f>IFERROR(DONNEES!E57-E59,"NA")</f>
        <v>0</v>
      </c>
      <c r="F279" s="4">
        <f>IFERROR(DONNEES!F57-F59,"NA")</f>
        <v>0</v>
      </c>
      <c r="G279" s="4">
        <f>IFERROR(DONNEES!G57-G59,"NA")</f>
        <v>0</v>
      </c>
      <c r="H279" s="4">
        <f>IFERROR(DONNEES!H57-H59,"NA")</f>
        <v>0</v>
      </c>
      <c r="I279" s="4">
        <f>IFERROR(DONNEES!I57-I59,"NA")</f>
        <v>0</v>
      </c>
      <c r="J279" s="4">
        <f>IFERROR(DONNEES!J57-J59,"NA")</f>
        <v>0</v>
      </c>
      <c r="K279" s="4">
        <f>IFERROR(DONNEES!K57-K59,"NA")</f>
        <v>0</v>
      </c>
      <c r="L279" s="4">
        <f>IFERROR(DONNEES!L57-L59,"NA")</f>
        <v>0</v>
      </c>
      <c r="M279" s="4">
        <f>IFERROR(DONNEES!M57-M59,"NA")</f>
        <v>0</v>
      </c>
      <c r="N279" s="4">
        <f>IFERROR(DONNEES!N57-N59,"NA")</f>
        <v>1.5329779585202536</v>
      </c>
      <c r="O279" s="4">
        <f>IFERROR(DONNEES!O57-O59,"NA")</f>
        <v>0</v>
      </c>
    </row>
    <row r="280" spans="1:15" x14ac:dyDescent="0.3">
      <c r="A280" t="s">
        <v>146</v>
      </c>
      <c r="B280" s="4">
        <f>IFERROR(DONNEES!B58-B60,"NA")</f>
        <v>0</v>
      </c>
      <c r="C280" s="4">
        <f>IFERROR(DONNEES!C58-C60,"NA")</f>
        <v>0</v>
      </c>
      <c r="D280" s="4">
        <f>IFERROR(DONNEES!D58-D60,"NA")</f>
        <v>0</v>
      </c>
      <c r="E280" s="4">
        <f>IFERROR(DONNEES!E58-E60,"NA")</f>
        <v>0</v>
      </c>
      <c r="F280" s="4">
        <f>IFERROR(DONNEES!F58-F60,"NA")</f>
        <v>0</v>
      </c>
      <c r="G280" s="4">
        <f>IFERROR(DONNEES!G58-G60,"NA")</f>
        <v>0</v>
      </c>
      <c r="H280" s="4">
        <f>IFERROR(DONNEES!H58-H60,"NA")</f>
        <v>0</v>
      </c>
      <c r="I280" s="4">
        <f>IFERROR(DONNEES!I58-I60,"NA")</f>
        <v>0</v>
      </c>
      <c r="J280" s="4">
        <f>IFERROR(DONNEES!J58-J60,"NA")</f>
        <v>0</v>
      </c>
      <c r="K280" s="4">
        <f>IFERROR(DONNEES!K58-K60,"NA")</f>
        <v>0</v>
      </c>
      <c r="L280" s="4">
        <f>IFERROR(DONNEES!L58-L60,"NA")</f>
        <v>0</v>
      </c>
      <c r="M280" s="4">
        <f>IFERROR(DONNEES!M58-M60,"NA")</f>
        <v>0</v>
      </c>
      <c r="N280" s="4">
        <f>IFERROR(DONNEES!N58-N60,"NA")</f>
        <v>-0.26485699856129946</v>
      </c>
      <c r="O280" s="4">
        <f>IFERROR(DONNEES!O58-O60,"NA")</f>
        <v>0</v>
      </c>
    </row>
    <row r="281" spans="1:15" x14ac:dyDescent="0.3">
      <c r="A281" t="s">
        <v>148</v>
      </c>
      <c r="B281" s="4">
        <f>IFERROR(DONNEES!B59-B61,"NA")</f>
        <v>0</v>
      </c>
      <c r="C281" s="4">
        <f>IFERROR(DONNEES!C59-C61,"NA")</f>
        <v>0</v>
      </c>
      <c r="D281" s="4">
        <f>IFERROR(DONNEES!D59-D61,"NA")</f>
        <v>0</v>
      </c>
      <c r="E281" s="4">
        <f>IFERROR(DONNEES!E59-E61,"NA")</f>
        <v>0</v>
      </c>
      <c r="F281" s="4">
        <f>IFERROR(DONNEES!F59-F61,"NA")</f>
        <v>0</v>
      </c>
      <c r="G281" s="4">
        <f>IFERROR(DONNEES!G59-G61,"NA")</f>
        <v>0</v>
      </c>
      <c r="H281" s="4">
        <f>IFERROR(DONNEES!H59-H61,"NA")</f>
        <v>0</v>
      </c>
      <c r="I281" s="4">
        <f>IFERROR(DONNEES!I59-I61,"NA")</f>
        <v>0</v>
      </c>
      <c r="J281" s="4">
        <f>IFERROR(DONNEES!J59-J61,"NA")</f>
        <v>0</v>
      </c>
      <c r="K281" s="4">
        <f>IFERROR(DONNEES!K59-K61,"NA")</f>
        <v>0</v>
      </c>
      <c r="L281" s="4">
        <f>IFERROR(DONNEES!L59-L61,"NA")</f>
        <v>0</v>
      </c>
      <c r="M281" s="4">
        <f>IFERROR(DONNEES!M59-M61,"NA")</f>
        <v>0</v>
      </c>
      <c r="N281" s="4">
        <f>IFERROR(DONNEES!N59-N61,"NA")</f>
        <v>-9.0674646198749653E-2</v>
      </c>
      <c r="O281" s="4">
        <f>IFERROR(DONNEES!O59-O61,"NA")</f>
        <v>0</v>
      </c>
    </row>
    <row r="282" spans="1:15" x14ac:dyDescent="0.3">
      <c r="A282" t="s">
        <v>150</v>
      </c>
      <c r="B282" s="4">
        <f>IFERROR(DONNEES!B60-B62,"NA")</f>
        <v>0</v>
      </c>
      <c r="C282" s="4">
        <f>IFERROR(DONNEES!C60-C62,"NA")</f>
        <v>0</v>
      </c>
      <c r="D282" s="4">
        <f>IFERROR(DONNEES!D60-D62,"NA")</f>
        <v>0</v>
      </c>
      <c r="E282" s="4">
        <f>IFERROR(DONNEES!E60-E62,"NA")</f>
        <v>0</v>
      </c>
      <c r="F282" s="4">
        <f>IFERROR(DONNEES!F60-F62,"NA")</f>
        <v>0</v>
      </c>
      <c r="G282" s="4">
        <f>IFERROR(DONNEES!G60-G62,"NA")</f>
        <v>0</v>
      </c>
      <c r="H282" s="4">
        <f>IFERROR(DONNEES!H60-H62,"NA")</f>
        <v>0</v>
      </c>
      <c r="I282" s="4">
        <f>IFERROR(DONNEES!I60-I62,"NA")</f>
        <v>0</v>
      </c>
      <c r="J282" s="4">
        <f>IFERROR(DONNEES!J60-J62,"NA")</f>
        <v>0</v>
      </c>
      <c r="K282" s="4">
        <f>IFERROR(DONNEES!K60-K62,"NA")</f>
        <v>0</v>
      </c>
      <c r="L282" s="4">
        <f>IFERROR(DONNEES!L60-L62,"NA")</f>
        <v>0</v>
      </c>
      <c r="M282" s="4">
        <f>IFERROR(DONNEES!M60-M62,"NA")</f>
        <v>0</v>
      </c>
      <c r="N282" s="4">
        <f>IFERROR(DONNEES!N60-N62,"NA")</f>
        <v>0.93312071735757196</v>
      </c>
      <c r="O282" s="4">
        <f>IFERROR(DONNEES!O60-O62,"NA")</f>
        <v>0</v>
      </c>
    </row>
    <row r="283" spans="1:15" x14ac:dyDescent="0.3">
      <c r="A283" t="s">
        <v>152</v>
      </c>
      <c r="B283" s="4">
        <f>IFERROR(DONNEES!B61-B63,"NA")</f>
        <v>0</v>
      </c>
      <c r="C283" s="4">
        <f>IFERROR(DONNEES!C61-C63,"NA")</f>
        <v>0</v>
      </c>
      <c r="D283" s="4">
        <f>IFERROR(DONNEES!D61-D63,"NA")</f>
        <v>0</v>
      </c>
      <c r="E283" s="4">
        <f>IFERROR(DONNEES!E61-E63,"NA")</f>
        <v>0</v>
      </c>
      <c r="F283" s="4">
        <f>IFERROR(DONNEES!F61-F63,"NA")</f>
        <v>0</v>
      </c>
      <c r="G283" s="4">
        <f>IFERROR(DONNEES!G61-G63,"NA")</f>
        <v>0</v>
      </c>
      <c r="H283" s="4">
        <f>IFERROR(DONNEES!H61-H63,"NA")</f>
        <v>0</v>
      </c>
      <c r="I283" s="4">
        <f>IFERROR(DONNEES!I61-I63,"NA")</f>
        <v>0</v>
      </c>
      <c r="J283" s="4">
        <f>IFERROR(DONNEES!J61-J63,"NA")</f>
        <v>0</v>
      </c>
      <c r="K283" s="4">
        <f>IFERROR(DONNEES!K61-K63,"NA")</f>
        <v>0</v>
      </c>
      <c r="L283" s="4">
        <f>IFERROR(DONNEES!L61-L63,"NA")</f>
        <v>0</v>
      </c>
      <c r="M283" s="4">
        <f>IFERROR(DONNEES!M61-M63,"NA")</f>
        <v>0</v>
      </c>
      <c r="N283" s="4">
        <f>IFERROR(DONNEES!N61-N63,"NA")</f>
        <v>0.55976443489392558</v>
      </c>
      <c r="O283" s="4">
        <f>IFERROR(DONNEES!O61-O63,"NA")</f>
        <v>0</v>
      </c>
    </row>
    <row r="284" spans="1:15" x14ac:dyDescent="0.3">
      <c r="A284" t="s">
        <v>154</v>
      </c>
      <c r="B284" s="4">
        <f>IFERROR(DONNEES!B62-B64,"NA")</f>
        <v>0</v>
      </c>
      <c r="C284" s="4">
        <f>IFERROR(DONNEES!C62-C64,"NA")</f>
        <v>0</v>
      </c>
      <c r="D284" s="4">
        <f>IFERROR(DONNEES!D62-D64,"NA")</f>
        <v>0</v>
      </c>
      <c r="E284" s="4">
        <f>IFERROR(DONNEES!E62-E64,"NA")</f>
        <v>0</v>
      </c>
      <c r="F284" s="4">
        <f>IFERROR(DONNEES!F62-F64,"NA")</f>
        <v>0</v>
      </c>
      <c r="G284" s="4">
        <f>IFERROR(DONNEES!G62-G64,"NA")</f>
        <v>0</v>
      </c>
      <c r="H284" s="4">
        <f>IFERROR(DONNEES!H62-H64,"NA")</f>
        <v>0</v>
      </c>
      <c r="I284" s="4">
        <f>IFERROR(DONNEES!I62-I64,"NA")</f>
        <v>0</v>
      </c>
      <c r="J284" s="4">
        <f>IFERROR(DONNEES!J62-J64,"NA")</f>
        <v>0</v>
      </c>
      <c r="K284" s="4">
        <f>IFERROR(DONNEES!K62-K64,"NA")</f>
        <v>0</v>
      </c>
      <c r="L284" s="4">
        <f>IFERROR(DONNEES!L62-L64,"NA")</f>
        <v>0</v>
      </c>
      <c r="M284" s="4">
        <f>IFERROR(DONNEES!M62-M64,"NA")</f>
        <v>0</v>
      </c>
      <c r="N284" s="4">
        <f>IFERROR(DONNEES!N62-N64,"NA")</f>
        <v>-2.2906637589136754</v>
      </c>
      <c r="O284" s="4">
        <f>IFERROR(DONNEES!O62-O64,"NA")</f>
        <v>0</v>
      </c>
    </row>
    <row r="285" spans="1:15" x14ac:dyDescent="0.3">
      <c r="A285" t="s">
        <v>156</v>
      </c>
      <c r="B285" s="4" t="str">
        <f>IFERROR(DONNEES!B63-B65,"NA")</f>
        <v>NA</v>
      </c>
      <c r="C285" s="4">
        <f>IFERROR(DONNEES!C63-C65,"NA")</f>
        <v>0</v>
      </c>
      <c r="D285" s="4">
        <f>IFERROR(DONNEES!D63-D65,"NA")</f>
        <v>0</v>
      </c>
      <c r="E285" s="4">
        <f>IFERROR(DONNEES!E63-E65,"NA")</f>
        <v>0</v>
      </c>
      <c r="F285" s="4">
        <f>IFERROR(DONNEES!F63-F65,"NA")</f>
        <v>0</v>
      </c>
      <c r="G285" s="4">
        <f>IFERROR(DONNEES!G63-G65,"NA")</f>
        <v>0</v>
      </c>
      <c r="H285" s="4">
        <f>IFERROR(DONNEES!H63-H65,"NA")</f>
        <v>0</v>
      </c>
      <c r="I285" s="4">
        <f>IFERROR(DONNEES!I63-I65,"NA")</f>
        <v>0</v>
      </c>
      <c r="J285" s="4">
        <f>IFERROR(DONNEES!J63-J65,"NA")</f>
        <v>0</v>
      </c>
      <c r="K285" s="4">
        <f>IFERROR(DONNEES!K63-K65,"NA")</f>
        <v>0</v>
      </c>
      <c r="L285" s="4">
        <f>IFERROR(DONNEES!L63-L65,"NA")</f>
        <v>0</v>
      </c>
      <c r="M285" s="4">
        <f>IFERROR(DONNEES!M63-M65,"NA")</f>
        <v>0</v>
      </c>
      <c r="N285" s="4">
        <f>IFERROR(DONNEES!N63-N65,"NA")</f>
        <v>-0.73582597573598185</v>
      </c>
      <c r="O285" s="4">
        <f>IFERROR(DONNEES!O63-O65,"NA")</f>
        <v>0</v>
      </c>
    </row>
    <row r="286" spans="1:15" x14ac:dyDescent="0.3">
      <c r="A286" t="s">
        <v>158</v>
      </c>
      <c r="B286" s="4">
        <f>IFERROR(DONNEES!B64-B66,"NA")</f>
        <v>0</v>
      </c>
      <c r="C286" s="4">
        <f>IFERROR(DONNEES!C64-C66,"NA")</f>
        <v>0</v>
      </c>
      <c r="D286" s="4">
        <f>IFERROR(DONNEES!D64-D66,"NA")</f>
        <v>0</v>
      </c>
      <c r="E286" s="4">
        <f>IFERROR(DONNEES!E64-E66,"NA")</f>
        <v>0</v>
      </c>
      <c r="F286" s="4">
        <f>IFERROR(DONNEES!F64-F66,"NA")</f>
        <v>0</v>
      </c>
      <c r="G286" s="4">
        <f>IFERROR(DONNEES!G64-G66,"NA")</f>
        <v>0</v>
      </c>
      <c r="H286" s="4">
        <f>IFERROR(DONNEES!H64-H66,"NA")</f>
        <v>0</v>
      </c>
      <c r="I286" s="4">
        <f>IFERROR(DONNEES!I64-I66,"NA")</f>
        <v>0</v>
      </c>
      <c r="J286" s="4">
        <f>IFERROR(DONNEES!J64-J66,"NA")</f>
        <v>0</v>
      </c>
      <c r="K286" s="4">
        <f>IFERROR(DONNEES!K64-K66,"NA")</f>
        <v>0</v>
      </c>
      <c r="L286" s="4">
        <f>IFERROR(DONNEES!L64-L66,"NA")</f>
        <v>0</v>
      </c>
      <c r="M286" s="4">
        <f>IFERROR(DONNEES!M64-M66,"NA")</f>
        <v>0</v>
      </c>
      <c r="N286" s="4">
        <f>IFERROR(DONNEES!N64-N66,"NA")</f>
        <v>1.7836505187054477</v>
      </c>
      <c r="O286" s="4">
        <f>IFERROR(DONNEES!O64-O66,"NA")</f>
        <v>0</v>
      </c>
    </row>
    <row r="287" spans="1:15" x14ac:dyDescent="0.3">
      <c r="A287" t="s">
        <v>160</v>
      </c>
      <c r="B287" s="4">
        <f>IFERROR(DONNEES!B65-B67,"NA")</f>
        <v>0</v>
      </c>
      <c r="C287" s="4">
        <f>IFERROR(DONNEES!C65-C67,"NA")</f>
        <v>0</v>
      </c>
      <c r="D287" s="4">
        <f>IFERROR(DONNEES!D65-D67,"NA")</f>
        <v>0</v>
      </c>
      <c r="E287" s="4">
        <f>IFERROR(DONNEES!E65-E67,"NA")</f>
        <v>0</v>
      </c>
      <c r="F287" s="4">
        <f>IFERROR(DONNEES!F65-F67,"NA")</f>
        <v>0</v>
      </c>
      <c r="G287" s="4">
        <f>IFERROR(DONNEES!G65-G67,"NA")</f>
        <v>0</v>
      </c>
      <c r="H287" s="4">
        <f>IFERROR(DONNEES!H65-H67,"NA")</f>
        <v>0</v>
      </c>
      <c r="I287" s="4">
        <f>IFERROR(DONNEES!I65-I67,"NA")</f>
        <v>0</v>
      </c>
      <c r="J287" s="4">
        <f>IFERROR(DONNEES!J65-J67,"NA")</f>
        <v>0</v>
      </c>
      <c r="K287" s="4">
        <f>IFERROR(DONNEES!K65-K67,"NA")</f>
        <v>0</v>
      </c>
      <c r="L287" s="4">
        <f>IFERROR(DONNEES!L65-L67,"NA")</f>
        <v>0</v>
      </c>
      <c r="M287" s="4">
        <f>IFERROR(DONNEES!M65-M67,"NA")</f>
        <v>0</v>
      </c>
      <c r="N287" s="4">
        <f>IFERROR(DONNEES!N65-N67,"NA")</f>
        <v>-0.37798775627743458</v>
      </c>
      <c r="O287" s="4">
        <f>IFERROR(DONNEES!O65-O67,"NA")</f>
        <v>0</v>
      </c>
    </row>
    <row r="288" spans="1:15" x14ac:dyDescent="0.3">
      <c r="A288" t="s">
        <v>162</v>
      </c>
      <c r="B288" s="4">
        <f>IFERROR(DONNEES!B66-B68,"NA")</f>
        <v>0</v>
      </c>
      <c r="C288" s="4">
        <f>IFERROR(DONNEES!C66-C68,"NA")</f>
        <v>0</v>
      </c>
      <c r="D288" s="4">
        <f>IFERROR(DONNEES!D66-D68,"NA")</f>
        <v>0</v>
      </c>
      <c r="E288" s="4">
        <f>IFERROR(DONNEES!E66-E68,"NA")</f>
        <v>0</v>
      </c>
      <c r="F288" s="4">
        <f>IFERROR(DONNEES!F66-F68,"NA")</f>
        <v>0</v>
      </c>
      <c r="G288" s="4">
        <f>IFERROR(DONNEES!G66-G68,"NA")</f>
        <v>0</v>
      </c>
      <c r="H288" s="4">
        <f>IFERROR(DONNEES!H66-H68,"NA")</f>
        <v>0</v>
      </c>
      <c r="I288" s="4">
        <f>IFERROR(DONNEES!I66-I68,"NA")</f>
        <v>0</v>
      </c>
      <c r="J288" s="4">
        <f>IFERROR(DONNEES!J66-J68,"NA")</f>
        <v>0</v>
      </c>
      <c r="K288" s="4">
        <f>IFERROR(DONNEES!K66-K68,"NA")</f>
        <v>0</v>
      </c>
      <c r="L288" s="4">
        <f>IFERROR(DONNEES!L66-L68,"NA")</f>
        <v>0</v>
      </c>
      <c r="M288" s="4">
        <f>IFERROR(DONNEES!M66-M68,"NA")</f>
        <v>0</v>
      </c>
      <c r="N288" s="4">
        <f>IFERROR(DONNEES!N66-N68,"NA")</f>
        <v>-2.6720904546479387</v>
      </c>
      <c r="O288" s="4">
        <f>IFERROR(DONNEES!O66-O68,"NA")</f>
        <v>0</v>
      </c>
    </row>
    <row r="289" spans="1:15" x14ac:dyDescent="0.3">
      <c r="A289" t="s">
        <v>164</v>
      </c>
      <c r="B289" s="4" t="str">
        <f>IFERROR(DONNEES!B67-B69,"NA")</f>
        <v>NA</v>
      </c>
      <c r="C289" s="4" t="str">
        <f>IFERROR(DONNEES!C67-C69,"NA")</f>
        <v>NA</v>
      </c>
      <c r="D289" s="4" t="str">
        <f>IFERROR(DONNEES!D67-D69,"NA")</f>
        <v>NA</v>
      </c>
      <c r="E289" s="4">
        <f>IFERROR(DONNEES!E67-E69,"NA")</f>
        <v>0</v>
      </c>
      <c r="F289" s="4">
        <f>IFERROR(DONNEES!F67-F69,"NA")</f>
        <v>0</v>
      </c>
      <c r="G289" s="4">
        <f>IFERROR(DONNEES!G67-G69,"NA")</f>
        <v>0</v>
      </c>
      <c r="H289" s="4" t="str">
        <f>IFERROR(DONNEES!H67-H69,"NA")</f>
        <v>NA</v>
      </c>
      <c r="I289" s="4" t="str">
        <f>IFERROR(DONNEES!I67-I69,"NA")</f>
        <v>NA</v>
      </c>
      <c r="J289" s="4" t="str">
        <f>IFERROR(DONNEES!J67-J69,"NA")</f>
        <v>NA</v>
      </c>
      <c r="K289" s="4" t="str">
        <f>IFERROR(DONNEES!K67-K69,"NA")</f>
        <v>NA</v>
      </c>
      <c r="L289" s="4" t="str">
        <f>IFERROR(DONNEES!L67-L69,"NA")</f>
        <v>NA</v>
      </c>
      <c r="M289" s="4" t="str">
        <f>IFERROR(DONNEES!M67-M69,"NA")</f>
        <v>NA</v>
      </c>
      <c r="N289" s="4" t="str">
        <f>IFERROR(DONNEES!N67-N69,"NA")</f>
        <v>NA</v>
      </c>
      <c r="O289" s="4" t="str">
        <f>IFERROR(DONNEES!O67-O69,"NA")</f>
        <v>NA</v>
      </c>
    </row>
    <row r="290" spans="1:15" x14ac:dyDescent="0.3">
      <c r="A290" t="s">
        <v>166</v>
      </c>
      <c r="B290" s="4">
        <f>IFERROR(DONNEES!B68-B70,"NA")</f>
        <v>0</v>
      </c>
      <c r="C290" s="4">
        <f>IFERROR(DONNEES!C68-C70,"NA")</f>
        <v>0</v>
      </c>
      <c r="D290" s="4">
        <f>IFERROR(DONNEES!D68-D70,"NA")</f>
        <v>0</v>
      </c>
      <c r="E290" s="4">
        <f>IFERROR(DONNEES!E68-E70,"NA")</f>
        <v>0</v>
      </c>
      <c r="F290" s="4">
        <f>IFERROR(DONNEES!F68-F70,"NA")</f>
        <v>0</v>
      </c>
      <c r="G290" s="4">
        <f>IFERROR(DONNEES!G68-G70,"NA")</f>
        <v>0</v>
      </c>
      <c r="H290" s="4">
        <f>IFERROR(DONNEES!H68-H70,"NA")</f>
        <v>0</v>
      </c>
      <c r="I290" s="4">
        <f>IFERROR(DONNEES!I68-I70,"NA")</f>
        <v>0</v>
      </c>
      <c r="J290" s="4">
        <f>IFERROR(DONNEES!J68-J70,"NA")</f>
        <v>0</v>
      </c>
      <c r="K290" s="4" t="str">
        <f>IFERROR(DONNEES!K68-K70,"NA")</f>
        <v>NA</v>
      </c>
      <c r="L290" s="4">
        <f>IFERROR(DONNEES!L68-L70,"NA")</f>
        <v>0</v>
      </c>
      <c r="M290" s="4">
        <f>IFERROR(DONNEES!M68-M70,"NA")</f>
        <v>0</v>
      </c>
      <c r="N290" s="4">
        <f>IFERROR(DONNEES!N68-N70,"NA")</f>
        <v>-1.1809399560637153</v>
      </c>
      <c r="O290" s="4">
        <f>IFERROR(DONNEES!O68-O70,"NA")</f>
        <v>0</v>
      </c>
    </row>
    <row r="291" spans="1:15" x14ac:dyDescent="0.3">
      <c r="A291" t="s">
        <v>168</v>
      </c>
      <c r="B291" s="4">
        <f>IFERROR(DONNEES!B69-B71,"NA")</f>
        <v>0</v>
      </c>
      <c r="C291" s="4">
        <f>IFERROR(DONNEES!C69-C71,"NA")</f>
        <v>0</v>
      </c>
      <c r="D291" s="4">
        <f>IFERROR(DONNEES!D69-D71,"NA")</f>
        <v>0</v>
      </c>
      <c r="E291" s="4">
        <f>IFERROR(DONNEES!E69-E71,"NA")</f>
        <v>0</v>
      </c>
      <c r="F291" s="4">
        <f>IFERROR(DONNEES!F69-F71,"NA")</f>
        <v>0</v>
      </c>
      <c r="G291" s="4">
        <f>IFERROR(DONNEES!G69-G71,"NA")</f>
        <v>0</v>
      </c>
      <c r="H291" s="4">
        <f>IFERROR(DONNEES!H69-H71,"NA")</f>
        <v>0</v>
      </c>
      <c r="I291" s="4" t="str">
        <f>IFERROR(DONNEES!I69-I71,"NA")</f>
        <v>NA</v>
      </c>
      <c r="J291" s="4">
        <f>IFERROR(DONNEES!J69-J71,"NA")</f>
        <v>0</v>
      </c>
      <c r="K291" s="4">
        <f>IFERROR(DONNEES!K69-K71,"NA")</f>
        <v>0</v>
      </c>
      <c r="L291" s="4">
        <f>IFERROR(DONNEES!L69-L71,"NA")</f>
        <v>0</v>
      </c>
      <c r="M291" s="4">
        <f>IFERROR(DONNEES!M69-M71,"NA")</f>
        <v>0</v>
      </c>
      <c r="N291" s="4">
        <f>IFERROR(DONNEES!N69-N71,"NA")</f>
        <v>2.5231393283853931</v>
      </c>
      <c r="O291" s="4">
        <f>IFERROR(DONNEES!O69-O71,"NA")</f>
        <v>0</v>
      </c>
    </row>
    <row r="292" spans="1:15" x14ac:dyDescent="0.3">
      <c r="A292" t="s">
        <v>170</v>
      </c>
      <c r="B292" s="4">
        <f>IFERROR(DONNEES!B70-B72,"NA")</f>
        <v>0</v>
      </c>
      <c r="C292" s="4">
        <f>IFERROR(DONNEES!C70-C72,"NA")</f>
        <v>0</v>
      </c>
      <c r="D292" s="4">
        <f>IFERROR(DONNEES!D70-D72,"NA")</f>
        <v>0</v>
      </c>
      <c r="E292" s="4">
        <f>IFERROR(DONNEES!E70-E72,"NA")</f>
        <v>0</v>
      </c>
      <c r="F292" s="4">
        <f>IFERROR(DONNEES!F70-F72,"NA")</f>
        <v>0</v>
      </c>
      <c r="G292" s="4">
        <f>IFERROR(DONNEES!G70-G72,"NA")</f>
        <v>0</v>
      </c>
      <c r="H292" s="4">
        <f>IFERROR(DONNEES!H70-H72,"NA")</f>
        <v>0</v>
      </c>
      <c r="I292" s="4">
        <f>IFERROR(DONNEES!I70-I72,"NA")</f>
        <v>0</v>
      </c>
      <c r="J292" s="4">
        <f>IFERROR(DONNEES!J70-J72,"NA")</f>
        <v>0</v>
      </c>
      <c r="K292" s="4">
        <f>IFERROR(DONNEES!K70-K72,"NA")</f>
        <v>0</v>
      </c>
      <c r="L292" s="4">
        <f>IFERROR(DONNEES!L70-L72,"NA")</f>
        <v>0</v>
      </c>
      <c r="M292" s="4">
        <f>IFERROR(DONNEES!M70-M72,"NA")</f>
        <v>0</v>
      </c>
      <c r="N292" s="4">
        <f>IFERROR(DONNEES!N70-N72,"NA")</f>
        <v>1.7997895614244044</v>
      </c>
      <c r="O292" s="4">
        <f>IFERROR(DONNEES!O70-O72,"NA")</f>
        <v>0</v>
      </c>
    </row>
    <row r="293" spans="1:15" x14ac:dyDescent="0.3">
      <c r="A293" t="s">
        <v>172</v>
      </c>
      <c r="B293" s="4">
        <f>IFERROR(DONNEES!B71-B73,"NA")</f>
        <v>0</v>
      </c>
      <c r="C293" s="4">
        <f>IFERROR(DONNEES!C71-C73,"NA")</f>
        <v>0</v>
      </c>
      <c r="D293" s="4">
        <f>IFERROR(DONNEES!D71-D73,"NA")</f>
        <v>0</v>
      </c>
      <c r="E293" s="4">
        <f>IFERROR(DONNEES!E71-E73,"NA")</f>
        <v>0</v>
      </c>
      <c r="F293" s="4">
        <f>IFERROR(DONNEES!F71-F73,"NA")</f>
        <v>0</v>
      </c>
      <c r="G293" s="4">
        <f>IFERROR(DONNEES!G71-G73,"NA")</f>
        <v>0</v>
      </c>
      <c r="H293" s="4" t="str">
        <f>IFERROR(DONNEES!H71-H73,"NA")</f>
        <v>NA</v>
      </c>
      <c r="I293" s="4">
        <f>IFERROR(DONNEES!I71-I73,"NA")</f>
        <v>0</v>
      </c>
      <c r="J293" s="4">
        <f>IFERROR(DONNEES!J71-J73,"NA")</f>
        <v>0</v>
      </c>
      <c r="K293" s="4">
        <f>IFERROR(DONNEES!K71-K73,"NA")</f>
        <v>0</v>
      </c>
      <c r="L293" s="4" t="str">
        <f>IFERROR(DONNEES!L71-L73,"NA")</f>
        <v>NA</v>
      </c>
      <c r="M293" s="4" t="str">
        <f>IFERROR(DONNEES!M71-M73,"NA")</f>
        <v>NA</v>
      </c>
      <c r="N293" s="4" t="str">
        <f>IFERROR(DONNEES!N71-N73,"NA")</f>
        <v>NA</v>
      </c>
      <c r="O293" s="4" t="str">
        <f>IFERROR(DONNEES!O71-O73,"NA")</f>
        <v>NA</v>
      </c>
    </row>
    <row r="294" spans="1:15" x14ac:dyDescent="0.3">
      <c r="A294" t="s">
        <v>174</v>
      </c>
      <c r="B294" s="4">
        <f>IFERROR(DONNEES!B72-B74,"NA")</f>
        <v>0</v>
      </c>
      <c r="C294" s="4">
        <f>IFERROR(DONNEES!C72-C74,"NA")</f>
        <v>0</v>
      </c>
      <c r="D294" s="4">
        <f>IFERROR(DONNEES!D72-D74,"NA")</f>
        <v>0</v>
      </c>
      <c r="E294" s="4">
        <f>IFERROR(DONNEES!E72-E74,"NA")</f>
        <v>0</v>
      </c>
      <c r="F294" s="4">
        <f>IFERROR(DONNEES!F72-F74,"NA")</f>
        <v>0</v>
      </c>
      <c r="G294" s="4">
        <f>IFERROR(DONNEES!G72-G74,"NA")</f>
        <v>0</v>
      </c>
      <c r="H294" s="4">
        <f>IFERROR(DONNEES!H72-H74,"NA")</f>
        <v>0</v>
      </c>
      <c r="I294" s="4">
        <f>IFERROR(DONNEES!I72-I74,"NA")</f>
        <v>0</v>
      </c>
      <c r="J294" s="4">
        <f>IFERROR(DONNEES!J72-J74,"NA")</f>
        <v>0</v>
      </c>
      <c r="K294" s="4">
        <f>IFERROR(DONNEES!K72-K74,"NA")</f>
        <v>0</v>
      </c>
      <c r="L294" s="4">
        <f>IFERROR(DONNEES!L72-L74,"NA")</f>
        <v>0</v>
      </c>
      <c r="M294" s="4">
        <f>IFERROR(DONNEES!M72-M74,"NA")</f>
        <v>-4.4408920985006262E-16</v>
      </c>
      <c r="N294" s="4">
        <f>IFERROR(DONNEES!N72-N74,"NA")</f>
        <v>-2.1931237385918689</v>
      </c>
      <c r="O294" s="4">
        <f>IFERROR(DONNEES!O72-O74,"NA")</f>
        <v>0</v>
      </c>
    </row>
    <row r="295" spans="1:15" x14ac:dyDescent="0.3">
      <c r="A295" t="s">
        <v>176</v>
      </c>
      <c r="B295" s="4">
        <f>IFERROR(DONNEES!B73-B75,"NA")</f>
        <v>0</v>
      </c>
      <c r="C295" s="4">
        <f>IFERROR(DONNEES!C73-C75,"NA")</f>
        <v>0</v>
      </c>
      <c r="D295" s="4">
        <f>IFERROR(DONNEES!D73-D75,"NA")</f>
        <v>0</v>
      </c>
      <c r="E295" s="4">
        <f>IFERROR(DONNEES!E73-E75,"NA")</f>
        <v>0</v>
      </c>
      <c r="F295" s="4">
        <f>IFERROR(DONNEES!F73-F75,"NA")</f>
        <v>0</v>
      </c>
      <c r="G295" s="4">
        <f>IFERROR(DONNEES!G73-G75,"NA")</f>
        <v>0</v>
      </c>
      <c r="H295" s="4">
        <f>IFERROR(DONNEES!H73-H75,"NA")</f>
        <v>0</v>
      </c>
      <c r="I295" s="4">
        <f>IFERROR(DONNEES!I73-I75,"NA")</f>
        <v>0</v>
      </c>
      <c r="J295" s="4">
        <f>IFERROR(DONNEES!J73-J75,"NA")</f>
        <v>0</v>
      </c>
      <c r="K295" s="4" t="str">
        <f>IFERROR(DONNEES!K73-K75,"NA")</f>
        <v>NA</v>
      </c>
      <c r="L295" s="4">
        <f>IFERROR(DONNEES!L73-L75,"NA")</f>
        <v>0</v>
      </c>
      <c r="M295" s="4">
        <f>IFERROR(DONNEES!M73-M75,"NA")</f>
        <v>0</v>
      </c>
      <c r="N295" s="4">
        <f>IFERROR(DONNEES!N73-N75,"NA")</f>
        <v>-0.38605639438416495</v>
      </c>
      <c r="O295" s="4">
        <f>IFERROR(DONNEES!O73-O75,"NA")</f>
        <v>0</v>
      </c>
    </row>
    <row r="296" spans="1:15" x14ac:dyDescent="0.3">
      <c r="A296" t="s">
        <v>178</v>
      </c>
      <c r="B296" s="4">
        <f>IFERROR(DONNEES!B74-B76,"NA")</f>
        <v>0</v>
      </c>
      <c r="C296" s="4">
        <f>IFERROR(DONNEES!C74-C76,"NA")</f>
        <v>0</v>
      </c>
      <c r="D296" s="4">
        <f>IFERROR(DONNEES!D74-D76,"NA")</f>
        <v>0</v>
      </c>
      <c r="E296" s="4">
        <f>IFERROR(DONNEES!E74-E76,"NA")</f>
        <v>0</v>
      </c>
      <c r="F296" s="4">
        <f>IFERROR(DONNEES!F74-F76,"NA")</f>
        <v>0</v>
      </c>
      <c r="G296" s="4">
        <f>IFERROR(DONNEES!G74-G76,"NA")</f>
        <v>0</v>
      </c>
      <c r="H296" s="4">
        <f>IFERROR(DONNEES!H74-H76,"NA")</f>
        <v>0</v>
      </c>
      <c r="I296" s="4">
        <f>IFERROR(DONNEES!I74-I76,"NA")</f>
        <v>0</v>
      </c>
      <c r="J296" s="4">
        <f>IFERROR(DONNEES!J74-J76,"NA")</f>
        <v>0</v>
      </c>
      <c r="K296" s="4">
        <f>IFERROR(DONNEES!K74-K76,"NA")</f>
        <v>0</v>
      </c>
      <c r="L296" s="4">
        <f>IFERROR(DONNEES!L74-L76,"NA")</f>
        <v>0</v>
      </c>
      <c r="M296" s="4">
        <f>IFERROR(DONNEES!M74-M76,"NA")</f>
        <v>0</v>
      </c>
      <c r="N296" s="4">
        <f>IFERROR(DONNEES!N74-N76,"NA")</f>
        <v>-0.80945669906213924</v>
      </c>
      <c r="O296" s="4">
        <f>IFERROR(DONNEES!O74-O76,"NA")</f>
        <v>0</v>
      </c>
    </row>
    <row r="297" spans="1:15" x14ac:dyDescent="0.3">
      <c r="A297" t="s">
        <v>180</v>
      </c>
      <c r="B297" s="4">
        <f>IFERROR(DONNEES!B75-B77,"NA")</f>
        <v>0</v>
      </c>
      <c r="C297" s="4">
        <f>IFERROR(DONNEES!C75-C77,"NA")</f>
        <v>0</v>
      </c>
      <c r="D297" s="4">
        <f>IFERROR(DONNEES!D75-D77,"NA")</f>
        <v>0</v>
      </c>
      <c r="E297" s="4">
        <f>IFERROR(DONNEES!E75-E77,"NA")</f>
        <v>0</v>
      </c>
      <c r="F297" s="4">
        <f>IFERROR(DONNEES!F75-F77,"NA")</f>
        <v>0</v>
      </c>
      <c r="G297" s="4">
        <f>IFERROR(DONNEES!G75-G77,"NA")</f>
        <v>0</v>
      </c>
      <c r="H297" s="4">
        <f>IFERROR(DONNEES!H75-H77,"NA")</f>
        <v>0</v>
      </c>
      <c r="I297" s="4">
        <f>IFERROR(DONNEES!I75-I77,"NA")</f>
        <v>0</v>
      </c>
      <c r="J297" s="4">
        <f>IFERROR(DONNEES!J75-J77,"NA")</f>
        <v>0</v>
      </c>
      <c r="K297" s="4">
        <f>IFERROR(DONNEES!K75-K77,"NA")</f>
        <v>0</v>
      </c>
      <c r="L297" s="4">
        <f>IFERROR(DONNEES!L75-L77,"NA")</f>
        <v>0</v>
      </c>
      <c r="M297" s="4">
        <f>IFERROR(DONNEES!M75-M77,"NA")</f>
        <v>0</v>
      </c>
      <c r="N297" s="4">
        <f>IFERROR(DONNEES!N75-N77,"NA")</f>
        <v>-6.1194151639939243E-2</v>
      </c>
      <c r="O297" s="4">
        <f>IFERROR(DONNEES!O75-O77,"NA")</f>
        <v>0</v>
      </c>
    </row>
    <row r="298" spans="1:15" x14ac:dyDescent="0.3">
      <c r="A298" t="s">
        <v>182</v>
      </c>
      <c r="B298" s="4">
        <f>IFERROR(DONNEES!B76-B78,"NA")</f>
        <v>0</v>
      </c>
      <c r="C298" s="4">
        <f>IFERROR(DONNEES!C76-C78,"NA")</f>
        <v>0</v>
      </c>
      <c r="D298" s="4">
        <f>IFERROR(DONNEES!D76-D78,"NA")</f>
        <v>0</v>
      </c>
      <c r="E298" s="4">
        <f>IFERROR(DONNEES!E76-E78,"NA")</f>
        <v>0</v>
      </c>
      <c r="F298" s="4">
        <f>IFERROR(DONNEES!F76-F78,"NA")</f>
        <v>0</v>
      </c>
      <c r="G298" s="4">
        <f>IFERROR(DONNEES!G76-G78,"NA")</f>
        <v>0</v>
      </c>
      <c r="H298" s="4">
        <f>IFERROR(DONNEES!H76-H78,"NA")</f>
        <v>0</v>
      </c>
      <c r="I298" s="4" t="str">
        <f>IFERROR(DONNEES!I76-I78,"NA")</f>
        <v>NA</v>
      </c>
      <c r="J298" s="4" t="str">
        <f>IFERROR(DONNEES!J76-J78,"NA")</f>
        <v>NA</v>
      </c>
      <c r="K298" s="4">
        <f>IFERROR(DONNEES!K76-K78,"NA")</f>
        <v>0</v>
      </c>
      <c r="L298" s="4">
        <f>IFERROR(DONNEES!L76-L78,"NA")</f>
        <v>0</v>
      </c>
      <c r="M298" s="4">
        <f>IFERROR(DONNEES!M76-M78,"NA")</f>
        <v>0</v>
      </c>
      <c r="N298" s="4">
        <f>IFERROR(DONNEES!N76-N78,"NA")</f>
        <v>-0.31019572487760649</v>
      </c>
      <c r="O298" s="4">
        <f>IFERROR(DONNEES!O76-O78,"NA")</f>
        <v>0</v>
      </c>
    </row>
    <row r="299" spans="1:15" x14ac:dyDescent="0.3">
      <c r="A299" t="s">
        <v>184</v>
      </c>
      <c r="B299" s="4" t="str">
        <f>IFERROR(DONNEES!B77-B79,"NA")</f>
        <v>NA</v>
      </c>
      <c r="C299" s="4" t="str">
        <f>IFERROR(DONNEES!C77-C79,"NA")</f>
        <v>NA</v>
      </c>
      <c r="D299" s="4" t="str">
        <f>IFERROR(DONNEES!D77-D79,"NA")</f>
        <v>NA</v>
      </c>
      <c r="E299" s="4">
        <f>IFERROR(DONNEES!E77-E79,"NA")</f>
        <v>0</v>
      </c>
      <c r="F299" s="4">
        <f>IFERROR(DONNEES!F77-F79,"NA")</f>
        <v>0</v>
      </c>
      <c r="G299" s="4">
        <f>IFERROR(DONNEES!G77-G79,"NA")</f>
        <v>0</v>
      </c>
      <c r="H299" s="4" t="str">
        <f>IFERROR(DONNEES!H77-H79,"NA")</f>
        <v>NA</v>
      </c>
      <c r="I299" s="4">
        <f>IFERROR(DONNEES!I77-I79,"NA")</f>
        <v>0</v>
      </c>
      <c r="J299" s="4" t="str">
        <f>IFERROR(DONNEES!J77-J79,"NA")</f>
        <v>NA</v>
      </c>
      <c r="K299" s="4">
        <f>IFERROR(DONNEES!K77-K79,"NA")</f>
        <v>0</v>
      </c>
      <c r="L299" s="4" t="str">
        <f>IFERROR(DONNEES!L77-L79,"NA")</f>
        <v>NA</v>
      </c>
      <c r="M299" s="4" t="str">
        <f>IFERROR(DONNEES!M77-M79,"NA")</f>
        <v>NA</v>
      </c>
      <c r="N299" s="4" t="str">
        <f>IFERROR(DONNEES!N77-N79,"NA")</f>
        <v>NA</v>
      </c>
      <c r="O299" s="4" t="str">
        <f>IFERROR(DONNEES!O77-O79,"NA")</f>
        <v>NA</v>
      </c>
    </row>
    <row r="300" spans="1:15" x14ac:dyDescent="0.3">
      <c r="A300" t="s">
        <v>186</v>
      </c>
      <c r="B300" s="4">
        <f>IFERROR(DONNEES!B78-B80,"NA")</f>
        <v>0</v>
      </c>
      <c r="C300" s="4">
        <f>IFERROR(DONNEES!C78-C80,"NA")</f>
        <v>0</v>
      </c>
      <c r="D300" s="4">
        <f>IFERROR(DONNEES!D78-D80,"NA")</f>
        <v>0</v>
      </c>
      <c r="E300" s="4">
        <f>IFERROR(DONNEES!E78-E80,"NA")</f>
        <v>0</v>
      </c>
      <c r="F300" s="4">
        <f>IFERROR(DONNEES!F78-F80,"NA")</f>
        <v>0</v>
      </c>
      <c r="G300" s="4">
        <f>IFERROR(DONNEES!G78-G80,"NA")</f>
        <v>0</v>
      </c>
      <c r="H300" s="4">
        <f>IFERROR(DONNEES!H78-H80,"NA")</f>
        <v>0</v>
      </c>
      <c r="I300" s="4">
        <f>IFERROR(DONNEES!I78-I80,"NA")</f>
        <v>0</v>
      </c>
      <c r="J300" s="4">
        <f>IFERROR(DONNEES!J78-J80,"NA")</f>
        <v>0</v>
      </c>
      <c r="K300" s="4">
        <f>IFERROR(DONNEES!K78-K80,"NA")</f>
        <v>0</v>
      </c>
      <c r="L300" s="4">
        <f>IFERROR(DONNEES!L78-L80,"NA")</f>
        <v>0</v>
      </c>
      <c r="M300" s="4">
        <f>IFERROR(DONNEES!M78-M80,"NA")</f>
        <v>0</v>
      </c>
      <c r="N300" s="4">
        <f>IFERROR(DONNEES!N78-N80,"NA")</f>
        <v>1.5987920705229042</v>
      </c>
      <c r="O300" s="4">
        <f>IFERROR(DONNEES!O78-O80,"NA")</f>
        <v>0</v>
      </c>
    </row>
    <row r="301" spans="1:15" x14ac:dyDescent="0.3">
      <c r="A301" t="s">
        <v>188</v>
      </c>
      <c r="B301" s="4" t="str">
        <f>IFERROR(DONNEES!B79-B81,"NA")</f>
        <v>NA</v>
      </c>
      <c r="C301" s="4">
        <f>IFERROR(DONNEES!C79-C81,"NA")</f>
        <v>0</v>
      </c>
      <c r="D301" s="4">
        <f>IFERROR(DONNEES!D79-D81,"NA")</f>
        <v>0</v>
      </c>
      <c r="E301" s="4">
        <f>IFERROR(DONNEES!E79-E81,"NA")</f>
        <v>0</v>
      </c>
      <c r="F301" s="4">
        <f>IFERROR(DONNEES!F79-F81,"NA")</f>
        <v>0</v>
      </c>
      <c r="G301" s="4">
        <f>IFERROR(DONNEES!G79-G81,"NA")</f>
        <v>0</v>
      </c>
      <c r="H301" s="4">
        <f>IFERROR(DONNEES!H79-H81,"NA")</f>
        <v>0</v>
      </c>
      <c r="I301" s="4">
        <f>IFERROR(DONNEES!I79-I81,"NA")</f>
        <v>0</v>
      </c>
      <c r="J301" s="4">
        <f>IFERROR(DONNEES!J79-J81,"NA")</f>
        <v>0</v>
      </c>
      <c r="K301" s="4">
        <f>IFERROR(DONNEES!K79-K81,"NA")</f>
        <v>0</v>
      </c>
      <c r="L301" s="4">
        <f>IFERROR(DONNEES!L79-L81,"NA")</f>
        <v>0</v>
      </c>
      <c r="M301" s="4">
        <f>IFERROR(DONNEES!M79-M81,"NA")</f>
        <v>0</v>
      </c>
      <c r="N301" s="4">
        <f>IFERROR(DONNEES!N79-N81,"NA")</f>
        <v>3.0355040182669959</v>
      </c>
      <c r="O301" s="4">
        <f>IFERROR(DONNEES!O79-O81,"NA")</f>
        <v>0</v>
      </c>
    </row>
    <row r="302" spans="1:15" x14ac:dyDescent="0.3">
      <c r="A302" t="s">
        <v>190</v>
      </c>
      <c r="B302" s="4">
        <f>IFERROR(DONNEES!B80-B82,"NA")</f>
        <v>0</v>
      </c>
      <c r="C302" s="4">
        <f>IFERROR(DONNEES!C80-C82,"NA")</f>
        <v>0</v>
      </c>
      <c r="D302" s="4" t="str">
        <f>IFERROR(DONNEES!D80-D82,"NA")</f>
        <v>NA</v>
      </c>
      <c r="E302" s="4">
        <f>IFERROR(DONNEES!E80-E82,"NA")</f>
        <v>0</v>
      </c>
      <c r="F302" s="4">
        <f>IFERROR(DONNEES!F80-F82,"NA")</f>
        <v>0</v>
      </c>
      <c r="G302" s="4">
        <f>IFERROR(DONNEES!G80-G82,"NA")</f>
        <v>0</v>
      </c>
      <c r="H302" s="4">
        <f>IFERROR(DONNEES!H80-H82,"NA")</f>
        <v>0</v>
      </c>
      <c r="I302" s="4" t="str">
        <f>IFERROR(DONNEES!I80-I82,"NA")</f>
        <v>NA</v>
      </c>
      <c r="J302" s="4" t="str">
        <f>IFERROR(DONNEES!J80-J82,"NA")</f>
        <v>NA</v>
      </c>
      <c r="K302" s="4" t="str">
        <f>IFERROR(DONNEES!K80-K82,"NA")</f>
        <v>NA</v>
      </c>
      <c r="L302" s="4">
        <f>IFERROR(DONNEES!L80-L82,"NA")</f>
        <v>0</v>
      </c>
      <c r="M302" s="4">
        <f>IFERROR(DONNEES!M80-M82,"NA")</f>
        <v>0</v>
      </c>
      <c r="N302" s="4">
        <f>IFERROR(DONNEES!N80-N82,"NA")</f>
        <v>1.6765965602050228</v>
      </c>
      <c r="O302" s="4">
        <f>IFERROR(DONNEES!O80-O82,"NA")</f>
        <v>0</v>
      </c>
    </row>
    <row r="303" spans="1:15" x14ac:dyDescent="0.3">
      <c r="A303" t="s">
        <v>192</v>
      </c>
      <c r="B303" s="4" t="str">
        <f>IFERROR(DONNEES!B81-B83,"NA")</f>
        <v>NA</v>
      </c>
      <c r="C303" s="4" t="str">
        <f>IFERROR(DONNEES!C81-C83,"NA")</f>
        <v>NA</v>
      </c>
      <c r="D303" s="4" t="str">
        <f>IFERROR(DONNEES!D81-D83,"NA")</f>
        <v>NA</v>
      </c>
      <c r="E303" s="4">
        <f>IFERROR(DONNEES!E81-E83,"NA")</f>
        <v>0</v>
      </c>
      <c r="F303" s="4">
        <f>IFERROR(DONNEES!F81-F83,"NA")</f>
        <v>0</v>
      </c>
      <c r="G303" s="4">
        <f>IFERROR(DONNEES!G81-G83,"NA")</f>
        <v>0</v>
      </c>
      <c r="H303" s="4">
        <f>IFERROR(DONNEES!H81-H83,"NA")</f>
        <v>0</v>
      </c>
      <c r="I303" s="4">
        <f>IFERROR(DONNEES!I81-I83,"NA")</f>
        <v>0</v>
      </c>
      <c r="J303" s="4">
        <f>IFERROR(DONNEES!J81-J83,"NA")</f>
        <v>0</v>
      </c>
      <c r="K303" s="4">
        <f>IFERROR(DONNEES!K81-K83,"NA")</f>
        <v>0</v>
      </c>
      <c r="L303" s="4">
        <f>IFERROR(DONNEES!L81-L83,"NA")</f>
        <v>0</v>
      </c>
      <c r="M303" s="4">
        <f>IFERROR(DONNEES!M81-M83,"NA")</f>
        <v>0</v>
      </c>
      <c r="N303" s="4">
        <f>IFERROR(DONNEES!N81-N83,"NA")</f>
        <v>1.6286559586592932</v>
      </c>
      <c r="O303" s="4">
        <f>IFERROR(DONNEES!O81-O83,"NA")</f>
        <v>0</v>
      </c>
    </row>
    <row r="304" spans="1:15" x14ac:dyDescent="0.3">
      <c r="A304" t="s">
        <v>194</v>
      </c>
      <c r="B304" s="4">
        <f>IFERROR(DONNEES!B82-B84,"NA")</f>
        <v>0</v>
      </c>
      <c r="C304" s="4">
        <f>IFERROR(DONNEES!C82-C84,"NA")</f>
        <v>0</v>
      </c>
      <c r="D304" s="4">
        <f>IFERROR(DONNEES!D82-D84,"NA")</f>
        <v>0</v>
      </c>
      <c r="E304" s="4">
        <f>IFERROR(DONNEES!E82-E84,"NA")</f>
        <v>0</v>
      </c>
      <c r="F304" s="4">
        <f>IFERROR(DONNEES!F82-F84,"NA")</f>
        <v>0</v>
      </c>
      <c r="G304" s="4">
        <f>IFERROR(DONNEES!G82-G84,"NA")</f>
        <v>0</v>
      </c>
      <c r="H304" s="4">
        <f>IFERROR(DONNEES!H82-H84,"NA")</f>
        <v>0</v>
      </c>
      <c r="I304" s="4" t="str">
        <f>IFERROR(DONNEES!I82-I84,"NA")</f>
        <v>NA</v>
      </c>
      <c r="J304" s="4" t="str">
        <f>IFERROR(DONNEES!J82-J84,"NA")</f>
        <v>NA</v>
      </c>
      <c r="K304" s="4" t="str">
        <f>IFERROR(DONNEES!K82-K84,"NA")</f>
        <v>NA</v>
      </c>
      <c r="L304" s="4">
        <f>IFERROR(DONNEES!L82-L84,"NA")</f>
        <v>0</v>
      </c>
      <c r="M304" s="4">
        <f>IFERROR(DONNEES!M82-M84,"NA")</f>
        <v>0</v>
      </c>
      <c r="N304" s="4">
        <f>IFERROR(DONNEES!N82-N84,"NA")</f>
        <v>0.28463621685902285</v>
      </c>
      <c r="O304" s="4">
        <f>IFERROR(DONNEES!O82-O84,"NA")</f>
        <v>0</v>
      </c>
    </row>
    <row r="305" spans="1:15" x14ac:dyDescent="0.3">
      <c r="A305" t="s">
        <v>196</v>
      </c>
      <c r="B305" s="4">
        <f>IFERROR(DONNEES!B83-B85,"NA")</f>
        <v>0</v>
      </c>
      <c r="C305" s="4">
        <f>IFERROR(DONNEES!C83-C85,"NA")</f>
        <v>0</v>
      </c>
      <c r="D305" s="4">
        <f>IFERROR(DONNEES!D83-D85,"NA")</f>
        <v>0</v>
      </c>
      <c r="E305" s="4">
        <f>IFERROR(DONNEES!E83-E85,"NA")</f>
        <v>0</v>
      </c>
      <c r="F305" s="4">
        <f>IFERROR(DONNEES!F83-F85,"NA")</f>
        <v>0</v>
      </c>
      <c r="G305" s="4">
        <f>IFERROR(DONNEES!G83-G85,"NA")</f>
        <v>0</v>
      </c>
      <c r="H305" s="4">
        <f>IFERROR(DONNEES!H83-H85,"NA")</f>
        <v>0</v>
      </c>
      <c r="I305" s="4">
        <f>IFERROR(DONNEES!I83-I85,"NA")</f>
        <v>0</v>
      </c>
      <c r="J305" s="4">
        <f>IFERROR(DONNEES!J83-J85,"NA")</f>
        <v>0</v>
      </c>
      <c r="K305" s="4">
        <f>IFERROR(DONNEES!K83-K85,"NA")</f>
        <v>0</v>
      </c>
      <c r="L305" s="4">
        <f>IFERROR(DONNEES!L83-L85,"NA")</f>
        <v>0</v>
      </c>
      <c r="M305" s="4">
        <f>IFERROR(DONNEES!M83-M85,"NA")</f>
        <v>0</v>
      </c>
      <c r="N305" s="4">
        <f>IFERROR(DONNEES!N83-N85,"NA")</f>
        <v>-0.35521332919597637</v>
      </c>
      <c r="O305" s="4">
        <f>IFERROR(DONNEES!O83-O85,"NA")</f>
        <v>0</v>
      </c>
    </row>
    <row r="306" spans="1:15" x14ac:dyDescent="0.3">
      <c r="A306" t="s">
        <v>198</v>
      </c>
      <c r="B306" s="4">
        <f>IFERROR(DONNEES!B84-B86,"NA")</f>
        <v>0</v>
      </c>
      <c r="C306" s="4">
        <f>IFERROR(DONNEES!C84-C86,"NA")</f>
        <v>0</v>
      </c>
      <c r="D306" s="4">
        <f>IFERROR(DONNEES!D84-D86,"NA")</f>
        <v>0</v>
      </c>
      <c r="E306" s="4">
        <f>IFERROR(DONNEES!E84-E86,"NA")</f>
        <v>0</v>
      </c>
      <c r="F306" s="4">
        <f>IFERROR(DONNEES!F84-F86,"NA")</f>
        <v>0</v>
      </c>
      <c r="G306" s="4">
        <f>IFERROR(DONNEES!G84-G86,"NA")</f>
        <v>0</v>
      </c>
      <c r="H306" s="4">
        <f>IFERROR(DONNEES!H84-H86,"NA")</f>
        <v>0</v>
      </c>
      <c r="I306" s="4">
        <f>IFERROR(DONNEES!I84-I86,"NA")</f>
        <v>0</v>
      </c>
      <c r="J306" s="4">
        <f>IFERROR(DONNEES!J84-J86,"NA")</f>
        <v>0</v>
      </c>
      <c r="K306" s="4">
        <f>IFERROR(DONNEES!K84-K86,"NA")</f>
        <v>0</v>
      </c>
      <c r="L306" s="4">
        <f>IFERROR(DONNEES!L84-L86,"NA")</f>
        <v>0</v>
      </c>
      <c r="M306" s="4">
        <f>IFERROR(DONNEES!M84-M86,"NA")</f>
        <v>0</v>
      </c>
      <c r="N306" s="4">
        <f>IFERROR(DONNEES!N84-N86,"NA")</f>
        <v>-2.8602820162971816</v>
      </c>
      <c r="O306" s="4">
        <f>IFERROR(DONNEES!O84-O86,"NA")</f>
        <v>0</v>
      </c>
    </row>
    <row r="307" spans="1:15" x14ac:dyDescent="0.3">
      <c r="A307" t="s">
        <v>200</v>
      </c>
      <c r="B307" s="4">
        <f>IFERROR(DONNEES!B85-B87,"NA")</f>
        <v>0</v>
      </c>
      <c r="C307" s="4">
        <f>IFERROR(DONNEES!C85-C87,"NA")</f>
        <v>0</v>
      </c>
      <c r="D307" s="4" t="str">
        <f>IFERROR(DONNEES!D85-D87,"NA")</f>
        <v>NA</v>
      </c>
      <c r="E307" s="4">
        <f>IFERROR(DONNEES!E85-E87,"NA")</f>
        <v>0</v>
      </c>
      <c r="F307" s="4">
        <f>IFERROR(DONNEES!F85-F87,"NA")</f>
        <v>0</v>
      </c>
      <c r="G307" s="4">
        <f>IFERROR(DONNEES!G85-G87,"NA")</f>
        <v>0</v>
      </c>
      <c r="H307" s="4">
        <f>IFERROR(DONNEES!H85-H87,"NA")</f>
        <v>0</v>
      </c>
      <c r="I307" s="4">
        <f>IFERROR(DONNEES!I85-I87,"NA")</f>
        <v>0</v>
      </c>
      <c r="J307" s="4">
        <f>IFERROR(DONNEES!J85-J87,"NA")</f>
        <v>0</v>
      </c>
      <c r="K307" s="4">
        <f>IFERROR(DONNEES!K85-K87,"NA")</f>
        <v>0</v>
      </c>
      <c r="L307" s="4">
        <f>IFERROR(DONNEES!L85-L87,"NA")</f>
        <v>0</v>
      </c>
      <c r="M307" s="4">
        <f>IFERROR(DONNEES!M85-M87,"NA")</f>
        <v>0</v>
      </c>
      <c r="N307" s="4">
        <f>IFERROR(DONNEES!N85-N87,"NA")</f>
        <v>-1.1614884336789448</v>
      </c>
      <c r="O307" s="4">
        <f>IFERROR(DONNEES!O85-O87,"NA")</f>
        <v>0</v>
      </c>
    </row>
    <row r="308" spans="1:15" x14ac:dyDescent="0.3">
      <c r="A308" t="s">
        <v>202</v>
      </c>
      <c r="B308" s="4">
        <f>IFERROR(DONNEES!B86-B88,"NA")</f>
        <v>0</v>
      </c>
      <c r="C308" s="4">
        <f>IFERROR(DONNEES!C86-C88,"NA")</f>
        <v>0</v>
      </c>
      <c r="D308" s="4">
        <f>IFERROR(DONNEES!D86-D88,"NA")</f>
        <v>0</v>
      </c>
      <c r="E308" s="4">
        <f>IFERROR(DONNEES!E86-E88,"NA")</f>
        <v>0</v>
      </c>
      <c r="F308" s="4">
        <f>IFERROR(DONNEES!F86-F88,"NA")</f>
        <v>0</v>
      </c>
      <c r="G308" s="4">
        <f>IFERROR(DONNEES!G86-G88,"NA")</f>
        <v>0</v>
      </c>
      <c r="H308" s="4">
        <f>IFERROR(DONNEES!H86-H88,"NA")</f>
        <v>0</v>
      </c>
      <c r="I308" s="4">
        <f>IFERROR(DONNEES!I86-I88,"NA")</f>
        <v>0</v>
      </c>
      <c r="J308" s="4">
        <f>IFERROR(DONNEES!J86-J88,"NA")</f>
        <v>0</v>
      </c>
      <c r="K308" s="4">
        <f>IFERROR(DONNEES!K86-K88,"NA")</f>
        <v>0</v>
      </c>
      <c r="L308" s="4">
        <f>IFERROR(DONNEES!L86-L88,"NA")</f>
        <v>0</v>
      </c>
      <c r="M308" s="4">
        <f>IFERROR(DONNEES!M86-M88,"NA")</f>
        <v>0</v>
      </c>
      <c r="N308" s="4">
        <f>IFERROR(DONNEES!N86-N88,"NA")</f>
        <v>-3.0736475711067519</v>
      </c>
      <c r="O308" s="4">
        <f>IFERROR(DONNEES!O86-O88,"NA")</f>
        <v>0</v>
      </c>
    </row>
    <row r="309" spans="1:15" x14ac:dyDescent="0.3">
      <c r="A309" t="s">
        <v>204</v>
      </c>
      <c r="B309" s="4">
        <f>IFERROR(DONNEES!B87-B89,"NA")</f>
        <v>0</v>
      </c>
      <c r="C309" s="4">
        <f>IFERROR(DONNEES!C87-C89,"NA")</f>
        <v>0</v>
      </c>
      <c r="D309" s="4">
        <f>IFERROR(DONNEES!D87-D89,"NA")</f>
        <v>0</v>
      </c>
      <c r="E309" s="4">
        <f>IFERROR(DONNEES!E87-E89,"NA")</f>
        <v>0</v>
      </c>
      <c r="F309" s="4">
        <f>IFERROR(DONNEES!F87-F89,"NA")</f>
        <v>0</v>
      </c>
      <c r="G309" s="4">
        <f>IFERROR(DONNEES!G87-G89,"NA")</f>
        <v>0</v>
      </c>
      <c r="H309" s="4">
        <f>IFERROR(DONNEES!H87-H89,"NA")</f>
        <v>0</v>
      </c>
      <c r="I309" s="4">
        <f>IFERROR(DONNEES!I87-I89,"NA")</f>
        <v>0</v>
      </c>
      <c r="J309" s="4" t="str">
        <f>IFERROR(DONNEES!J87-J89,"NA")</f>
        <v>NA</v>
      </c>
      <c r="K309" s="4" t="str">
        <f>IFERROR(DONNEES!K87-K89,"NA")</f>
        <v>NA</v>
      </c>
      <c r="L309" s="4">
        <f>IFERROR(DONNEES!L87-L89,"NA")</f>
        <v>0</v>
      </c>
      <c r="M309" s="4">
        <f>IFERROR(DONNEES!M87-M89,"NA")</f>
        <v>0</v>
      </c>
      <c r="N309" s="4">
        <f>IFERROR(DONNEES!N87-N89,"NA")</f>
        <v>-1.0222751341449714</v>
      </c>
      <c r="O309" s="4">
        <f>IFERROR(DONNEES!O87-O89,"NA")</f>
        <v>0</v>
      </c>
    </row>
    <row r="310" spans="1:15" x14ac:dyDescent="0.3">
      <c r="A310" t="s">
        <v>206</v>
      </c>
      <c r="B310" s="4">
        <f>IFERROR(DONNEES!B88-B90,"NA")</f>
        <v>0</v>
      </c>
      <c r="C310" s="4">
        <f>IFERROR(DONNEES!C88-C90,"NA")</f>
        <v>0</v>
      </c>
      <c r="D310" s="4">
        <f>IFERROR(DONNEES!D88-D90,"NA")</f>
        <v>0</v>
      </c>
      <c r="E310" s="4">
        <f>IFERROR(DONNEES!E88-E90,"NA")</f>
        <v>0</v>
      </c>
      <c r="F310" s="4">
        <f>IFERROR(DONNEES!F88-F90,"NA")</f>
        <v>0</v>
      </c>
      <c r="G310" s="4">
        <f>IFERROR(DONNEES!G88-G90,"NA")</f>
        <v>0</v>
      </c>
      <c r="H310" s="4">
        <f>IFERROR(DONNEES!H88-H90,"NA")</f>
        <v>0</v>
      </c>
      <c r="I310" s="4">
        <f>IFERROR(DONNEES!I88-I90,"NA")</f>
        <v>0</v>
      </c>
      <c r="J310" s="4">
        <f>IFERROR(DONNEES!J88-J90,"NA")</f>
        <v>0</v>
      </c>
      <c r="K310" s="4">
        <f>IFERROR(DONNEES!K88-K90,"NA")</f>
        <v>0</v>
      </c>
      <c r="L310" s="4">
        <f>IFERROR(DONNEES!L88-L90,"NA")</f>
        <v>0</v>
      </c>
      <c r="M310" s="4">
        <f>IFERROR(DONNEES!M88-M90,"NA")</f>
        <v>0</v>
      </c>
      <c r="N310" s="4">
        <f>IFERROR(DONNEES!N88-N90,"NA")</f>
        <v>2.0194345203538733</v>
      </c>
      <c r="O310" s="4">
        <f>IFERROR(DONNEES!O88-O90,"NA")</f>
        <v>0</v>
      </c>
    </row>
    <row r="311" spans="1:15" x14ac:dyDescent="0.3">
      <c r="A311" t="s">
        <v>208</v>
      </c>
      <c r="B311" s="4">
        <f>IFERROR(DONNEES!B89-B91,"NA")</f>
        <v>0</v>
      </c>
      <c r="C311" s="4">
        <f>IFERROR(DONNEES!C89-C91,"NA")</f>
        <v>0</v>
      </c>
      <c r="D311" s="4">
        <f>IFERROR(DONNEES!D89-D91,"NA")</f>
        <v>0</v>
      </c>
      <c r="E311" s="4">
        <f>IFERROR(DONNEES!E89-E91,"NA")</f>
        <v>0</v>
      </c>
      <c r="F311" s="4">
        <f>IFERROR(DONNEES!F89-F91,"NA")</f>
        <v>0</v>
      </c>
      <c r="G311" s="4">
        <f>IFERROR(DONNEES!G89-G91,"NA")</f>
        <v>0</v>
      </c>
      <c r="H311" s="4">
        <f>IFERROR(DONNEES!H89-H91,"NA")</f>
        <v>0</v>
      </c>
      <c r="I311" s="4">
        <f>IFERROR(DONNEES!I89-I91,"NA")</f>
        <v>0</v>
      </c>
      <c r="J311" s="4">
        <f>IFERROR(DONNEES!J89-J91,"NA")</f>
        <v>0</v>
      </c>
      <c r="K311" s="4">
        <f>IFERROR(DONNEES!K89-K91,"NA")</f>
        <v>0</v>
      </c>
      <c r="L311" s="4">
        <f>IFERROR(DONNEES!L89-L91,"NA")</f>
        <v>0</v>
      </c>
      <c r="M311" s="4">
        <f>IFERROR(DONNEES!M89-M91,"NA")</f>
        <v>0</v>
      </c>
      <c r="N311" s="4">
        <f>IFERROR(DONNEES!N89-N91,"NA")</f>
        <v>1.5602322903772197</v>
      </c>
      <c r="O311" s="4">
        <f>IFERROR(DONNEES!O89-O91,"NA")</f>
        <v>0</v>
      </c>
    </row>
    <row r="312" spans="1:15" x14ac:dyDescent="0.3">
      <c r="A312" t="s">
        <v>210</v>
      </c>
      <c r="B312" s="4">
        <f>IFERROR(DONNEES!B90-B92,"NA")</f>
        <v>0</v>
      </c>
      <c r="C312" s="4">
        <f>IFERROR(DONNEES!C90-C92,"NA")</f>
        <v>0</v>
      </c>
      <c r="D312" s="4">
        <f>IFERROR(DONNEES!D90-D92,"NA")</f>
        <v>0</v>
      </c>
      <c r="E312" s="4">
        <f>IFERROR(DONNEES!E90-E92,"NA")</f>
        <v>0</v>
      </c>
      <c r="F312" s="4">
        <f>IFERROR(DONNEES!F90-F92,"NA")</f>
        <v>0</v>
      </c>
      <c r="G312" s="4">
        <f>IFERROR(DONNEES!G90-G92,"NA")</f>
        <v>0</v>
      </c>
      <c r="H312" s="4">
        <f>IFERROR(DONNEES!H90-H92,"NA")</f>
        <v>0</v>
      </c>
      <c r="I312" s="4" t="str">
        <f>IFERROR(DONNEES!I90-I92,"NA")</f>
        <v>NA</v>
      </c>
      <c r="J312" s="4" t="str">
        <f>IFERROR(DONNEES!J90-J92,"NA")</f>
        <v>NA</v>
      </c>
      <c r="K312" s="4" t="str">
        <f>IFERROR(DONNEES!K90-K92,"NA")</f>
        <v>NA</v>
      </c>
      <c r="L312" s="4">
        <f>IFERROR(DONNEES!L90-L92,"NA")</f>
        <v>0</v>
      </c>
      <c r="M312" s="4">
        <f>IFERROR(DONNEES!M90-M92,"NA")</f>
        <v>0</v>
      </c>
      <c r="N312" s="4">
        <f>IFERROR(DONNEES!N90-N92,"NA")</f>
        <v>3.4013137171665822</v>
      </c>
      <c r="O312" s="4">
        <f>IFERROR(DONNEES!O90-O92,"NA")</f>
        <v>0</v>
      </c>
    </row>
    <row r="313" spans="1:15" x14ac:dyDescent="0.3">
      <c r="A313" t="s">
        <v>212</v>
      </c>
      <c r="B313" s="4">
        <f>IFERROR(DONNEES!B91-B93,"NA")</f>
        <v>0</v>
      </c>
      <c r="C313" s="4">
        <f>IFERROR(DONNEES!C91-C93,"NA")</f>
        <v>0</v>
      </c>
      <c r="D313" s="4">
        <f>IFERROR(DONNEES!D91-D93,"NA")</f>
        <v>0</v>
      </c>
      <c r="E313" s="4">
        <f>IFERROR(DONNEES!E91-E93,"NA")</f>
        <v>0</v>
      </c>
      <c r="F313" s="4">
        <f>IFERROR(DONNEES!F91-F93,"NA")</f>
        <v>0</v>
      </c>
      <c r="G313" s="4">
        <f>IFERROR(DONNEES!G91-G93,"NA")</f>
        <v>0</v>
      </c>
      <c r="H313" s="4">
        <f>IFERROR(DONNEES!H91-H93,"NA")</f>
        <v>0</v>
      </c>
      <c r="I313" s="4">
        <f>IFERROR(DONNEES!I91-I93,"NA")</f>
        <v>0</v>
      </c>
      <c r="J313" s="4">
        <f>IFERROR(DONNEES!J91-J93,"NA")</f>
        <v>0</v>
      </c>
      <c r="K313" s="4">
        <f>IFERROR(DONNEES!K91-K93,"NA")</f>
        <v>0</v>
      </c>
      <c r="L313" s="4">
        <f>IFERROR(DONNEES!L91-L93,"NA")</f>
        <v>0</v>
      </c>
      <c r="M313" s="4">
        <f>IFERROR(DONNEES!M91-M93,"NA")</f>
        <v>0</v>
      </c>
      <c r="N313" s="4">
        <f>IFERROR(DONNEES!N91-N93,"NA")</f>
        <v>-1.5460003224822376</v>
      </c>
      <c r="O313" s="4">
        <f>IFERROR(DONNEES!O91-O93,"NA")</f>
        <v>0</v>
      </c>
    </row>
    <row r="314" spans="1:15" x14ac:dyDescent="0.3">
      <c r="A314" t="s">
        <v>214</v>
      </c>
      <c r="B314" s="4">
        <f>IFERROR(DONNEES!B92-B94,"NA")</f>
        <v>0</v>
      </c>
      <c r="C314" s="4">
        <f>IFERROR(DONNEES!C92-C94,"NA")</f>
        <v>0</v>
      </c>
      <c r="D314" s="4">
        <f>IFERROR(DONNEES!D92-D94,"NA")</f>
        <v>0</v>
      </c>
      <c r="E314" s="4">
        <f>IFERROR(DONNEES!E92-E94,"NA")</f>
        <v>0</v>
      </c>
      <c r="F314" s="4">
        <f>IFERROR(DONNEES!F92-F94,"NA")</f>
        <v>0</v>
      </c>
      <c r="G314" s="4">
        <f>IFERROR(DONNEES!G92-G94,"NA")</f>
        <v>0</v>
      </c>
      <c r="H314" s="4">
        <f>IFERROR(DONNEES!H92-H94,"NA")</f>
        <v>0</v>
      </c>
      <c r="I314" s="4">
        <f>IFERROR(DONNEES!I92-I94,"NA")</f>
        <v>0</v>
      </c>
      <c r="J314" s="4">
        <f>IFERROR(DONNEES!J92-J94,"NA")</f>
        <v>0</v>
      </c>
      <c r="K314" s="4">
        <f>IFERROR(DONNEES!K92-K94,"NA")</f>
        <v>0</v>
      </c>
      <c r="L314" s="4">
        <f>IFERROR(DONNEES!L92-L94,"NA")</f>
        <v>0</v>
      </c>
      <c r="M314" s="4">
        <f>IFERROR(DONNEES!M92-M94,"NA")</f>
        <v>0</v>
      </c>
      <c r="N314" s="4">
        <f>IFERROR(DONNEES!N92-N94,"NA")</f>
        <v>-1.5129730266829324</v>
      </c>
      <c r="O314" s="4">
        <f>IFERROR(DONNEES!O92-O94,"NA")</f>
        <v>0</v>
      </c>
    </row>
    <row r="315" spans="1:15" x14ac:dyDescent="0.3">
      <c r="A315" t="s">
        <v>216</v>
      </c>
      <c r="B315" s="4">
        <f>IFERROR(DONNEES!B93-B95,"NA")</f>
        <v>0</v>
      </c>
      <c r="C315" s="4">
        <f>IFERROR(DONNEES!C93-C95,"NA")</f>
        <v>0</v>
      </c>
      <c r="D315" s="4">
        <f>IFERROR(DONNEES!D93-D95,"NA")</f>
        <v>0</v>
      </c>
      <c r="E315" s="4">
        <f>IFERROR(DONNEES!E93-E95,"NA")</f>
        <v>0</v>
      </c>
      <c r="F315" s="4">
        <f>IFERROR(DONNEES!F93-F95,"NA")</f>
        <v>0</v>
      </c>
      <c r="G315" s="4">
        <f>IFERROR(DONNEES!G93-G95,"NA")</f>
        <v>0</v>
      </c>
      <c r="H315" s="4">
        <f>IFERROR(DONNEES!H93-H95,"NA")</f>
        <v>0</v>
      </c>
      <c r="I315" s="4">
        <f>IFERROR(DONNEES!I93-I95,"NA")</f>
        <v>0</v>
      </c>
      <c r="J315" s="4">
        <f>IFERROR(DONNEES!J93-J95,"NA")</f>
        <v>0</v>
      </c>
      <c r="K315" s="4">
        <f>IFERROR(DONNEES!K93-K95,"NA")</f>
        <v>0</v>
      </c>
      <c r="L315" s="4">
        <f>IFERROR(DONNEES!L93-L95,"NA")</f>
        <v>0</v>
      </c>
      <c r="M315" s="4">
        <f>IFERROR(DONNEES!M93-M95,"NA")</f>
        <v>0</v>
      </c>
      <c r="N315" s="4">
        <f>IFERROR(DONNEES!N93-N95,"NA")</f>
        <v>-1.3444747353593511</v>
      </c>
      <c r="O315" s="4">
        <f>IFERROR(DONNEES!O93-O95,"NA")</f>
        <v>0</v>
      </c>
    </row>
    <row r="316" spans="1:15" x14ac:dyDescent="0.3">
      <c r="A316" t="s">
        <v>218</v>
      </c>
      <c r="B316" s="4">
        <f>IFERROR(DONNEES!B94-B96,"NA")</f>
        <v>0</v>
      </c>
      <c r="C316" s="4">
        <f>IFERROR(DONNEES!C94-C96,"NA")</f>
        <v>0</v>
      </c>
      <c r="D316" s="4">
        <f>IFERROR(DONNEES!D94-D96,"NA")</f>
        <v>0</v>
      </c>
      <c r="E316" s="4">
        <f>IFERROR(DONNEES!E94-E96,"NA")</f>
        <v>0</v>
      </c>
      <c r="F316" s="4">
        <f>IFERROR(DONNEES!F94-F96,"NA")</f>
        <v>0</v>
      </c>
      <c r="G316" s="4">
        <f>IFERROR(DONNEES!G94-G96,"NA")</f>
        <v>0</v>
      </c>
      <c r="H316" s="4">
        <f>IFERROR(DONNEES!H94-H96,"NA")</f>
        <v>0</v>
      </c>
      <c r="I316" s="4" t="str">
        <f>IFERROR(DONNEES!I94-I96,"NA")</f>
        <v>NA</v>
      </c>
      <c r="J316" s="4" t="str">
        <f>IFERROR(DONNEES!J94-J96,"NA")</f>
        <v>NA</v>
      </c>
      <c r="K316" s="4" t="str">
        <f>IFERROR(DONNEES!K94-K96,"NA")</f>
        <v>NA</v>
      </c>
      <c r="L316" s="4">
        <f>IFERROR(DONNEES!L94-L96,"NA")</f>
        <v>0</v>
      </c>
      <c r="M316" s="4">
        <f>IFERROR(DONNEES!M94-M96,"NA")</f>
        <v>0</v>
      </c>
      <c r="N316" s="4">
        <f>IFERROR(DONNEES!N94-N96,"NA")</f>
        <v>-1.3570893028130124</v>
      </c>
      <c r="O316" s="4">
        <f>IFERROR(DONNEES!O94-O96,"NA")</f>
        <v>0</v>
      </c>
    </row>
    <row r="317" spans="1:15" x14ac:dyDescent="0.3">
      <c r="A317" t="s">
        <v>220</v>
      </c>
      <c r="B317" s="4">
        <f>IFERROR(DONNEES!B95-B97,"NA")</f>
        <v>0</v>
      </c>
      <c r="C317" s="4">
        <f>IFERROR(DONNEES!C95-C97,"NA")</f>
        <v>0</v>
      </c>
      <c r="D317" s="4">
        <f>IFERROR(DONNEES!D95-D97,"NA")</f>
        <v>0</v>
      </c>
      <c r="E317" s="4">
        <f>IFERROR(DONNEES!E95-E97,"NA")</f>
        <v>0</v>
      </c>
      <c r="F317" s="4">
        <f>IFERROR(DONNEES!F95-F97,"NA")</f>
        <v>0</v>
      </c>
      <c r="G317" s="4">
        <f>IFERROR(DONNEES!G95-G97,"NA")</f>
        <v>0</v>
      </c>
      <c r="H317" s="4">
        <f>IFERROR(DONNEES!H95-H97,"NA")</f>
        <v>0</v>
      </c>
      <c r="I317" s="4">
        <f>IFERROR(DONNEES!I95-I97,"NA")</f>
        <v>0</v>
      </c>
      <c r="J317" s="4">
        <f>IFERROR(DONNEES!J95-J97,"NA")</f>
        <v>0</v>
      </c>
      <c r="K317" s="4">
        <f>IFERROR(DONNEES!K95-K97,"NA")</f>
        <v>0</v>
      </c>
      <c r="L317" s="4">
        <f>IFERROR(DONNEES!L95-L97,"NA")</f>
        <v>0</v>
      </c>
      <c r="M317" s="4">
        <f>IFERROR(DONNEES!M95-M97,"NA")</f>
        <v>0</v>
      </c>
      <c r="N317" s="4">
        <f>IFERROR(DONNEES!N95-N97,"NA")</f>
        <v>0.2164363314708071</v>
      </c>
      <c r="O317" s="4">
        <f>IFERROR(DONNEES!O95-O97,"NA")</f>
        <v>0</v>
      </c>
    </row>
    <row r="318" spans="1:15" x14ac:dyDescent="0.3">
      <c r="A318" t="s">
        <v>222</v>
      </c>
      <c r="B318" s="4" t="str">
        <f>IFERROR(DONNEES!B96-B98,"NA")</f>
        <v>NA</v>
      </c>
      <c r="C318" s="4">
        <f>IFERROR(DONNEES!C96-C98,"NA")</f>
        <v>0</v>
      </c>
      <c r="D318" s="4" t="str">
        <f>IFERROR(DONNEES!D96-D98,"NA")</f>
        <v>NA</v>
      </c>
      <c r="E318" s="4">
        <f>IFERROR(DONNEES!E96-E98,"NA")</f>
        <v>0</v>
      </c>
      <c r="F318" s="4">
        <f>IFERROR(DONNEES!F96-F98,"NA")</f>
        <v>0</v>
      </c>
      <c r="G318" s="4">
        <f>IFERROR(DONNEES!G96-G98,"NA")</f>
        <v>0</v>
      </c>
      <c r="H318" s="4" t="str">
        <f>IFERROR(DONNEES!H96-H98,"NA")</f>
        <v>NA</v>
      </c>
      <c r="I318" s="4">
        <f>IFERROR(DONNEES!I96-I98,"NA")</f>
        <v>0</v>
      </c>
      <c r="J318" s="4">
        <f>IFERROR(DONNEES!J96-J98,"NA")</f>
        <v>0</v>
      </c>
      <c r="K318" s="4">
        <f>IFERROR(DONNEES!K96-K98,"NA")</f>
        <v>0</v>
      </c>
      <c r="L318" s="4" t="str">
        <f>IFERROR(DONNEES!L96-L98,"NA")</f>
        <v>NA</v>
      </c>
      <c r="M318" s="4" t="str">
        <f>IFERROR(DONNEES!M96-M98,"NA")</f>
        <v>NA</v>
      </c>
      <c r="N318" s="4" t="str">
        <f>IFERROR(DONNEES!N96-N98,"NA")</f>
        <v>NA</v>
      </c>
      <c r="O318" s="4" t="str">
        <f>IFERROR(DONNEES!O96-O98,"NA")</f>
        <v>NA</v>
      </c>
    </row>
    <row r="319" spans="1:15" x14ac:dyDescent="0.3">
      <c r="A319" t="s">
        <v>224</v>
      </c>
      <c r="B319" s="4">
        <f>IFERROR(DONNEES!B97-B99,"NA")</f>
        <v>0</v>
      </c>
      <c r="C319" s="4">
        <f>IFERROR(DONNEES!C97-C99,"NA")</f>
        <v>0</v>
      </c>
      <c r="D319" s="4">
        <f>IFERROR(DONNEES!D97-D99,"NA")</f>
        <v>0</v>
      </c>
      <c r="E319" s="4">
        <f>IFERROR(DONNEES!E97-E99,"NA")</f>
        <v>0</v>
      </c>
      <c r="F319" s="4">
        <f>IFERROR(DONNEES!F97-F99,"NA")</f>
        <v>0</v>
      </c>
      <c r="G319" s="4">
        <f>IFERROR(DONNEES!G97-G99,"NA")</f>
        <v>0</v>
      </c>
      <c r="H319" s="4">
        <f>IFERROR(DONNEES!H97-H99,"NA")</f>
        <v>0</v>
      </c>
      <c r="I319" s="4">
        <f>IFERROR(DONNEES!I97-I99,"NA")</f>
        <v>0</v>
      </c>
      <c r="J319" s="4">
        <f>IFERROR(DONNEES!J97-J99,"NA")</f>
        <v>0</v>
      </c>
      <c r="K319" s="4">
        <f>IFERROR(DONNEES!K97-K99,"NA")</f>
        <v>0</v>
      </c>
      <c r="L319" s="4">
        <f>IFERROR(DONNEES!L97-L99,"NA")</f>
        <v>0</v>
      </c>
      <c r="M319" s="4">
        <f>IFERROR(DONNEES!M97-M99,"NA")</f>
        <v>0</v>
      </c>
      <c r="N319" s="4">
        <f>IFERROR(DONNEES!N97-N99,"NA")</f>
        <v>0.68932423259441999</v>
      </c>
      <c r="O319" s="4">
        <f>IFERROR(DONNEES!O97-O99,"NA")</f>
        <v>0</v>
      </c>
    </row>
    <row r="320" spans="1:15" x14ac:dyDescent="0.3">
      <c r="A320" t="s">
        <v>226</v>
      </c>
      <c r="B320" s="4">
        <f>IFERROR(DONNEES!B98-B100,"NA")</f>
        <v>0</v>
      </c>
      <c r="C320" s="4">
        <f>IFERROR(DONNEES!C98-C100,"NA")</f>
        <v>0</v>
      </c>
      <c r="D320" s="4">
        <f>IFERROR(DONNEES!D98-D100,"NA")</f>
        <v>0</v>
      </c>
      <c r="E320" s="4">
        <f>IFERROR(DONNEES!E98-E100,"NA")</f>
        <v>0</v>
      </c>
      <c r="F320" s="4">
        <f>IFERROR(DONNEES!F98-F100,"NA")</f>
        <v>0</v>
      </c>
      <c r="G320" s="4">
        <f>IFERROR(DONNEES!G98-G100,"NA")</f>
        <v>0</v>
      </c>
      <c r="H320" s="4">
        <f>IFERROR(DONNEES!H98-H100,"NA")</f>
        <v>0</v>
      </c>
      <c r="I320" s="4">
        <f>IFERROR(DONNEES!I98-I100,"NA")</f>
        <v>0</v>
      </c>
      <c r="J320" s="4">
        <f>IFERROR(DONNEES!J98-J100,"NA")</f>
        <v>0</v>
      </c>
      <c r="K320" s="4">
        <f>IFERROR(DONNEES!K98-K100,"NA")</f>
        <v>0</v>
      </c>
      <c r="L320" s="4">
        <f>IFERROR(DONNEES!L98-L100,"NA")</f>
        <v>0</v>
      </c>
      <c r="M320" s="4">
        <f>IFERROR(DONNEES!M98-M100,"NA")</f>
        <v>0</v>
      </c>
      <c r="N320" s="4">
        <f>IFERROR(DONNEES!N98-N100,"NA")</f>
        <v>1.2668305834134423</v>
      </c>
      <c r="O320" s="4">
        <f>IFERROR(DONNEES!O98-O100,"NA")</f>
        <v>0</v>
      </c>
    </row>
    <row r="321" spans="1:15" x14ac:dyDescent="0.3">
      <c r="A321" t="s">
        <v>228</v>
      </c>
      <c r="B321" s="4">
        <f>IFERROR(DONNEES!B99-B101,"NA")</f>
        <v>0</v>
      </c>
      <c r="C321" s="4">
        <f>IFERROR(DONNEES!C99-C101,"NA")</f>
        <v>0</v>
      </c>
      <c r="D321" s="4">
        <f>IFERROR(DONNEES!D99-D101,"NA")</f>
        <v>0</v>
      </c>
      <c r="E321" s="4">
        <f>IFERROR(DONNEES!E99-E101,"NA")</f>
        <v>0</v>
      </c>
      <c r="F321" s="4">
        <f>IFERROR(DONNEES!F99-F101,"NA")</f>
        <v>0</v>
      </c>
      <c r="G321" s="4">
        <f>IFERROR(DONNEES!G99-G101,"NA")</f>
        <v>0</v>
      </c>
      <c r="H321" s="4">
        <f>IFERROR(DONNEES!H99-H101,"NA")</f>
        <v>0</v>
      </c>
      <c r="I321" s="4" t="str">
        <f>IFERROR(DONNEES!I99-I101,"NA")</f>
        <v>NA</v>
      </c>
      <c r="J321" s="4">
        <f>IFERROR(DONNEES!J99-J101,"NA")</f>
        <v>0</v>
      </c>
      <c r="K321" s="4">
        <f>IFERROR(DONNEES!K99-K101,"NA")</f>
        <v>0</v>
      </c>
      <c r="L321" s="4">
        <f>IFERROR(DONNEES!L99-L101,"NA")</f>
        <v>0</v>
      </c>
      <c r="M321" s="4">
        <f>IFERROR(DONNEES!M99-M101,"NA")</f>
        <v>0</v>
      </c>
      <c r="N321" s="4">
        <f>IFERROR(DONNEES!N99-N101,"NA")</f>
        <v>0.4373746905475851</v>
      </c>
      <c r="O321" s="4">
        <f>IFERROR(DONNEES!O99-O101,"NA")</f>
        <v>0</v>
      </c>
    </row>
    <row r="322" spans="1:15" x14ac:dyDescent="0.3">
      <c r="A322" t="s">
        <v>230</v>
      </c>
      <c r="B322" s="4">
        <f>IFERROR(DONNEES!B100-B102,"NA")</f>
        <v>0</v>
      </c>
      <c r="C322" s="4">
        <f>IFERROR(DONNEES!C100-C102,"NA")</f>
        <v>0</v>
      </c>
      <c r="D322" s="4">
        <f>IFERROR(DONNEES!D100-D102,"NA")</f>
        <v>0</v>
      </c>
      <c r="E322" s="4">
        <f>IFERROR(DONNEES!E100-E102,"NA")</f>
        <v>0</v>
      </c>
      <c r="F322" s="4">
        <f>IFERROR(DONNEES!F100-F102,"NA")</f>
        <v>0</v>
      </c>
      <c r="G322" s="4">
        <f>IFERROR(DONNEES!G100-G102,"NA")</f>
        <v>0</v>
      </c>
      <c r="H322" s="4">
        <f>IFERROR(DONNEES!H100-H102,"NA")</f>
        <v>0</v>
      </c>
      <c r="I322" s="4">
        <f>IFERROR(DONNEES!I100-I102,"NA")</f>
        <v>0</v>
      </c>
      <c r="J322" s="4">
        <f>IFERROR(DONNEES!J100-J102,"NA")</f>
        <v>0</v>
      </c>
      <c r="K322" s="4">
        <f>IFERROR(DONNEES!K100-K102,"NA")</f>
        <v>0</v>
      </c>
      <c r="L322" s="4">
        <f>IFERROR(DONNEES!L100-L102,"NA")</f>
        <v>0</v>
      </c>
      <c r="M322" s="4">
        <f>IFERROR(DONNEES!M100-M102,"NA")</f>
        <v>0</v>
      </c>
      <c r="N322" s="4">
        <f>IFERROR(DONNEES!N100-N102,"NA")</f>
        <v>0.83676104154437725</v>
      </c>
      <c r="O322" s="4">
        <f>IFERROR(DONNEES!O100-O102,"NA")</f>
        <v>0</v>
      </c>
    </row>
    <row r="323" spans="1:15" x14ac:dyDescent="0.3">
      <c r="A323" t="s">
        <v>232</v>
      </c>
      <c r="B323" s="4">
        <f>IFERROR(DONNEES!B101-B103,"NA")</f>
        <v>0</v>
      </c>
      <c r="C323" s="4">
        <f>IFERROR(DONNEES!C101-C103,"NA")</f>
        <v>0</v>
      </c>
      <c r="D323" s="4">
        <f>IFERROR(DONNEES!D101-D103,"NA")</f>
        <v>0</v>
      </c>
      <c r="E323" s="4">
        <f>IFERROR(DONNEES!E101-E103,"NA")</f>
        <v>0</v>
      </c>
      <c r="F323" s="4">
        <f>IFERROR(DONNEES!F101-F103,"NA")</f>
        <v>0</v>
      </c>
      <c r="G323" s="4">
        <f>IFERROR(DONNEES!G101-G103,"NA")</f>
        <v>0</v>
      </c>
      <c r="H323" s="4">
        <f>IFERROR(DONNEES!H101-H103,"NA")</f>
        <v>0</v>
      </c>
      <c r="I323" s="4">
        <f>IFERROR(DONNEES!I101-I103,"NA")</f>
        <v>0</v>
      </c>
      <c r="J323" s="4">
        <f>IFERROR(DONNEES!J101-J103,"NA")</f>
        <v>0</v>
      </c>
      <c r="K323" s="4">
        <f>IFERROR(DONNEES!K101-K103,"NA")</f>
        <v>0</v>
      </c>
      <c r="L323" s="4">
        <f>IFERROR(DONNEES!L101-L103,"NA")</f>
        <v>0</v>
      </c>
      <c r="M323" s="4">
        <f>IFERROR(DONNEES!M101-M103,"NA")</f>
        <v>0</v>
      </c>
      <c r="N323" s="4">
        <f>IFERROR(DONNEES!N101-N103,"NA")</f>
        <v>1.6868523382581768</v>
      </c>
      <c r="O323" s="4">
        <f>IFERROR(DONNEES!O101-O103,"NA")</f>
        <v>0</v>
      </c>
    </row>
    <row r="324" spans="1:15" x14ac:dyDescent="0.3">
      <c r="A324" t="s">
        <v>234</v>
      </c>
      <c r="B324" s="4">
        <f>IFERROR(DONNEES!B102-B104,"NA")</f>
        <v>0</v>
      </c>
      <c r="C324" s="4">
        <f>IFERROR(DONNEES!C102-C104,"NA")</f>
        <v>0</v>
      </c>
      <c r="D324" s="4">
        <f>IFERROR(DONNEES!D102-D104,"NA")</f>
        <v>0</v>
      </c>
      <c r="E324" s="4">
        <f>IFERROR(DONNEES!E102-E104,"NA")</f>
        <v>0</v>
      </c>
      <c r="F324" s="4">
        <f>IFERROR(DONNEES!F102-F104,"NA")</f>
        <v>0</v>
      </c>
      <c r="G324" s="4">
        <f>IFERROR(DONNEES!G102-G104,"NA")</f>
        <v>0</v>
      </c>
      <c r="H324" s="4">
        <f>IFERROR(DONNEES!H102-H104,"NA")</f>
        <v>0</v>
      </c>
      <c r="I324" s="4">
        <f>IFERROR(DONNEES!I102-I104,"NA")</f>
        <v>0</v>
      </c>
      <c r="J324" s="4" t="str">
        <f>IFERROR(DONNEES!J102-J104,"NA")</f>
        <v>NA</v>
      </c>
      <c r="K324" s="4">
        <f>IFERROR(DONNEES!K102-K104,"NA")</f>
        <v>0</v>
      </c>
      <c r="L324" s="4">
        <f>IFERROR(DONNEES!L102-L104,"NA")</f>
        <v>0</v>
      </c>
      <c r="M324" s="4">
        <f>IFERROR(DONNEES!M102-M104,"NA")</f>
        <v>0</v>
      </c>
      <c r="N324" s="4">
        <f>IFERROR(DONNEES!N102-N104,"NA")</f>
        <v>-1.7763815398017577</v>
      </c>
      <c r="O324" s="4">
        <f>IFERROR(DONNEES!O102-O104,"NA")</f>
        <v>0</v>
      </c>
    </row>
    <row r="325" spans="1:15" x14ac:dyDescent="0.3">
      <c r="A325" t="s">
        <v>236</v>
      </c>
      <c r="B325" s="4">
        <f>IFERROR(DONNEES!B103-B105,"NA")</f>
        <v>0</v>
      </c>
      <c r="C325" s="4">
        <f>IFERROR(DONNEES!C103-C105,"NA")</f>
        <v>0</v>
      </c>
      <c r="D325" s="4">
        <f>IFERROR(DONNEES!D103-D105,"NA")</f>
        <v>0</v>
      </c>
      <c r="E325" s="4">
        <f>IFERROR(DONNEES!E103-E105,"NA")</f>
        <v>0</v>
      </c>
      <c r="F325" s="4">
        <f>IFERROR(DONNEES!F103-F105,"NA")</f>
        <v>0</v>
      </c>
      <c r="G325" s="4">
        <f>IFERROR(DONNEES!G103-G105,"NA")</f>
        <v>0</v>
      </c>
      <c r="H325" s="4">
        <f>IFERROR(DONNEES!H103-H105,"NA")</f>
        <v>0</v>
      </c>
      <c r="I325" s="4">
        <f>IFERROR(DONNEES!I103-I105,"NA")</f>
        <v>0</v>
      </c>
      <c r="J325" s="4">
        <f>IFERROR(DONNEES!J103-J105,"NA")</f>
        <v>0</v>
      </c>
      <c r="K325" s="4">
        <f>IFERROR(DONNEES!K103-K105,"NA")</f>
        <v>0</v>
      </c>
      <c r="L325" s="4">
        <f>IFERROR(DONNEES!L103-L105,"NA")</f>
        <v>0</v>
      </c>
      <c r="M325" s="4">
        <f>IFERROR(DONNEES!M103-M105,"NA")</f>
        <v>0</v>
      </c>
      <c r="N325" s="4">
        <f>IFERROR(DONNEES!N103-N105,"NA")</f>
        <v>-0.23858402833116754</v>
      </c>
      <c r="O325" s="4">
        <f>IFERROR(DONNEES!O103-O105,"NA")</f>
        <v>0</v>
      </c>
    </row>
    <row r="326" spans="1:15" x14ac:dyDescent="0.3">
      <c r="A326" t="s">
        <v>238</v>
      </c>
      <c r="B326" s="4">
        <f>IFERROR(DONNEES!B104-B106,"NA")</f>
        <v>0</v>
      </c>
      <c r="C326" s="4">
        <f>IFERROR(DONNEES!C104-C106,"NA")</f>
        <v>0</v>
      </c>
      <c r="D326" s="4">
        <f>IFERROR(DONNEES!D104-D106,"NA")</f>
        <v>0</v>
      </c>
      <c r="E326" s="4">
        <f>IFERROR(DONNEES!E104-E106,"NA")</f>
        <v>0</v>
      </c>
      <c r="F326" s="4">
        <f>IFERROR(DONNEES!F104-F106,"NA")</f>
        <v>0</v>
      </c>
      <c r="G326" s="4">
        <f>IFERROR(DONNEES!G104-G106,"NA")</f>
        <v>0</v>
      </c>
      <c r="H326" s="4">
        <f>IFERROR(DONNEES!H104-H106,"NA")</f>
        <v>0</v>
      </c>
      <c r="I326" s="4">
        <f>IFERROR(DONNEES!I104-I106,"NA")</f>
        <v>0</v>
      </c>
      <c r="J326" s="4">
        <f>IFERROR(DONNEES!J104-J106,"NA")</f>
        <v>0</v>
      </c>
      <c r="K326" s="4">
        <f>IFERROR(DONNEES!K104-K106,"NA")</f>
        <v>0</v>
      </c>
      <c r="L326" s="4">
        <f>IFERROR(DONNEES!L104-L106,"NA")</f>
        <v>0</v>
      </c>
      <c r="M326" s="4">
        <f>IFERROR(DONNEES!M104-M106,"NA")</f>
        <v>0</v>
      </c>
      <c r="N326" s="4">
        <f>IFERROR(DONNEES!N104-N106,"NA")</f>
        <v>0.14846883737482158</v>
      </c>
      <c r="O326" s="4">
        <f>IFERROR(DONNEES!O104-O106,"NA")</f>
        <v>0</v>
      </c>
    </row>
    <row r="327" spans="1:15" x14ac:dyDescent="0.3">
      <c r="A327" t="s">
        <v>240</v>
      </c>
      <c r="B327" s="4" t="str">
        <f>IFERROR(DONNEES!B105-B107,"NA")</f>
        <v>NA</v>
      </c>
      <c r="C327" s="4" t="str">
        <f>IFERROR(DONNEES!C105-C107,"NA")</f>
        <v>NA</v>
      </c>
      <c r="D327" s="4" t="str">
        <f>IFERROR(DONNEES!D105-D107,"NA")</f>
        <v>NA</v>
      </c>
      <c r="E327" s="4">
        <f>IFERROR(DONNEES!E105-E107,"NA")</f>
        <v>0</v>
      </c>
      <c r="F327" s="4">
        <f>IFERROR(DONNEES!F105-F107,"NA")</f>
        <v>0</v>
      </c>
      <c r="G327" s="4">
        <f>IFERROR(DONNEES!G105-G107,"NA")</f>
        <v>0</v>
      </c>
      <c r="H327" s="4">
        <f>IFERROR(DONNEES!H105-H107,"NA")</f>
        <v>0</v>
      </c>
      <c r="I327" s="4">
        <f>IFERROR(DONNEES!I105-I107,"NA")</f>
        <v>0</v>
      </c>
      <c r="J327" s="4" t="str">
        <f>IFERROR(DONNEES!J105-J107,"NA")</f>
        <v>NA</v>
      </c>
      <c r="K327" s="4" t="str">
        <f>IFERROR(DONNEES!K105-K107,"NA")</f>
        <v>NA</v>
      </c>
      <c r="L327" s="4">
        <f>IFERROR(DONNEES!L105-L107,"NA")</f>
        <v>0</v>
      </c>
      <c r="M327" s="4">
        <f>IFERROR(DONNEES!M105-M107,"NA")</f>
        <v>0</v>
      </c>
      <c r="N327" s="4">
        <f>IFERROR(DONNEES!N105-N107,"NA")</f>
        <v>-0.37005587667226791</v>
      </c>
      <c r="O327" s="4">
        <f>IFERROR(DONNEES!O105-O107,"NA")</f>
        <v>0</v>
      </c>
    </row>
    <row r="328" spans="1:15" x14ac:dyDescent="0.3">
      <c r="A328" t="s">
        <v>242</v>
      </c>
      <c r="B328" s="4">
        <f>IFERROR(DONNEES!B106-B108,"NA")</f>
        <v>0</v>
      </c>
      <c r="C328" s="4">
        <f>IFERROR(DONNEES!C106-C108,"NA")</f>
        <v>0</v>
      </c>
      <c r="D328" s="4">
        <f>IFERROR(DONNEES!D106-D108,"NA")</f>
        <v>0</v>
      </c>
      <c r="E328" s="4">
        <f>IFERROR(DONNEES!E106-E108,"NA")</f>
        <v>0</v>
      </c>
      <c r="F328" s="4">
        <f>IFERROR(DONNEES!F106-F108,"NA")</f>
        <v>0</v>
      </c>
      <c r="G328" s="4">
        <f>IFERROR(DONNEES!G106-G108,"NA")</f>
        <v>0</v>
      </c>
      <c r="H328" s="4">
        <f>IFERROR(DONNEES!H106-H108,"NA")</f>
        <v>0</v>
      </c>
      <c r="I328" s="4">
        <f>IFERROR(DONNEES!I106-I108,"NA")</f>
        <v>0</v>
      </c>
      <c r="J328" s="4">
        <f>IFERROR(DONNEES!J106-J108,"NA")</f>
        <v>0</v>
      </c>
      <c r="K328" s="4">
        <f>IFERROR(DONNEES!K106-K108,"NA")</f>
        <v>0</v>
      </c>
      <c r="L328" s="4">
        <f>IFERROR(DONNEES!L106-L108,"NA")</f>
        <v>0</v>
      </c>
      <c r="M328" s="4">
        <f>IFERROR(DONNEES!M106-M108,"NA")</f>
        <v>0</v>
      </c>
      <c r="N328" s="4">
        <f>IFERROR(DONNEES!N106-N108,"NA")</f>
        <v>1.9489296575387329</v>
      </c>
      <c r="O328" s="4">
        <f>IFERROR(DONNEES!O106-O108,"NA")</f>
        <v>0</v>
      </c>
    </row>
    <row r="329" spans="1:15" x14ac:dyDescent="0.3">
      <c r="A329" t="s">
        <v>244</v>
      </c>
      <c r="B329" s="4" t="str">
        <f>IFERROR(DONNEES!B107-B109,"NA")</f>
        <v>NA</v>
      </c>
      <c r="C329" s="4" t="str">
        <f>IFERROR(DONNEES!C107-C109,"NA")</f>
        <v>NA</v>
      </c>
      <c r="D329" s="4">
        <f>IFERROR(DONNEES!D107-D109,"NA")</f>
        <v>0</v>
      </c>
      <c r="E329" s="4">
        <f>IFERROR(DONNEES!E107-E109,"NA")</f>
        <v>0</v>
      </c>
      <c r="F329" s="4">
        <f>IFERROR(DONNEES!F107-F109,"NA")</f>
        <v>0</v>
      </c>
      <c r="G329" s="4">
        <f>IFERROR(DONNEES!G107-G109,"NA")</f>
        <v>0</v>
      </c>
      <c r="H329" s="4">
        <f>IFERROR(DONNEES!H107-H109,"NA")</f>
        <v>0</v>
      </c>
      <c r="I329" s="4">
        <f>IFERROR(DONNEES!I107-I109,"NA")</f>
        <v>0</v>
      </c>
      <c r="J329" s="4">
        <f>IFERROR(DONNEES!J107-J109,"NA")</f>
        <v>0</v>
      </c>
      <c r="K329" s="4">
        <f>IFERROR(DONNEES!K107-K109,"NA")</f>
        <v>0</v>
      </c>
      <c r="L329" s="4">
        <f>IFERROR(DONNEES!L107-L109,"NA")</f>
        <v>0</v>
      </c>
      <c r="M329" s="4">
        <f>IFERROR(DONNEES!M107-M109,"NA")</f>
        <v>0</v>
      </c>
      <c r="N329" s="4">
        <f>IFERROR(DONNEES!N107-N109,"NA")</f>
        <v>-1.2003488046201793</v>
      </c>
      <c r="O329" s="4">
        <f>IFERROR(DONNEES!O107-O109,"NA")</f>
        <v>0</v>
      </c>
    </row>
    <row r="330" spans="1:15" x14ac:dyDescent="0.3">
      <c r="A330" t="s">
        <v>246</v>
      </c>
      <c r="B330" s="4">
        <f>IFERROR(DONNEES!B108-B110,"NA")</f>
        <v>0</v>
      </c>
      <c r="C330" s="4">
        <f>IFERROR(DONNEES!C108-C110,"NA")</f>
        <v>0</v>
      </c>
      <c r="D330" s="4" t="str">
        <f>IFERROR(DONNEES!D108-D110,"NA")</f>
        <v>NA</v>
      </c>
      <c r="E330" s="4">
        <f>IFERROR(DONNEES!E108-E110,"NA")</f>
        <v>0</v>
      </c>
      <c r="F330" s="4">
        <f>IFERROR(DONNEES!F108-F110,"NA")</f>
        <v>0</v>
      </c>
      <c r="G330" s="4">
        <f>IFERROR(DONNEES!G108-G110,"NA")</f>
        <v>0</v>
      </c>
      <c r="H330" s="4">
        <f>IFERROR(DONNEES!H108-H110,"NA")</f>
        <v>0</v>
      </c>
      <c r="I330" s="4">
        <f>IFERROR(DONNEES!I108-I110,"NA")</f>
        <v>0</v>
      </c>
      <c r="J330" s="4">
        <f>IFERROR(DONNEES!J108-J110,"NA")</f>
        <v>0</v>
      </c>
      <c r="K330" s="4">
        <f>IFERROR(DONNEES!K108-K110,"NA")</f>
        <v>0</v>
      </c>
      <c r="L330" s="4">
        <f>IFERROR(DONNEES!L108-L110,"NA")</f>
        <v>0</v>
      </c>
      <c r="M330" s="4">
        <f>IFERROR(DONNEES!M108-M110,"NA")</f>
        <v>0</v>
      </c>
      <c r="N330" s="4">
        <f>IFERROR(DONNEES!N108-N110,"NA")</f>
        <v>1.0149837267429878</v>
      </c>
      <c r="O330" s="4">
        <f>IFERROR(DONNEES!O108-O110,"NA")</f>
        <v>0</v>
      </c>
    </row>
    <row r="331" spans="1:15" x14ac:dyDescent="0.3">
      <c r="A331" t="s">
        <v>248</v>
      </c>
      <c r="B331" s="4">
        <f>IFERROR(DONNEES!B109-B111,"NA")</f>
        <v>0</v>
      </c>
      <c r="C331" s="4">
        <f>IFERROR(DONNEES!C109-C111,"NA")</f>
        <v>0</v>
      </c>
      <c r="D331" s="4">
        <f>IFERROR(DONNEES!D109-D111,"NA")</f>
        <v>0</v>
      </c>
      <c r="E331" s="4">
        <f>IFERROR(DONNEES!E109-E111,"NA")</f>
        <v>0</v>
      </c>
      <c r="F331" s="4">
        <f>IFERROR(DONNEES!F109-F111,"NA")</f>
        <v>0</v>
      </c>
      <c r="G331" s="4">
        <f>IFERROR(DONNEES!G109-G111,"NA")</f>
        <v>0</v>
      </c>
      <c r="H331" s="4">
        <f>IFERROR(DONNEES!H109-H111,"NA")</f>
        <v>0</v>
      </c>
      <c r="I331" s="4">
        <f>IFERROR(DONNEES!I109-I111,"NA")</f>
        <v>0</v>
      </c>
      <c r="J331" s="4">
        <f>IFERROR(DONNEES!J109-J111,"NA")</f>
        <v>0</v>
      </c>
      <c r="K331" s="4">
        <f>IFERROR(DONNEES!K109-K111,"NA")</f>
        <v>0</v>
      </c>
      <c r="L331" s="4">
        <f>IFERROR(DONNEES!L109-L111,"NA")</f>
        <v>0</v>
      </c>
      <c r="M331" s="4">
        <f>IFERROR(DONNEES!M109-M111,"NA")</f>
        <v>0</v>
      </c>
      <c r="N331" s="4">
        <f>IFERROR(DONNEES!N109-N111,"NA")</f>
        <v>-0.83723670896142699</v>
      </c>
      <c r="O331" s="4">
        <f>IFERROR(DONNEES!O109-O111,"NA")</f>
        <v>0</v>
      </c>
    </row>
    <row r="332" spans="1:15" x14ac:dyDescent="0.3">
      <c r="A332" t="s">
        <v>250</v>
      </c>
      <c r="B332" s="4">
        <f>IFERROR(DONNEES!B110-B112,"NA")</f>
        <v>0</v>
      </c>
      <c r="C332" s="4">
        <f>IFERROR(DONNEES!C110-C112,"NA")</f>
        <v>0</v>
      </c>
      <c r="D332" s="4">
        <f>IFERROR(DONNEES!D110-D112,"NA")</f>
        <v>0</v>
      </c>
      <c r="E332" s="4">
        <f>IFERROR(DONNEES!E110-E112,"NA")</f>
        <v>0</v>
      </c>
      <c r="F332" s="4">
        <f>IFERROR(DONNEES!F110-F112,"NA")</f>
        <v>0</v>
      </c>
      <c r="G332" s="4">
        <f>IFERROR(DONNEES!G110-G112,"NA")</f>
        <v>0</v>
      </c>
      <c r="H332" s="4">
        <f>IFERROR(DONNEES!H110-H112,"NA")</f>
        <v>0</v>
      </c>
      <c r="I332" s="4" t="str">
        <f>IFERROR(DONNEES!I110-I112,"NA")</f>
        <v>NA</v>
      </c>
      <c r="J332" s="4">
        <f>IFERROR(DONNEES!J110-J112,"NA")</f>
        <v>0</v>
      </c>
      <c r="K332" s="4">
        <f>IFERROR(DONNEES!K110-K112,"NA")</f>
        <v>0</v>
      </c>
      <c r="L332" s="4">
        <f>IFERROR(DONNEES!L110-L112,"NA")</f>
        <v>0</v>
      </c>
      <c r="M332" s="4">
        <f>IFERROR(DONNEES!M110-M112,"NA")</f>
        <v>0</v>
      </c>
      <c r="N332" s="4">
        <f>IFERROR(DONNEES!N110-N112,"NA")</f>
        <v>0.1920489569505055</v>
      </c>
      <c r="O332" s="4">
        <f>IFERROR(DONNEES!O110-O112,"NA")</f>
        <v>0</v>
      </c>
    </row>
    <row r="333" spans="1:15" x14ac:dyDescent="0.3">
      <c r="A333" t="s">
        <v>252</v>
      </c>
      <c r="B333" s="4">
        <f>IFERROR(DONNEES!B111-B113,"NA")</f>
        <v>0</v>
      </c>
      <c r="C333" s="4">
        <f>IFERROR(DONNEES!C111-C113,"NA")</f>
        <v>0</v>
      </c>
      <c r="D333" s="4">
        <f>IFERROR(DONNEES!D111-D113,"NA")</f>
        <v>0</v>
      </c>
      <c r="E333" s="4">
        <f>IFERROR(DONNEES!E111-E113,"NA")</f>
        <v>0</v>
      </c>
      <c r="F333" s="4">
        <f>IFERROR(DONNEES!F111-F113,"NA")</f>
        <v>0</v>
      </c>
      <c r="G333" s="4">
        <f>IFERROR(DONNEES!G111-G113,"NA")</f>
        <v>0</v>
      </c>
      <c r="H333" s="4">
        <f>IFERROR(DONNEES!H111-H113,"NA")</f>
        <v>0</v>
      </c>
      <c r="I333" s="4">
        <f>IFERROR(DONNEES!I111-I113,"NA")</f>
        <v>0</v>
      </c>
      <c r="J333" s="4">
        <f>IFERROR(DONNEES!J111-J113,"NA")</f>
        <v>0</v>
      </c>
      <c r="K333" s="4">
        <f>IFERROR(DONNEES!K111-K113,"NA")</f>
        <v>0</v>
      </c>
      <c r="L333" s="4">
        <f>IFERROR(DONNEES!L111-L113,"NA")</f>
        <v>0</v>
      </c>
      <c r="M333" s="4">
        <f>IFERROR(DONNEES!M111-M113,"NA")</f>
        <v>0</v>
      </c>
      <c r="N333" s="4">
        <f>IFERROR(DONNEES!N111-N113,"NA")</f>
        <v>1.9676325712352987</v>
      </c>
      <c r="O333" s="4">
        <f>IFERROR(DONNEES!O111-O113,"NA")</f>
        <v>0</v>
      </c>
    </row>
    <row r="334" spans="1:15" x14ac:dyDescent="0.3">
      <c r="A334" t="s">
        <v>254</v>
      </c>
      <c r="B334" s="4" t="str">
        <f>IFERROR(DONNEES!B112-B114,"NA")</f>
        <v>NA</v>
      </c>
      <c r="C334" s="4">
        <f>IFERROR(DONNEES!C112-C114,"NA")</f>
        <v>0</v>
      </c>
      <c r="D334" s="4">
        <f>IFERROR(DONNEES!D112-D114,"NA")</f>
        <v>0</v>
      </c>
      <c r="E334" s="4">
        <f>IFERROR(DONNEES!E112-E114,"NA")</f>
        <v>0</v>
      </c>
      <c r="F334" s="4">
        <f>IFERROR(DONNEES!F112-F114,"NA")</f>
        <v>0</v>
      </c>
      <c r="G334" s="4">
        <f>IFERROR(DONNEES!G112-G114,"NA")</f>
        <v>0</v>
      </c>
      <c r="H334" s="4">
        <f>IFERROR(DONNEES!H112-H114,"NA")</f>
        <v>0</v>
      </c>
      <c r="I334" s="4" t="str">
        <f>IFERROR(DONNEES!I112-I114,"NA")</f>
        <v>NA</v>
      </c>
      <c r="J334" s="4" t="str">
        <f>IFERROR(DONNEES!J112-J114,"NA")</f>
        <v>NA</v>
      </c>
      <c r="K334" s="4" t="str">
        <f>IFERROR(DONNEES!K112-K114,"NA")</f>
        <v>NA</v>
      </c>
      <c r="L334" s="4">
        <f>IFERROR(DONNEES!L112-L114,"NA")</f>
        <v>0</v>
      </c>
      <c r="M334" s="4">
        <f>IFERROR(DONNEES!M112-M114,"NA")</f>
        <v>0</v>
      </c>
      <c r="N334" s="4">
        <f>IFERROR(DONNEES!N112-N114,"NA")</f>
        <v>-2.1334145093957573</v>
      </c>
      <c r="O334" s="4">
        <f>IFERROR(DONNEES!O112-O114,"NA")</f>
        <v>0</v>
      </c>
    </row>
    <row r="335" spans="1:15" x14ac:dyDescent="0.3">
      <c r="A335" t="s">
        <v>256</v>
      </c>
      <c r="B335" s="4">
        <f>IFERROR(DONNEES!B113-B115,"NA")</f>
        <v>0</v>
      </c>
      <c r="C335" s="4">
        <f>IFERROR(DONNEES!C113-C115,"NA")</f>
        <v>0</v>
      </c>
      <c r="D335" s="4">
        <f>IFERROR(DONNEES!D113-D115,"NA")</f>
        <v>0</v>
      </c>
      <c r="E335" s="4">
        <f>IFERROR(DONNEES!E113-E115,"NA")</f>
        <v>0</v>
      </c>
      <c r="F335" s="4">
        <f>IFERROR(DONNEES!F113-F115,"NA")</f>
        <v>0</v>
      </c>
      <c r="G335" s="4">
        <f>IFERROR(DONNEES!G113-G115,"NA")</f>
        <v>0</v>
      </c>
      <c r="H335" s="4">
        <f>IFERROR(DONNEES!H113-H115,"NA")</f>
        <v>0</v>
      </c>
      <c r="I335" s="4">
        <f>IFERROR(DONNEES!I113-I115,"NA")</f>
        <v>0</v>
      </c>
      <c r="J335" s="4">
        <f>IFERROR(DONNEES!J113-J115,"NA")</f>
        <v>0</v>
      </c>
      <c r="K335" s="4">
        <f>IFERROR(DONNEES!K113-K115,"NA")</f>
        <v>0</v>
      </c>
      <c r="L335" s="4">
        <f>IFERROR(DONNEES!L113-L115,"NA")</f>
        <v>0</v>
      </c>
      <c r="M335" s="4">
        <f>IFERROR(DONNEES!M113-M115,"NA")</f>
        <v>0</v>
      </c>
      <c r="N335" s="4">
        <f>IFERROR(DONNEES!N113-N115,"NA")</f>
        <v>-0.96033029351383437</v>
      </c>
      <c r="O335" s="4">
        <f>IFERROR(DONNEES!O113-O115,"NA")</f>
        <v>0</v>
      </c>
    </row>
    <row r="336" spans="1:15" x14ac:dyDescent="0.3">
      <c r="A336" t="s">
        <v>258</v>
      </c>
      <c r="B336" s="4" t="str">
        <f>IFERROR(DONNEES!B114-B116,"NA")</f>
        <v>NA</v>
      </c>
      <c r="C336" s="4" t="str">
        <f>IFERROR(DONNEES!C114-C116,"NA")</f>
        <v>NA</v>
      </c>
      <c r="D336" s="4" t="str">
        <f>IFERROR(DONNEES!D114-D116,"NA")</f>
        <v>NA</v>
      </c>
      <c r="E336" s="4">
        <f>IFERROR(DONNEES!E114-E116,"NA")</f>
        <v>0</v>
      </c>
      <c r="F336" s="4">
        <f>IFERROR(DONNEES!F114-F116,"NA")</f>
        <v>0</v>
      </c>
      <c r="G336" s="4">
        <f>IFERROR(DONNEES!G114-G116,"NA")</f>
        <v>0</v>
      </c>
      <c r="H336" s="4">
        <f>IFERROR(DONNEES!H114-H116,"NA")</f>
        <v>0</v>
      </c>
      <c r="I336" s="4">
        <f>IFERROR(DONNEES!I114-I116,"NA")</f>
        <v>0</v>
      </c>
      <c r="J336" s="4">
        <f>IFERROR(DONNEES!J114-J116,"NA")</f>
        <v>0</v>
      </c>
      <c r="K336" s="4">
        <f>IFERROR(DONNEES!K114-K116,"NA")</f>
        <v>0</v>
      </c>
      <c r="L336" s="4">
        <f>IFERROR(DONNEES!L114-L116,"NA")</f>
        <v>0</v>
      </c>
      <c r="M336" s="4">
        <f>IFERROR(DONNEES!M114-M116,"NA")</f>
        <v>0</v>
      </c>
      <c r="N336" s="4">
        <f>IFERROR(DONNEES!N114-N116,"NA")</f>
        <v>-2.9447850560148559</v>
      </c>
      <c r="O336" s="4">
        <f>IFERROR(DONNEES!O114-O116,"NA")</f>
        <v>0</v>
      </c>
    </row>
    <row r="337" spans="1:15" x14ac:dyDescent="0.3">
      <c r="A337" t="s">
        <v>260</v>
      </c>
      <c r="B337" s="4" t="str">
        <f>IFERROR(DONNEES!B115-B117,"NA")</f>
        <v>NA</v>
      </c>
      <c r="C337" s="4" t="str">
        <f>IFERROR(DONNEES!C115-C117,"NA")</f>
        <v>NA</v>
      </c>
      <c r="D337" s="4">
        <f>IFERROR(DONNEES!D115-D117,"NA")</f>
        <v>0</v>
      </c>
      <c r="E337" s="4">
        <f>IFERROR(DONNEES!E115-E117,"NA")</f>
        <v>0</v>
      </c>
      <c r="F337" s="4">
        <f>IFERROR(DONNEES!F115-F117,"NA")</f>
        <v>0</v>
      </c>
      <c r="G337" s="4">
        <f>IFERROR(DONNEES!G115-G117,"NA")</f>
        <v>0</v>
      </c>
      <c r="H337" s="4">
        <f>IFERROR(DONNEES!H115-H117,"NA")</f>
        <v>0</v>
      </c>
      <c r="I337" s="4">
        <f>IFERROR(DONNEES!I115-I117,"NA")</f>
        <v>0</v>
      </c>
      <c r="J337" s="4">
        <f>IFERROR(DONNEES!J115-J117,"NA")</f>
        <v>0</v>
      </c>
      <c r="K337" s="4">
        <f>IFERROR(DONNEES!K115-K117,"NA")</f>
        <v>0</v>
      </c>
      <c r="L337" s="4">
        <f>IFERROR(DONNEES!L115-L117,"NA")</f>
        <v>0</v>
      </c>
      <c r="M337" s="4">
        <f>IFERROR(DONNEES!M115-M117,"NA")</f>
        <v>0</v>
      </c>
      <c r="N337" s="4">
        <f>IFERROR(DONNEES!N115-N117,"NA")</f>
        <v>-1.9803249016404147</v>
      </c>
      <c r="O337" s="4">
        <f>IFERROR(DONNEES!O115-O117,"NA")</f>
        <v>0</v>
      </c>
    </row>
    <row r="338" spans="1:15" x14ac:dyDescent="0.3">
      <c r="A338" t="s">
        <v>262</v>
      </c>
      <c r="B338" s="4" t="str">
        <f>IFERROR(DONNEES!B116-B118,"NA")</f>
        <v>NA</v>
      </c>
      <c r="C338" s="4" t="str">
        <f>IFERROR(DONNEES!C116-C118,"NA")</f>
        <v>NA</v>
      </c>
      <c r="D338" s="4" t="str">
        <f>IFERROR(DONNEES!D116-D118,"NA")</f>
        <v>NA</v>
      </c>
      <c r="E338" s="4">
        <f>IFERROR(DONNEES!E116-E118,"NA")</f>
        <v>0</v>
      </c>
      <c r="F338" s="4">
        <f>IFERROR(DONNEES!F116-F118,"NA")</f>
        <v>0</v>
      </c>
      <c r="G338" s="4">
        <f>IFERROR(DONNEES!G116-G118,"NA")</f>
        <v>0</v>
      </c>
      <c r="H338" s="4">
        <f>IFERROR(DONNEES!H116-H118,"NA")</f>
        <v>0</v>
      </c>
      <c r="I338" s="4">
        <f>IFERROR(DONNEES!I116-I118,"NA")</f>
        <v>0</v>
      </c>
      <c r="J338" s="4">
        <f>IFERROR(DONNEES!J116-J118,"NA")</f>
        <v>0</v>
      </c>
      <c r="K338" s="4">
        <f>IFERROR(DONNEES!K116-K118,"NA")</f>
        <v>0</v>
      </c>
      <c r="L338" s="4">
        <f>IFERROR(DONNEES!L116-L118,"NA")</f>
        <v>0</v>
      </c>
      <c r="M338" s="4">
        <f>IFERROR(DONNEES!M116-M118,"NA")</f>
        <v>0</v>
      </c>
      <c r="N338" s="4">
        <f>IFERROR(DONNEES!N116-N118,"NA")</f>
        <v>2.1507332101464258</v>
      </c>
      <c r="O338" s="4">
        <f>IFERROR(DONNEES!O116-O118,"NA")</f>
        <v>0</v>
      </c>
    </row>
    <row r="339" spans="1:15" x14ac:dyDescent="0.3">
      <c r="A339" t="s">
        <v>264</v>
      </c>
      <c r="B339" s="4">
        <f>IFERROR(DONNEES!B117-B119,"NA")</f>
        <v>0</v>
      </c>
      <c r="C339" s="4">
        <f>IFERROR(DONNEES!C117-C119,"NA")</f>
        <v>0</v>
      </c>
      <c r="D339" s="4">
        <f>IFERROR(DONNEES!D117-D119,"NA")</f>
        <v>0</v>
      </c>
      <c r="E339" s="4">
        <f>IFERROR(DONNEES!E117-E119,"NA")</f>
        <v>0</v>
      </c>
      <c r="F339" s="4">
        <f>IFERROR(DONNEES!F117-F119,"NA")</f>
        <v>0</v>
      </c>
      <c r="G339" s="4">
        <f>IFERROR(DONNEES!G117-G119,"NA")</f>
        <v>0</v>
      </c>
      <c r="H339" s="4">
        <f>IFERROR(DONNEES!H117-H119,"NA")</f>
        <v>0</v>
      </c>
      <c r="I339" s="4">
        <f>IFERROR(DONNEES!I117-I119,"NA")</f>
        <v>0</v>
      </c>
      <c r="J339" s="4">
        <f>IFERROR(DONNEES!J117-J119,"NA")</f>
        <v>0</v>
      </c>
      <c r="K339" s="4">
        <f>IFERROR(DONNEES!K117-K119,"NA")</f>
        <v>0</v>
      </c>
      <c r="L339" s="4">
        <f>IFERROR(DONNEES!L117-L119,"NA")</f>
        <v>0</v>
      </c>
      <c r="M339" s="4">
        <f>IFERROR(DONNEES!M117-M119,"NA")</f>
        <v>0</v>
      </c>
      <c r="N339" s="4">
        <f>IFERROR(DONNEES!N117-N119,"NA")</f>
        <v>1.0215258027116456</v>
      </c>
      <c r="O339" s="4">
        <f>IFERROR(DONNEES!O117-O119,"NA")</f>
        <v>0</v>
      </c>
    </row>
    <row r="340" spans="1:15" x14ac:dyDescent="0.3">
      <c r="A340" t="s">
        <v>266</v>
      </c>
      <c r="B340" s="4">
        <f>IFERROR(DONNEES!B118-B120,"NA")</f>
        <v>0</v>
      </c>
      <c r="C340" s="4">
        <f>IFERROR(DONNEES!C118-C120,"NA")</f>
        <v>0</v>
      </c>
      <c r="D340" s="4">
        <f>IFERROR(DONNEES!D118-D120,"NA")</f>
        <v>0</v>
      </c>
      <c r="E340" s="4">
        <f>IFERROR(DONNEES!E118-E120,"NA")</f>
        <v>0</v>
      </c>
      <c r="F340" s="4">
        <f>IFERROR(DONNEES!F118-F120,"NA")</f>
        <v>0</v>
      </c>
      <c r="G340" s="4">
        <f>IFERROR(DONNEES!G118-G120,"NA")</f>
        <v>0</v>
      </c>
      <c r="H340" s="4">
        <f>IFERROR(DONNEES!H118-H120,"NA")</f>
        <v>0</v>
      </c>
      <c r="I340" s="4">
        <f>IFERROR(DONNEES!I118-I120,"NA")</f>
        <v>0</v>
      </c>
      <c r="J340" s="4">
        <f>IFERROR(DONNEES!J118-J120,"NA")</f>
        <v>0</v>
      </c>
      <c r="K340" s="4">
        <f>IFERROR(DONNEES!K118-K120,"NA")</f>
        <v>0</v>
      </c>
      <c r="L340" s="4">
        <f>IFERROR(DONNEES!L118-L120,"NA")</f>
        <v>0</v>
      </c>
      <c r="M340" s="4">
        <f>IFERROR(DONNEES!M118-M120,"NA")</f>
        <v>0</v>
      </c>
      <c r="N340" s="4">
        <f>IFERROR(DONNEES!N118-N120,"NA")</f>
        <v>1.3667665117730701</v>
      </c>
      <c r="O340" s="4">
        <f>IFERROR(DONNEES!O118-O120,"NA")</f>
        <v>0</v>
      </c>
    </row>
    <row r="341" spans="1:15" x14ac:dyDescent="0.3">
      <c r="A341" t="s">
        <v>268</v>
      </c>
      <c r="B341" s="4">
        <f>IFERROR(DONNEES!B119-B121,"NA")</f>
        <v>0</v>
      </c>
      <c r="C341" s="4">
        <f>IFERROR(DONNEES!C119-C121,"NA")</f>
        <v>0</v>
      </c>
      <c r="D341" s="4">
        <f>IFERROR(DONNEES!D119-D121,"NA")</f>
        <v>0</v>
      </c>
      <c r="E341" s="4">
        <f>IFERROR(DONNEES!E119-E121,"NA")</f>
        <v>0</v>
      </c>
      <c r="F341" s="4">
        <f>IFERROR(DONNEES!F119-F121,"NA")</f>
        <v>0</v>
      </c>
      <c r="G341" s="4">
        <f>IFERROR(DONNEES!G119-G121,"NA")</f>
        <v>0</v>
      </c>
      <c r="H341" s="4">
        <f>IFERROR(DONNEES!H119-H121,"NA")</f>
        <v>0</v>
      </c>
      <c r="I341" s="4">
        <f>IFERROR(DONNEES!I119-I121,"NA")</f>
        <v>0</v>
      </c>
      <c r="J341" s="4">
        <f>IFERROR(DONNEES!J119-J121,"NA")</f>
        <v>0</v>
      </c>
      <c r="K341" s="4">
        <f>IFERROR(DONNEES!K119-K121,"NA")</f>
        <v>0</v>
      </c>
      <c r="L341" s="4">
        <f>IFERROR(DONNEES!L119-L121,"NA")</f>
        <v>0</v>
      </c>
      <c r="M341" s="4">
        <f>IFERROR(DONNEES!M119-M121,"NA")</f>
        <v>0</v>
      </c>
      <c r="N341" s="4">
        <f>IFERROR(DONNEES!N119-N121,"NA")</f>
        <v>0.97071825852617644</v>
      </c>
      <c r="O341" s="4">
        <f>IFERROR(DONNEES!O119-O121,"NA")</f>
        <v>0</v>
      </c>
    </row>
    <row r="342" spans="1:15" x14ac:dyDescent="0.3">
      <c r="A342" t="s">
        <v>270</v>
      </c>
      <c r="B342" s="4">
        <f>IFERROR(DONNEES!B120-B122,"NA")</f>
        <v>0</v>
      </c>
      <c r="C342" s="4">
        <f>IFERROR(DONNEES!C120-C122,"NA")</f>
        <v>0</v>
      </c>
      <c r="D342" s="4">
        <f>IFERROR(DONNEES!D120-D122,"NA")</f>
        <v>0</v>
      </c>
      <c r="E342" s="4">
        <f>IFERROR(DONNEES!E120-E122,"NA")</f>
        <v>0</v>
      </c>
      <c r="F342" s="4">
        <f>IFERROR(DONNEES!F120-F122,"NA")</f>
        <v>0</v>
      </c>
      <c r="G342" s="4">
        <f>IFERROR(DONNEES!G120-G122,"NA")</f>
        <v>0</v>
      </c>
      <c r="H342" s="4">
        <f>IFERROR(DONNEES!H120-H122,"NA")</f>
        <v>0</v>
      </c>
      <c r="I342" s="4">
        <f>IFERROR(DONNEES!I120-I122,"NA")</f>
        <v>0</v>
      </c>
      <c r="J342" s="4">
        <f>IFERROR(DONNEES!J120-J122,"NA")</f>
        <v>0</v>
      </c>
      <c r="K342" s="4">
        <f>IFERROR(DONNEES!K120-K122,"NA")</f>
        <v>0</v>
      </c>
      <c r="L342" s="4">
        <f>IFERROR(DONNEES!L120-L122,"NA")</f>
        <v>0</v>
      </c>
      <c r="M342" s="4">
        <f>IFERROR(DONNEES!M120-M122,"NA")</f>
        <v>0</v>
      </c>
      <c r="N342" s="4">
        <f>IFERROR(DONNEES!N120-N122,"NA")</f>
        <v>-0.1264146929606792</v>
      </c>
      <c r="O342" s="4">
        <f>IFERROR(DONNEES!O120-O122,"NA")</f>
        <v>0</v>
      </c>
    </row>
    <row r="343" spans="1:15" x14ac:dyDescent="0.3">
      <c r="A343" t="s">
        <v>272</v>
      </c>
      <c r="B343" s="4">
        <f>IFERROR(DONNEES!B121-B123,"NA")</f>
        <v>0</v>
      </c>
      <c r="C343" s="4">
        <f>IFERROR(DONNEES!C121-C123,"NA")</f>
        <v>0</v>
      </c>
      <c r="D343" s="4" t="str">
        <f>IFERROR(DONNEES!D121-D123,"NA")</f>
        <v>NA</v>
      </c>
      <c r="E343" s="4">
        <f>IFERROR(DONNEES!E121-E123,"NA")</f>
        <v>0</v>
      </c>
      <c r="F343" s="4">
        <f>IFERROR(DONNEES!F121-F123,"NA")</f>
        <v>0</v>
      </c>
      <c r="G343" s="4">
        <f>IFERROR(DONNEES!G121-G123,"NA")</f>
        <v>0</v>
      </c>
      <c r="H343" s="4">
        <f>IFERROR(DONNEES!H121-H123,"NA")</f>
        <v>0</v>
      </c>
      <c r="I343" s="4" t="str">
        <f>IFERROR(DONNEES!I121-I123,"NA")</f>
        <v>NA</v>
      </c>
      <c r="J343" s="4" t="str">
        <f>IFERROR(DONNEES!J121-J123,"NA")</f>
        <v>NA</v>
      </c>
      <c r="K343" s="4" t="str">
        <f>IFERROR(DONNEES!K121-K123,"NA")</f>
        <v>NA</v>
      </c>
      <c r="L343" s="4">
        <f>IFERROR(DONNEES!L121-L123,"NA")</f>
        <v>0</v>
      </c>
      <c r="M343" s="4">
        <f>IFERROR(DONNEES!M121-M123,"NA")</f>
        <v>0</v>
      </c>
      <c r="N343" s="4">
        <f>IFERROR(DONNEES!N121-N123,"NA")</f>
        <v>-1.5101634487509727</v>
      </c>
      <c r="O343" s="4">
        <f>IFERROR(DONNEES!O121-O123,"NA")</f>
        <v>0</v>
      </c>
    </row>
    <row r="344" spans="1:15" x14ac:dyDescent="0.3">
      <c r="A344" t="s">
        <v>274</v>
      </c>
      <c r="B344" s="4">
        <f>IFERROR(DONNEES!B122-B124,"NA")</f>
        <v>0</v>
      </c>
      <c r="C344" s="4">
        <f>IFERROR(DONNEES!C122-C124,"NA")</f>
        <v>0</v>
      </c>
      <c r="D344" s="4">
        <f>IFERROR(DONNEES!D122-D124,"NA")</f>
        <v>0</v>
      </c>
      <c r="E344" s="4">
        <f>IFERROR(DONNEES!E122-E124,"NA")</f>
        <v>0</v>
      </c>
      <c r="F344" s="4">
        <f>IFERROR(DONNEES!F122-F124,"NA")</f>
        <v>0</v>
      </c>
      <c r="G344" s="4">
        <f>IFERROR(DONNEES!G122-G124,"NA")</f>
        <v>0</v>
      </c>
      <c r="H344" s="4">
        <f>IFERROR(DONNEES!H122-H124,"NA")</f>
        <v>0</v>
      </c>
      <c r="I344" s="4">
        <f>IFERROR(DONNEES!I122-I124,"NA")</f>
        <v>0</v>
      </c>
      <c r="J344" s="4">
        <f>IFERROR(DONNEES!J122-J124,"NA")</f>
        <v>0</v>
      </c>
      <c r="K344" s="4">
        <f>IFERROR(DONNEES!K122-K124,"NA")</f>
        <v>0</v>
      </c>
      <c r="L344" s="4">
        <f>IFERROR(DONNEES!L122-L124,"NA")</f>
        <v>0</v>
      </c>
      <c r="M344" s="4">
        <f>IFERROR(DONNEES!M122-M124,"NA")</f>
        <v>0</v>
      </c>
      <c r="N344" s="4">
        <f>IFERROR(DONNEES!N122-N124,"NA")</f>
        <v>6.2458384345517315E-3</v>
      </c>
      <c r="O344" s="4">
        <f>IFERROR(DONNEES!O122-O124,"NA")</f>
        <v>0</v>
      </c>
    </row>
    <row r="345" spans="1:15" x14ac:dyDescent="0.3">
      <c r="A345" t="s">
        <v>276</v>
      </c>
      <c r="B345" s="4">
        <f>IFERROR(DONNEES!B123-B125,"NA")</f>
        <v>0</v>
      </c>
      <c r="C345" s="4">
        <f>IFERROR(DONNEES!C123-C125,"NA")</f>
        <v>0</v>
      </c>
      <c r="D345" s="4" t="str">
        <f>IFERROR(DONNEES!D123-D125,"NA")</f>
        <v>NA</v>
      </c>
      <c r="E345" s="4">
        <f>IFERROR(DONNEES!E123-E125,"NA")</f>
        <v>0</v>
      </c>
      <c r="F345" s="4">
        <f>IFERROR(DONNEES!F123-F125,"NA")</f>
        <v>0</v>
      </c>
      <c r="G345" s="4">
        <f>IFERROR(DONNEES!G123-G125,"NA")</f>
        <v>0</v>
      </c>
      <c r="H345" s="4">
        <f>IFERROR(DONNEES!H123-H125,"NA")</f>
        <v>0</v>
      </c>
      <c r="I345" s="4">
        <f>IFERROR(DONNEES!I123-I125,"NA")</f>
        <v>0</v>
      </c>
      <c r="J345" s="4">
        <f>IFERROR(DONNEES!J123-J125,"NA")</f>
        <v>0</v>
      </c>
      <c r="K345" s="4">
        <f>IFERROR(DONNEES!K123-K125,"NA")</f>
        <v>0</v>
      </c>
      <c r="L345" s="4">
        <f>IFERROR(DONNEES!L123-L125,"NA")</f>
        <v>0</v>
      </c>
      <c r="M345" s="4">
        <f>IFERROR(DONNEES!M123-M125,"NA")</f>
        <v>0</v>
      </c>
      <c r="N345" s="4">
        <f>IFERROR(DONNEES!N123-N125,"NA")</f>
        <v>-1.0659452500597884</v>
      </c>
      <c r="O345" s="4">
        <f>IFERROR(DONNEES!O123-O125,"NA")</f>
        <v>0</v>
      </c>
    </row>
    <row r="346" spans="1:15" x14ac:dyDescent="0.3">
      <c r="A346" t="s">
        <v>278</v>
      </c>
      <c r="B346" s="4">
        <f>IFERROR(DONNEES!B124-B126,"NA")</f>
        <v>0</v>
      </c>
      <c r="C346" s="4">
        <f>IFERROR(DONNEES!C124-C126,"NA")</f>
        <v>0</v>
      </c>
      <c r="D346" s="4">
        <f>IFERROR(DONNEES!D124-D126,"NA")</f>
        <v>0</v>
      </c>
      <c r="E346" s="4">
        <f>IFERROR(DONNEES!E124-E126,"NA")</f>
        <v>0</v>
      </c>
      <c r="F346" s="4">
        <f>IFERROR(DONNEES!F124-F126,"NA")</f>
        <v>0</v>
      </c>
      <c r="G346" s="4">
        <f>IFERROR(DONNEES!G124-G126,"NA")</f>
        <v>0</v>
      </c>
      <c r="H346" s="4">
        <f>IFERROR(DONNEES!H124-H126,"NA")</f>
        <v>0</v>
      </c>
      <c r="I346" s="4">
        <f>IFERROR(DONNEES!I124-I126,"NA")</f>
        <v>0</v>
      </c>
      <c r="J346" s="4">
        <f>IFERROR(DONNEES!J124-J126,"NA")</f>
        <v>0</v>
      </c>
      <c r="K346" s="4">
        <f>IFERROR(DONNEES!K124-K126,"NA")</f>
        <v>0</v>
      </c>
      <c r="L346" s="4">
        <f>IFERROR(DONNEES!L124-L126,"NA")</f>
        <v>0</v>
      </c>
      <c r="M346" s="4">
        <f>IFERROR(DONNEES!M124-M126,"NA")</f>
        <v>0</v>
      </c>
      <c r="N346" s="4">
        <f>IFERROR(DONNEES!N124-N126,"NA")</f>
        <v>0.21737663230548288</v>
      </c>
      <c r="O346" s="4">
        <f>IFERROR(DONNEES!O124-O126,"NA")</f>
        <v>0</v>
      </c>
    </row>
    <row r="347" spans="1:15" x14ac:dyDescent="0.3">
      <c r="A347" t="s">
        <v>280</v>
      </c>
      <c r="B347" s="4">
        <f>IFERROR(DONNEES!B125-B127,"NA")</f>
        <v>0</v>
      </c>
      <c r="C347" s="4">
        <f>IFERROR(DONNEES!C125-C127,"NA")</f>
        <v>0</v>
      </c>
      <c r="D347" s="4">
        <f>IFERROR(DONNEES!D125-D127,"NA")</f>
        <v>0</v>
      </c>
      <c r="E347" s="4">
        <f>IFERROR(DONNEES!E125-E127,"NA")</f>
        <v>0</v>
      </c>
      <c r="F347" s="4">
        <f>IFERROR(DONNEES!F125-F127,"NA")</f>
        <v>0</v>
      </c>
      <c r="G347" s="4">
        <f>IFERROR(DONNEES!G125-G127,"NA")</f>
        <v>0</v>
      </c>
      <c r="H347" s="4">
        <f>IFERROR(DONNEES!H125-H127,"NA")</f>
        <v>0</v>
      </c>
      <c r="I347" s="4">
        <f>IFERROR(DONNEES!I125-I127,"NA")</f>
        <v>0</v>
      </c>
      <c r="J347" s="4">
        <f>IFERROR(DONNEES!J125-J127,"NA")</f>
        <v>0</v>
      </c>
      <c r="K347" s="4">
        <f>IFERROR(DONNEES!K125-K127,"NA")</f>
        <v>0</v>
      </c>
      <c r="L347" s="4">
        <f>IFERROR(DONNEES!L125-L127,"NA")</f>
        <v>0</v>
      </c>
      <c r="M347" s="4">
        <f>IFERROR(DONNEES!M125-M127,"NA")</f>
        <v>0</v>
      </c>
      <c r="N347" s="4">
        <f>IFERROR(DONNEES!N125-N127,"NA")</f>
        <v>0.36714188506205858</v>
      </c>
      <c r="O347" s="4">
        <f>IFERROR(DONNEES!O125-O127,"NA")</f>
        <v>0</v>
      </c>
    </row>
    <row r="348" spans="1:15" x14ac:dyDescent="0.3">
      <c r="A348" t="s">
        <v>282</v>
      </c>
      <c r="B348" s="4">
        <f>IFERROR(DONNEES!B126-B128,"NA")</f>
        <v>0</v>
      </c>
      <c r="C348" s="4">
        <f>IFERROR(DONNEES!C126-C128,"NA")</f>
        <v>0</v>
      </c>
      <c r="D348" s="4">
        <f>IFERROR(DONNEES!D126-D128,"NA")</f>
        <v>0</v>
      </c>
      <c r="E348" s="4">
        <f>IFERROR(DONNEES!E126-E128,"NA")</f>
        <v>0</v>
      </c>
      <c r="F348" s="4">
        <f>IFERROR(DONNEES!F126-F128,"NA")</f>
        <v>0</v>
      </c>
      <c r="G348" s="4">
        <f>IFERROR(DONNEES!G126-G128,"NA")</f>
        <v>0</v>
      </c>
      <c r="H348" s="4">
        <f>IFERROR(DONNEES!H126-H128,"NA")</f>
        <v>0</v>
      </c>
      <c r="I348" s="4">
        <f>IFERROR(DONNEES!I126-I128,"NA")</f>
        <v>0</v>
      </c>
      <c r="J348" s="4">
        <f>IFERROR(DONNEES!J126-J128,"NA")</f>
        <v>0</v>
      </c>
      <c r="K348" s="4">
        <f>IFERROR(DONNEES!K126-K128,"NA")</f>
        <v>0</v>
      </c>
      <c r="L348" s="4">
        <f>IFERROR(DONNEES!L126-L128,"NA")</f>
        <v>0</v>
      </c>
      <c r="M348" s="4">
        <f>IFERROR(DONNEES!M126-M128,"NA")</f>
        <v>0</v>
      </c>
      <c r="N348" s="4">
        <f>IFERROR(DONNEES!N126-N128,"NA")</f>
        <v>0.96876095984771382</v>
      </c>
      <c r="O348" s="4">
        <f>IFERROR(DONNEES!O126-O128,"NA")</f>
        <v>0</v>
      </c>
    </row>
    <row r="349" spans="1:15" x14ac:dyDescent="0.3">
      <c r="A349" t="s">
        <v>284</v>
      </c>
      <c r="B349" s="4">
        <f>IFERROR(DONNEES!B127-B129,"NA")</f>
        <v>0</v>
      </c>
      <c r="C349" s="4">
        <f>IFERROR(DONNEES!C127-C129,"NA")</f>
        <v>0</v>
      </c>
      <c r="D349" s="4">
        <f>IFERROR(DONNEES!D127-D129,"NA")</f>
        <v>0</v>
      </c>
      <c r="E349" s="4">
        <f>IFERROR(DONNEES!E127-E129,"NA")</f>
        <v>0</v>
      </c>
      <c r="F349" s="4">
        <f>IFERROR(DONNEES!F127-F129,"NA")</f>
        <v>0</v>
      </c>
      <c r="G349" s="4">
        <f>IFERROR(DONNEES!G127-G129,"NA")</f>
        <v>0</v>
      </c>
      <c r="H349" s="4">
        <f>IFERROR(DONNEES!H127-H129,"NA")</f>
        <v>0</v>
      </c>
      <c r="I349" s="4">
        <f>IFERROR(DONNEES!I127-I129,"NA")</f>
        <v>0</v>
      </c>
      <c r="J349" s="4">
        <f>IFERROR(DONNEES!J127-J129,"NA")</f>
        <v>0</v>
      </c>
      <c r="K349" s="4">
        <f>IFERROR(DONNEES!K127-K129,"NA")</f>
        <v>0</v>
      </c>
      <c r="L349" s="4">
        <f>IFERROR(DONNEES!L127-L129,"NA")</f>
        <v>0</v>
      </c>
      <c r="M349" s="4">
        <f>IFERROR(DONNEES!M127-M129,"NA")</f>
        <v>0</v>
      </c>
      <c r="N349" s="4">
        <f>IFERROR(DONNEES!N127-N129,"NA")</f>
        <v>-1.1828791232546791</v>
      </c>
      <c r="O349" s="4">
        <f>IFERROR(DONNEES!O127-O129,"NA")</f>
        <v>0</v>
      </c>
    </row>
    <row r="350" spans="1:15" x14ac:dyDescent="0.3">
      <c r="A350" t="s">
        <v>286</v>
      </c>
      <c r="B350" s="4">
        <f>IFERROR(DONNEES!B128-B130,"NA")</f>
        <v>0</v>
      </c>
      <c r="C350" s="4">
        <f>IFERROR(DONNEES!C128-C130,"NA")</f>
        <v>0</v>
      </c>
      <c r="D350" s="4">
        <f>IFERROR(DONNEES!D128-D130,"NA")</f>
        <v>0</v>
      </c>
      <c r="E350" s="4">
        <f>IFERROR(DONNEES!E128-E130,"NA")</f>
        <v>0</v>
      </c>
      <c r="F350" s="4">
        <f>IFERROR(DONNEES!F128-F130,"NA")</f>
        <v>0</v>
      </c>
      <c r="G350" s="4">
        <f>IFERROR(DONNEES!G128-G130,"NA")</f>
        <v>0</v>
      </c>
      <c r="H350" s="4">
        <f>IFERROR(DONNEES!H128-H130,"NA")</f>
        <v>0</v>
      </c>
      <c r="I350" s="4">
        <f>IFERROR(DONNEES!I128-I130,"NA")</f>
        <v>0</v>
      </c>
      <c r="J350" s="4">
        <f>IFERROR(DONNEES!J128-J130,"NA")</f>
        <v>0</v>
      </c>
      <c r="K350" s="4">
        <f>IFERROR(DONNEES!K128-K130,"NA")</f>
        <v>0</v>
      </c>
      <c r="L350" s="4">
        <f>IFERROR(DONNEES!L128-L130,"NA")</f>
        <v>0</v>
      </c>
      <c r="M350" s="4">
        <f>IFERROR(DONNEES!M128-M130,"NA")</f>
        <v>0</v>
      </c>
      <c r="N350" s="4">
        <f>IFERROR(DONNEES!N128-N130,"NA")</f>
        <v>1.2680900630851588</v>
      </c>
      <c r="O350" s="4">
        <f>IFERROR(DONNEES!O128-O130,"NA")</f>
        <v>0</v>
      </c>
    </row>
    <row r="351" spans="1:15" x14ac:dyDescent="0.3">
      <c r="A351" t="s">
        <v>288</v>
      </c>
      <c r="B351" s="4">
        <f>IFERROR(DONNEES!B129-B131,"NA")</f>
        <v>0</v>
      </c>
      <c r="C351" s="4">
        <f>IFERROR(DONNEES!C129-C131,"NA")</f>
        <v>0</v>
      </c>
      <c r="D351" s="4">
        <f>IFERROR(DONNEES!D129-D131,"NA")</f>
        <v>0</v>
      </c>
      <c r="E351" s="4">
        <f>IFERROR(DONNEES!E129-E131,"NA")</f>
        <v>0</v>
      </c>
      <c r="F351" s="4">
        <f>IFERROR(DONNEES!F129-F131,"NA")</f>
        <v>0</v>
      </c>
      <c r="G351" s="4">
        <f>IFERROR(DONNEES!G129-G131,"NA")</f>
        <v>0</v>
      </c>
      <c r="H351" s="4">
        <f>IFERROR(DONNEES!H129-H131,"NA")</f>
        <v>0</v>
      </c>
      <c r="I351" s="4">
        <f>IFERROR(DONNEES!I129-I131,"NA")</f>
        <v>0</v>
      </c>
      <c r="J351" s="4">
        <f>IFERROR(DONNEES!J129-J131,"NA")</f>
        <v>0</v>
      </c>
      <c r="K351" s="4">
        <f>IFERROR(DONNEES!K129-K131,"NA")</f>
        <v>0</v>
      </c>
      <c r="L351" s="4">
        <f>IFERROR(DONNEES!L129-L131,"NA")</f>
        <v>0</v>
      </c>
      <c r="M351" s="4">
        <f>IFERROR(DONNEES!M129-M131,"NA")</f>
        <v>0</v>
      </c>
      <c r="N351" s="4">
        <f>IFERROR(DONNEES!N129-N131,"NA")</f>
        <v>-1.642795774221852</v>
      </c>
      <c r="O351" s="4">
        <f>IFERROR(DONNEES!O129-O131,"NA")</f>
        <v>0</v>
      </c>
    </row>
    <row r="352" spans="1:15" x14ac:dyDescent="0.3">
      <c r="A352" t="s">
        <v>290</v>
      </c>
      <c r="B352" s="4">
        <f>IFERROR(DONNEES!B130-B132,"NA")</f>
        <v>0</v>
      </c>
      <c r="C352" s="4">
        <f>IFERROR(DONNEES!C130-C132,"NA")</f>
        <v>0</v>
      </c>
      <c r="D352" s="4" t="str">
        <f>IFERROR(DONNEES!D130-D132,"NA")</f>
        <v>NA</v>
      </c>
      <c r="E352" s="4">
        <f>IFERROR(DONNEES!E130-E132,"NA")</f>
        <v>0</v>
      </c>
      <c r="F352" s="4">
        <f>IFERROR(DONNEES!F130-F132,"NA")</f>
        <v>0</v>
      </c>
      <c r="G352" s="4">
        <f>IFERROR(DONNEES!G130-G132,"NA")</f>
        <v>0</v>
      </c>
      <c r="H352" s="4">
        <f>IFERROR(DONNEES!H130-H132,"NA")</f>
        <v>0</v>
      </c>
      <c r="I352" s="4">
        <f>IFERROR(DONNEES!I130-I132,"NA")</f>
        <v>0</v>
      </c>
      <c r="J352" s="4">
        <f>IFERROR(DONNEES!J130-J132,"NA")</f>
        <v>0</v>
      </c>
      <c r="K352" s="4">
        <f>IFERROR(DONNEES!K130-K132,"NA")</f>
        <v>0</v>
      </c>
      <c r="L352" s="4">
        <f>IFERROR(DONNEES!L130-L132,"NA")</f>
        <v>0</v>
      </c>
      <c r="M352" s="4">
        <f>IFERROR(DONNEES!M130-M132,"NA")</f>
        <v>0</v>
      </c>
      <c r="N352" s="4">
        <f>IFERROR(DONNEES!N130-N132,"NA")</f>
        <v>0.6237188646773576</v>
      </c>
      <c r="O352" s="4">
        <f>IFERROR(DONNEES!O130-O132,"NA")</f>
        <v>0</v>
      </c>
    </row>
    <row r="353" spans="1:15" x14ac:dyDescent="0.3">
      <c r="A353" t="s">
        <v>292</v>
      </c>
      <c r="B353" s="4">
        <f>IFERROR(DONNEES!B131-B133,"NA")</f>
        <v>0</v>
      </c>
      <c r="C353" s="4">
        <f>IFERROR(DONNEES!C131-C133,"NA")</f>
        <v>0</v>
      </c>
      <c r="D353" s="4">
        <f>IFERROR(DONNEES!D131-D133,"NA")</f>
        <v>0</v>
      </c>
      <c r="E353" s="4">
        <f>IFERROR(DONNEES!E131-E133,"NA")</f>
        <v>0</v>
      </c>
      <c r="F353" s="4">
        <f>IFERROR(DONNEES!F131-F133,"NA")</f>
        <v>0</v>
      </c>
      <c r="G353" s="4">
        <f>IFERROR(DONNEES!G131-G133,"NA")</f>
        <v>0</v>
      </c>
      <c r="H353" s="4">
        <f>IFERROR(DONNEES!H131-H133,"NA")</f>
        <v>0</v>
      </c>
      <c r="I353" s="4">
        <f>IFERROR(DONNEES!I131-I133,"NA")</f>
        <v>0</v>
      </c>
      <c r="J353" s="4">
        <f>IFERROR(DONNEES!J131-J133,"NA")</f>
        <v>0</v>
      </c>
      <c r="K353" s="4">
        <f>IFERROR(DONNEES!K131-K133,"NA")</f>
        <v>0</v>
      </c>
      <c r="L353" s="4">
        <f>IFERROR(DONNEES!L131-L133,"NA")</f>
        <v>0</v>
      </c>
      <c r="M353" s="4">
        <f>IFERROR(DONNEES!M131-M133,"NA")</f>
        <v>0</v>
      </c>
      <c r="N353" s="4">
        <f>IFERROR(DONNEES!N131-N133,"NA")</f>
        <v>-0.30487380873924796</v>
      </c>
      <c r="O353" s="4">
        <f>IFERROR(DONNEES!O131-O133,"NA")</f>
        <v>0</v>
      </c>
    </row>
    <row r="354" spans="1:15" x14ac:dyDescent="0.3">
      <c r="A354" t="s">
        <v>294</v>
      </c>
      <c r="B354" s="4">
        <f>IFERROR(DONNEES!B132-B134,"NA")</f>
        <v>0</v>
      </c>
      <c r="C354" s="4">
        <f>IFERROR(DONNEES!C132-C134,"NA")</f>
        <v>0</v>
      </c>
      <c r="D354" s="4" t="str">
        <f>IFERROR(DONNEES!D132-D134,"NA")</f>
        <v>NA</v>
      </c>
      <c r="E354" s="4">
        <f>IFERROR(DONNEES!E132-E134,"NA")</f>
        <v>0</v>
      </c>
      <c r="F354" s="4">
        <f>IFERROR(DONNEES!F132-F134,"NA")</f>
        <v>0</v>
      </c>
      <c r="G354" s="4" t="str">
        <f>IFERROR(DONNEES!G132-G134,"NA")</f>
        <v>NA</v>
      </c>
      <c r="H354" s="4">
        <f>IFERROR(DONNEES!H132-H134,"NA")</f>
        <v>0</v>
      </c>
      <c r="I354" s="4">
        <f>IFERROR(DONNEES!I132-I134,"NA")</f>
        <v>0</v>
      </c>
      <c r="J354" s="4">
        <f>IFERROR(DONNEES!J132-J134,"NA")</f>
        <v>0</v>
      </c>
      <c r="K354" s="4">
        <f>IFERROR(DONNEES!K132-K134,"NA")</f>
        <v>0</v>
      </c>
      <c r="L354" s="4">
        <f>IFERROR(DONNEES!L132-L134,"NA")</f>
        <v>0</v>
      </c>
      <c r="M354" s="4">
        <f>IFERROR(DONNEES!M132-M134,"NA")</f>
        <v>0</v>
      </c>
      <c r="N354" s="4">
        <f>IFERROR(DONNEES!N132-N134,"NA")</f>
        <v>1.2731364166728503</v>
      </c>
      <c r="O354" s="4">
        <f>IFERROR(DONNEES!O132-O134,"NA")</f>
        <v>0</v>
      </c>
    </row>
    <row r="355" spans="1:15" x14ac:dyDescent="0.3">
      <c r="A355" t="s">
        <v>296</v>
      </c>
      <c r="B355" s="4">
        <f>IFERROR(DONNEES!B133-B135,"NA")</f>
        <v>0</v>
      </c>
      <c r="C355" s="4">
        <f>IFERROR(DONNEES!C133-C135,"NA")</f>
        <v>0</v>
      </c>
      <c r="D355" s="4">
        <f>IFERROR(DONNEES!D133-D135,"NA")</f>
        <v>0</v>
      </c>
      <c r="E355" s="4">
        <f>IFERROR(DONNEES!E133-E135,"NA")</f>
        <v>0</v>
      </c>
      <c r="F355" s="4">
        <f>IFERROR(DONNEES!F133-F135,"NA")</f>
        <v>0</v>
      </c>
      <c r="G355" s="4">
        <f>IFERROR(DONNEES!G133-G135,"NA")</f>
        <v>0</v>
      </c>
      <c r="H355" s="4">
        <f>IFERROR(DONNEES!H133-H135,"NA")</f>
        <v>0</v>
      </c>
      <c r="I355" s="4">
        <f>IFERROR(DONNEES!I133-I135,"NA")</f>
        <v>0</v>
      </c>
      <c r="J355" s="4">
        <f>IFERROR(DONNEES!J133-J135,"NA")</f>
        <v>0</v>
      </c>
      <c r="K355" s="4">
        <f>IFERROR(DONNEES!K133-K135,"NA")</f>
        <v>0</v>
      </c>
      <c r="L355" s="4">
        <f>IFERROR(DONNEES!L133-L135,"NA")</f>
        <v>0</v>
      </c>
      <c r="M355" s="4">
        <f>IFERROR(DONNEES!M133-M135,"NA")</f>
        <v>0</v>
      </c>
      <c r="N355" s="4">
        <f>IFERROR(DONNEES!N133-N135,"NA")</f>
        <v>0.6231760493974432</v>
      </c>
      <c r="O355" s="4">
        <f>IFERROR(DONNEES!O133-O135,"NA")</f>
        <v>0</v>
      </c>
    </row>
    <row r="356" spans="1:15" x14ac:dyDescent="0.3">
      <c r="A356" t="s">
        <v>298</v>
      </c>
      <c r="B356" s="4" t="str">
        <f>IFERROR(DONNEES!B134-B136,"NA")</f>
        <v>NA</v>
      </c>
      <c r="C356" s="4" t="str">
        <f>IFERROR(DONNEES!C134-C136,"NA")</f>
        <v>NA</v>
      </c>
      <c r="D356" s="4">
        <f>IFERROR(DONNEES!D134-D136,"NA")</f>
        <v>0</v>
      </c>
      <c r="E356" s="4">
        <f>IFERROR(DONNEES!E134-E136,"NA")</f>
        <v>0</v>
      </c>
      <c r="F356" s="4">
        <f>IFERROR(DONNEES!F134-F136,"NA")</f>
        <v>0</v>
      </c>
      <c r="G356" s="4">
        <f>IFERROR(DONNEES!G134-G136,"NA")</f>
        <v>0</v>
      </c>
      <c r="H356" s="4">
        <f>IFERROR(DONNEES!H134-H136,"NA")</f>
        <v>0</v>
      </c>
      <c r="I356" s="4">
        <f>IFERROR(DONNEES!I134-I136,"NA")</f>
        <v>0</v>
      </c>
      <c r="J356" s="4">
        <f>IFERROR(DONNEES!J134-J136,"NA")</f>
        <v>0</v>
      </c>
      <c r="K356" s="4">
        <f>IFERROR(DONNEES!K134-K136,"NA")</f>
        <v>0</v>
      </c>
      <c r="L356" s="4">
        <f>IFERROR(DONNEES!L134-L136,"NA")</f>
        <v>0</v>
      </c>
      <c r="M356" s="4">
        <f>IFERROR(DONNEES!M134-M136,"NA")</f>
        <v>0</v>
      </c>
      <c r="N356" s="4">
        <f>IFERROR(DONNEES!N134-N136,"NA")</f>
        <v>1.3226233653899657</v>
      </c>
      <c r="O356" s="4">
        <f>IFERROR(DONNEES!O134-O136,"NA")</f>
        <v>0</v>
      </c>
    </row>
    <row r="357" spans="1:15" x14ac:dyDescent="0.3">
      <c r="A357" t="s">
        <v>300</v>
      </c>
      <c r="B357" s="4">
        <f>IFERROR(DONNEES!B135-B137,"NA")</f>
        <v>0</v>
      </c>
      <c r="C357" s="4">
        <f>IFERROR(DONNEES!C135-C137,"NA")</f>
        <v>0</v>
      </c>
      <c r="D357" s="4">
        <f>IFERROR(DONNEES!D135-D137,"NA")</f>
        <v>0</v>
      </c>
      <c r="E357" s="4">
        <f>IFERROR(DONNEES!E135-E137,"NA")</f>
        <v>0</v>
      </c>
      <c r="F357" s="4">
        <f>IFERROR(DONNEES!F135-F137,"NA")</f>
        <v>0</v>
      </c>
      <c r="G357" s="4">
        <f>IFERROR(DONNEES!G135-G137,"NA")</f>
        <v>0</v>
      </c>
      <c r="H357" s="4">
        <f>IFERROR(DONNEES!H135-H137,"NA")</f>
        <v>0</v>
      </c>
      <c r="I357" s="4" t="str">
        <f>IFERROR(DONNEES!I135-I137,"NA")</f>
        <v>NA</v>
      </c>
      <c r="J357" s="4" t="str">
        <f>IFERROR(DONNEES!J135-J137,"NA")</f>
        <v>NA</v>
      </c>
      <c r="K357" s="4" t="str">
        <f>IFERROR(DONNEES!K135-K137,"NA")</f>
        <v>NA</v>
      </c>
      <c r="L357" s="4">
        <f>IFERROR(DONNEES!L135-L137,"NA")</f>
        <v>0</v>
      </c>
      <c r="M357" s="4">
        <f>IFERROR(DONNEES!M135-M137,"NA")</f>
        <v>0</v>
      </c>
      <c r="N357" s="4">
        <f>IFERROR(DONNEES!N135-N137,"NA")</f>
        <v>-0.43562837340869009</v>
      </c>
      <c r="O357" s="4">
        <f>IFERROR(DONNEES!O135-O137,"NA")</f>
        <v>0</v>
      </c>
    </row>
    <row r="358" spans="1:15" x14ac:dyDescent="0.3">
      <c r="A358" t="s">
        <v>302</v>
      </c>
      <c r="B358" s="4">
        <f>IFERROR(DONNEES!B136-B138,"NA")</f>
        <v>0</v>
      </c>
      <c r="C358" s="4">
        <f>IFERROR(DONNEES!C136-C138,"NA")</f>
        <v>0</v>
      </c>
      <c r="D358" s="4" t="str">
        <f>IFERROR(DONNEES!D136-D138,"NA")</f>
        <v>NA</v>
      </c>
      <c r="E358" s="4">
        <f>IFERROR(DONNEES!E136-E138,"NA")</f>
        <v>0</v>
      </c>
      <c r="F358" s="4">
        <f>IFERROR(DONNEES!F136-F138,"NA")</f>
        <v>0</v>
      </c>
      <c r="G358" s="4">
        <f>IFERROR(DONNEES!G136-G138,"NA")</f>
        <v>0</v>
      </c>
      <c r="H358" s="4">
        <f>IFERROR(DONNEES!H136-H138,"NA")</f>
        <v>0</v>
      </c>
      <c r="I358" s="4">
        <f>IFERROR(DONNEES!I136-I138,"NA")</f>
        <v>0</v>
      </c>
      <c r="J358" s="4">
        <f>IFERROR(DONNEES!J136-J138,"NA")</f>
        <v>0</v>
      </c>
      <c r="K358" s="4">
        <f>IFERROR(DONNEES!K136-K138,"NA")</f>
        <v>0</v>
      </c>
      <c r="L358" s="4">
        <f>IFERROR(DONNEES!L136-L138,"NA")</f>
        <v>0</v>
      </c>
      <c r="M358" s="4">
        <f>IFERROR(DONNEES!M136-M138,"NA")</f>
        <v>0</v>
      </c>
      <c r="N358" s="4">
        <f>IFERROR(DONNEES!N136-N138,"NA")</f>
        <v>-1.1246140543371437</v>
      </c>
      <c r="O358" s="4">
        <f>IFERROR(DONNEES!O136-O138,"NA")</f>
        <v>0</v>
      </c>
    </row>
    <row r="359" spans="1:15" x14ac:dyDescent="0.3">
      <c r="A359" t="s">
        <v>304</v>
      </c>
      <c r="B359" s="4">
        <f>IFERROR(DONNEES!B137-B139,"NA")</f>
        <v>0</v>
      </c>
      <c r="C359" s="4">
        <f>IFERROR(DONNEES!C137-C139,"NA")</f>
        <v>0</v>
      </c>
      <c r="D359" s="4" t="str">
        <f>IFERROR(DONNEES!D137-D139,"NA")</f>
        <v>NA</v>
      </c>
      <c r="E359" s="4">
        <f>IFERROR(DONNEES!E137-E139,"NA")</f>
        <v>0</v>
      </c>
      <c r="F359" s="4">
        <f>IFERROR(DONNEES!F137-F139,"NA")</f>
        <v>0</v>
      </c>
      <c r="G359" s="4">
        <f>IFERROR(DONNEES!G137-G139,"NA")</f>
        <v>0</v>
      </c>
      <c r="H359" s="4">
        <f>IFERROR(DONNEES!H137-H139,"NA")</f>
        <v>0</v>
      </c>
      <c r="I359" s="4">
        <f>IFERROR(DONNEES!I137-I139,"NA")</f>
        <v>0</v>
      </c>
      <c r="J359" s="4">
        <f>IFERROR(DONNEES!J137-J139,"NA")</f>
        <v>0</v>
      </c>
      <c r="K359" s="4">
        <f>IFERROR(DONNEES!K137-K139,"NA")</f>
        <v>0</v>
      </c>
      <c r="L359" s="4">
        <f>IFERROR(DONNEES!L137-L139,"NA")</f>
        <v>0</v>
      </c>
      <c r="M359" s="4">
        <f>IFERROR(DONNEES!M137-M139,"NA")</f>
        <v>0</v>
      </c>
      <c r="N359" s="4">
        <f>IFERROR(DONNEES!N137-N139,"NA")</f>
        <v>-0.81271631586908633</v>
      </c>
      <c r="O359" s="4">
        <f>IFERROR(DONNEES!O137-O139,"NA")</f>
        <v>0</v>
      </c>
    </row>
    <row r="360" spans="1:15" x14ac:dyDescent="0.3">
      <c r="A360" t="s">
        <v>306</v>
      </c>
      <c r="B360" s="4">
        <f>IFERROR(DONNEES!B138-B140,"NA")</f>
        <v>0</v>
      </c>
      <c r="C360" s="4">
        <f>IFERROR(DONNEES!C138-C140,"NA")</f>
        <v>0</v>
      </c>
      <c r="D360" s="4">
        <f>IFERROR(DONNEES!D138-D140,"NA")</f>
        <v>0</v>
      </c>
      <c r="E360" s="4">
        <f>IFERROR(DONNEES!E138-E140,"NA")</f>
        <v>0</v>
      </c>
      <c r="F360" s="4">
        <f>IFERROR(DONNEES!F138-F140,"NA")</f>
        <v>0</v>
      </c>
      <c r="G360" s="4">
        <f>IFERROR(DONNEES!G138-G140,"NA")</f>
        <v>0</v>
      </c>
      <c r="H360" s="4">
        <f>IFERROR(DONNEES!H138-H140,"NA")</f>
        <v>0</v>
      </c>
      <c r="I360" s="4">
        <f>IFERROR(DONNEES!I138-I140,"NA")</f>
        <v>0</v>
      </c>
      <c r="J360" s="4">
        <f>IFERROR(DONNEES!J138-J140,"NA")</f>
        <v>0</v>
      </c>
      <c r="K360" s="4">
        <f>IFERROR(DONNEES!K138-K140,"NA")</f>
        <v>0</v>
      </c>
      <c r="L360" s="4">
        <f>IFERROR(DONNEES!L138-L140,"NA")</f>
        <v>0</v>
      </c>
      <c r="M360" s="4">
        <f>IFERROR(DONNEES!M138-M140,"NA")</f>
        <v>0</v>
      </c>
      <c r="N360" s="4">
        <f>IFERROR(DONNEES!N138-N140,"NA")</f>
        <v>-1.5207103356563791</v>
      </c>
      <c r="O360" s="4">
        <f>IFERROR(DONNEES!O138-O140,"NA")</f>
        <v>0</v>
      </c>
    </row>
    <row r="361" spans="1:15" x14ac:dyDescent="0.3">
      <c r="A361" t="s">
        <v>308</v>
      </c>
      <c r="B361" s="4" t="str">
        <f>IFERROR(DONNEES!B139-B141,"NA")</f>
        <v>NA</v>
      </c>
      <c r="C361" s="4" t="str">
        <f>IFERROR(DONNEES!C139-C141,"NA")</f>
        <v>NA</v>
      </c>
      <c r="D361" s="4" t="str">
        <f>IFERROR(DONNEES!D139-D141,"NA")</f>
        <v>NA</v>
      </c>
      <c r="E361" s="4">
        <f>IFERROR(DONNEES!E139-E141,"NA")</f>
        <v>0</v>
      </c>
      <c r="F361" s="4">
        <f>IFERROR(DONNEES!F139-F141,"NA")</f>
        <v>0</v>
      </c>
      <c r="G361" s="4">
        <f>IFERROR(DONNEES!G139-G141,"NA")</f>
        <v>0</v>
      </c>
      <c r="H361" s="4">
        <f>IFERROR(DONNEES!H139-H141,"NA")</f>
        <v>0</v>
      </c>
      <c r="I361" s="4">
        <f>IFERROR(DONNEES!I139-I141,"NA")</f>
        <v>0</v>
      </c>
      <c r="J361" s="4">
        <f>IFERROR(DONNEES!J139-J141,"NA")</f>
        <v>0</v>
      </c>
      <c r="K361" s="4">
        <f>IFERROR(DONNEES!K139-K141,"NA")</f>
        <v>0</v>
      </c>
      <c r="L361" s="4">
        <f>IFERROR(DONNEES!L139-L141,"NA")</f>
        <v>0</v>
      </c>
      <c r="M361" s="4">
        <f>IFERROR(DONNEES!M139-M141,"NA")</f>
        <v>0</v>
      </c>
      <c r="N361" s="4">
        <f>IFERROR(DONNEES!N139-N141,"NA")</f>
        <v>-0.50388736563424286</v>
      </c>
      <c r="O361" s="4">
        <f>IFERROR(DONNEES!O139-O141,"NA")</f>
        <v>0</v>
      </c>
    </row>
    <row r="362" spans="1:15" x14ac:dyDescent="0.3">
      <c r="A362" t="s">
        <v>310</v>
      </c>
      <c r="B362" s="4">
        <f>IFERROR(DONNEES!B140-B142,"NA")</f>
        <v>0</v>
      </c>
      <c r="C362" s="4">
        <f>IFERROR(DONNEES!C140-C142,"NA")</f>
        <v>0</v>
      </c>
      <c r="D362" s="4">
        <f>IFERROR(DONNEES!D140-D142,"NA")</f>
        <v>0</v>
      </c>
      <c r="E362" s="4">
        <f>IFERROR(DONNEES!E140-E142,"NA")</f>
        <v>0</v>
      </c>
      <c r="F362" s="4">
        <f>IFERROR(DONNEES!F140-F142,"NA")</f>
        <v>0</v>
      </c>
      <c r="G362" s="4">
        <f>IFERROR(DONNEES!G140-G142,"NA")</f>
        <v>0</v>
      </c>
      <c r="H362" s="4">
        <f>IFERROR(DONNEES!H140-H142,"NA")</f>
        <v>0</v>
      </c>
      <c r="I362" s="4">
        <f>IFERROR(DONNEES!I140-I142,"NA")</f>
        <v>0</v>
      </c>
      <c r="J362" s="4">
        <f>IFERROR(DONNEES!J140-J142,"NA")</f>
        <v>0</v>
      </c>
      <c r="K362" s="4">
        <f>IFERROR(DONNEES!K140-K142,"NA")</f>
        <v>0</v>
      </c>
      <c r="L362" s="4">
        <f>IFERROR(DONNEES!L140-L142,"NA")</f>
        <v>0</v>
      </c>
      <c r="M362" s="4">
        <f>IFERROR(DONNEES!M140-M142,"NA")</f>
        <v>0</v>
      </c>
      <c r="N362" s="4">
        <f>IFERROR(DONNEES!N140-N142,"NA")</f>
        <v>-2.4521189076864776</v>
      </c>
      <c r="O362" s="4">
        <f>IFERROR(DONNEES!O140-O142,"NA")</f>
        <v>0</v>
      </c>
    </row>
    <row r="363" spans="1:15" x14ac:dyDescent="0.3">
      <c r="A363" t="s">
        <v>312</v>
      </c>
      <c r="B363" s="4">
        <f>IFERROR(DONNEES!B141-B143,"NA")</f>
        <v>0</v>
      </c>
      <c r="C363" s="4">
        <f>IFERROR(DONNEES!C141-C143,"NA")</f>
        <v>0</v>
      </c>
      <c r="D363" s="4">
        <f>IFERROR(DONNEES!D141-D143,"NA")</f>
        <v>0</v>
      </c>
      <c r="E363" s="4">
        <f>IFERROR(DONNEES!E141-E143,"NA")</f>
        <v>0</v>
      </c>
      <c r="F363" s="4">
        <f>IFERROR(DONNEES!F141-F143,"NA")</f>
        <v>0</v>
      </c>
      <c r="G363" s="4">
        <f>IFERROR(DONNEES!G141-G143,"NA")</f>
        <v>0</v>
      </c>
      <c r="H363" s="4">
        <f>IFERROR(DONNEES!H141-H143,"NA")</f>
        <v>0</v>
      </c>
      <c r="I363" s="4">
        <f>IFERROR(DONNEES!I141-I143,"NA")</f>
        <v>0</v>
      </c>
      <c r="J363" s="4" t="str">
        <f>IFERROR(DONNEES!J141-J143,"NA")</f>
        <v>NA</v>
      </c>
      <c r="K363" s="4">
        <f>IFERROR(DONNEES!K141-K143,"NA")</f>
        <v>0</v>
      </c>
      <c r="L363" s="4">
        <f>IFERROR(DONNEES!L141-L143,"NA")</f>
        <v>0</v>
      </c>
      <c r="M363" s="4">
        <f>IFERROR(DONNEES!M141-M143,"NA")</f>
        <v>0</v>
      </c>
      <c r="N363" s="4">
        <f>IFERROR(DONNEES!N141-N143,"NA")</f>
        <v>2.5913757458329192</v>
      </c>
      <c r="O363" s="4">
        <f>IFERROR(DONNEES!O141-O143,"NA")</f>
        <v>0</v>
      </c>
    </row>
    <row r="364" spans="1:15" x14ac:dyDescent="0.3">
      <c r="A364" t="s">
        <v>314</v>
      </c>
      <c r="B364" s="4" t="str">
        <f>IFERROR(DONNEES!B142-B144,"NA")</f>
        <v>NA</v>
      </c>
      <c r="C364" s="4" t="str">
        <f>IFERROR(DONNEES!C142-C144,"NA")</f>
        <v>NA</v>
      </c>
      <c r="D364" s="4">
        <f>IFERROR(DONNEES!D142-D144,"NA")</f>
        <v>0</v>
      </c>
      <c r="E364" s="4">
        <f>IFERROR(DONNEES!E142-E144,"NA")</f>
        <v>0</v>
      </c>
      <c r="F364" s="4">
        <f>IFERROR(DONNEES!F142-F144,"NA")</f>
        <v>0</v>
      </c>
      <c r="G364" s="4">
        <f>IFERROR(DONNEES!G142-G144,"NA")</f>
        <v>0</v>
      </c>
      <c r="H364" s="4" t="str">
        <f>IFERROR(DONNEES!H142-H144,"NA")</f>
        <v>NA</v>
      </c>
      <c r="I364" s="4" t="str">
        <f>IFERROR(DONNEES!I142-I144,"NA")</f>
        <v>NA</v>
      </c>
      <c r="J364" s="4" t="str">
        <f>IFERROR(DONNEES!J142-J144,"NA")</f>
        <v>NA</v>
      </c>
      <c r="K364" s="4" t="str">
        <f>IFERROR(DONNEES!K142-K144,"NA")</f>
        <v>NA</v>
      </c>
      <c r="L364" s="4" t="str">
        <f>IFERROR(DONNEES!L142-L144,"NA")</f>
        <v>NA</v>
      </c>
      <c r="M364" s="4" t="str">
        <f>IFERROR(DONNEES!M142-M144,"NA")</f>
        <v>NA</v>
      </c>
      <c r="N364" s="4" t="str">
        <f>IFERROR(DONNEES!N142-N144,"NA")</f>
        <v>NA</v>
      </c>
      <c r="O364" s="4" t="str">
        <f>IFERROR(DONNEES!O142-O144,"NA")</f>
        <v>NA</v>
      </c>
    </row>
    <row r="365" spans="1:15" x14ac:dyDescent="0.3">
      <c r="A365" t="s">
        <v>316</v>
      </c>
      <c r="B365" s="4">
        <f>IFERROR(DONNEES!B143-B145,"NA")</f>
        <v>0</v>
      </c>
      <c r="C365" s="4">
        <f>IFERROR(DONNEES!C143-C145,"NA")</f>
        <v>0</v>
      </c>
      <c r="D365" s="4">
        <f>IFERROR(DONNEES!D143-D145,"NA")</f>
        <v>0</v>
      </c>
      <c r="E365" s="4">
        <f>IFERROR(DONNEES!E143-E145,"NA")</f>
        <v>0</v>
      </c>
      <c r="F365" s="4">
        <f>IFERROR(DONNEES!F143-F145,"NA")</f>
        <v>0</v>
      </c>
      <c r="G365" s="4">
        <f>IFERROR(DONNEES!G143-G145,"NA")</f>
        <v>0</v>
      </c>
      <c r="H365" s="4">
        <f>IFERROR(DONNEES!H143-H145,"NA")</f>
        <v>0</v>
      </c>
      <c r="I365" s="4">
        <f>IFERROR(DONNEES!I143-I145,"NA")</f>
        <v>0</v>
      </c>
      <c r="J365" s="4">
        <f>IFERROR(DONNEES!J143-J145,"NA")</f>
        <v>0</v>
      </c>
      <c r="K365" s="4">
        <f>IFERROR(DONNEES!K143-K145,"NA")</f>
        <v>0</v>
      </c>
      <c r="L365" s="4">
        <f>IFERROR(DONNEES!L143-L145,"NA")</f>
        <v>0</v>
      </c>
      <c r="M365" s="4">
        <f>IFERROR(DONNEES!M143-M145,"NA")</f>
        <v>0</v>
      </c>
      <c r="N365" s="4">
        <f>IFERROR(DONNEES!N143-N145,"NA")</f>
        <v>2.9732376659909878</v>
      </c>
      <c r="O365" s="4">
        <f>IFERROR(DONNEES!O143-O145,"NA")</f>
        <v>0</v>
      </c>
    </row>
    <row r="366" spans="1:15" x14ac:dyDescent="0.3">
      <c r="A366" t="s">
        <v>318</v>
      </c>
      <c r="B366" s="4">
        <f>IFERROR(DONNEES!B144-B146,"NA")</f>
        <v>0</v>
      </c>
      <c r="C366" s="4">
        <f>IFERROR(DONNEES!C144-C146,"NA")</f>
        <v>0</v>
      </c>
      <c r="D366" s="4">
        <f>IFERROR(DONNEES!D144-D146,"NA")</f>
        <v>0</v>
      </c>
      <c r="E366" s="4">
        <f>IFERROR(DONNEES!E144-E146,"NA")</f>
        <v>0</v>
      </c>
      <c r="F366" s="4">
        <f>IFERROR(DONNEES!F144-F146,"NA")</f>
        <v>0</v>
      </c>
      <c r="G366" s="4">
        <f>IFERROR(DONNEES!G144-G146,"NA")</f>
        <v>0</v>
      </c>
      <c r="H366" s="4">
        <f>IFERROR(DONNEES!H144-H146,"NA")</f>
        <v>0</v>
      </c>
      <c r="I366" s="4">
        <f>IFERROR(DONNEES!I144-I146,"NA")</f>
        <v>0</v>
      </c>
      <c r="J366" s="4">
        <f>IFERROR(DONNEES!J144-J146,"NA")</f>
        <v>0</v>
      </c>
      <c r="K366" s="4">
        <f>IFERROR(DONNEES!K144-K146,"NA")</f>
        <v>0</v>
      </c>
      <c r="L366" s="4">
        <f>IFERROR(DONNEES!L144-L146,"NA")</f>
        <v>0</v>
      </c>
      <c r="M366" s="4">
        <f>IFERROR(DONNEES!M144-M146,"NA")</f>
        <v>0</v>
      </c>
      <c r="N366" s="4">
        <f>IFERROR(DONNEES!N144-N146,"NA")</f>
        <v>-8.816928913195865E-2</v>
      </c>
      <c r="O366" s="4">
        <f>IFERROR(DONNEES!O144-O146,"NA")</f>
        <v>0</v>
      </c>
    </row>
    <row r="367" spans="1:15" x14ac:dyDescent="0.3">
      <c r="A367" t="s">
        <v>320</v>
      </c>
      <c r="B367" s="4">
        <f>IFERROR(DONNEES!B145-B147,"NA")</f>
        <v>0</v>
      </c>
      <c r="C367" s="4">
        <f>IFERROR(DONNEES!C145-C147,"NA")</f>
        <v>0</v>
      </c>
      <c r="D367" s="4">
        <f>IFERROR(DONNEES!D145-D147,"NA")</f>
        <v>0</v>
      </c>
      <c r="E367" s="4">
        <f>IFERROR(DONNEES!E145-E147,"NA")</f>
        <v>0</v>
      </c>
      <c r="F367" s="4">
        <f>IFERROR(DONNEES!F145-F147,"NA")</f>
        <v>0</v>
      </c>
      <c r="G367" s="4">
        <f>IFERROR(DONNEES!G145-G147,"NA")</f>
        <v>0</v>
      </c>
      <c r="H367" s="4">
        <f>IFERROR(DONNEES!H145-H147,"NA")</f>
        <v>0</v>
      </c>
      <c r="I367" s="4">
        <f>IFERROR(DONNEES!I145-I147,"NA")</f>
        <v>0</v>
      </c>
      <c r="J367" s="4">
        <f>IFERROR(DONNEES!J145-J147,"NA")</f>
        <v>0</v>
      </c>
      <c r="K367" s="4">
        <f>IFERROR(DONNEES!K145-K147,"NA")</f>
        <v>0</v>
      </c>
      <c r="L367" s="4">
        <f>IFERROR(DONNEES!L145-L147,"NA")</f>
        <v>0</v>
      </c>
      <c r="M367" s="4">
        <f>IFERROR(DONNEES!M145-M147,"NA")</f>
        <v>0</v>
      </c>
      <c r="N367" s="4">
        <f>IFERROR(DONNEES!N145-N147,"NA")</f>
        <v>-0.30260384874418361</v>
      </c>
      <c r="O367" s="4">
        <f>IFERROR(DONNEES!O145-O147,"NA")</f>
        <v>0</v>
      </c>
    </row>
    <row r="368" spans="1:15" x14ac:dyDescent="0.3">
      <c r="A368" t="s">
        <v>322</v>
      </c>
      <c r="B368" s="4">
        <f>IFERROR(DONNEES!B146-B148,"NA")</f>
        <v>0</v>
      </c>
      <c r="C368" s="4">
        <f>IFERROR(DONNEES!C146-C148,"NA")</f>
        <v>0</v>
      </c>
      <c r="D368" s="4" t="str">
        <f>IFERROR(DONNEES!D146-D148,"NA")</f>
        <v>NA</v>
      </c>
      <c r="E368" s="4">
        <f>IFERROR(DONNEES!E146-E148,"NA")</f>
        <v>0</v>
      </c>
      <c r="F368" s="4">
        <f>IFERROR(DONNEES!F146-F148,"NA")</f>
        <v>0</v>
      </c>
      <c r="G368" s="4">
        <f>IFERROR(DONNEES!G146-G148,"NA")</f>
        <v>0</v>
      </c>
      <c r="H368" s="4">
        <f>IFERROR(DONNEES!H146-H148,"NA")</f>
        <v>0</v>
      </c>
      <c r="I368" s="4">
        <f>IFERROR(DONNEES!I146-I148,"NA")</f>
        <v>0</v>
      </c>
      <c r="J368" s="4">
        <f>IFERROR(DONNEES!J146-J148,"NA")</f>
        <v>0</v>
      </c>
      <c r="K368" s="4">
        <f>IFERROR(DONNEES!K146-K148,"NA")</f>
        <v>0</v>
      </c>
      <c r="L368" s="4">
        <f>IFERROR(DONNEES!L146-L148,"NA")</f>
        <v>0</v>
      </c>
      <c r="M368" s="4">
        <f>IFERROR(DONNEES!M146-M148,"NA")</f>
        <v>0</v>
      </c>
      <c r="N368" s="4">
        <f>IFERROR(DONNEES!N146-N148,"NA")</f>
        <v>-3.040281491974989</v>
      </c>
      <c r="O368" s="4">
        <f>IFERROR(DONNEES!O146-O148,"NA")</f>
        <v>0</v>
      </c>
    </row>
    <row r="369" spans="1:15" x14ac:dyDescent="0.3">
      <c r="A369" t="s">
        <v>324</v>
      </c>
      <c r="B369" s="4">
        <f>IFERROR(DONNEES!B147-B149,"NA")</f>
        <v>0</v>
      </c>
      <c r="C369" s="4">
        <f>IFERROR(DONNEES!C147-C149,"NA")</f>
        <v>0</v>
      </c>
      <c r="D369" s="4">
        <f>IFERROR(DONNEES!D147-D149,"NA")</f>
        <v>0</v>
      </c>
      <c r="E369" s="4">
        <f>IFERROR(DONNEES!E147-E149,"NA")</f>
        <v>0</v>
      </c>
      <c r="F369" s="4">
        <f>IFERROR(DONNEES!F147-F149,"NA")</f>
        <v>0</v>
      </c>
      <c r="G369" s="4">
        <f>IFERROR(DONNEES!G147-G149,"NA")</f>
        <v>0</v>
      </c>
      <c r="H369" s="4">
        <f>IFERROR(DONNEES!H147-H149,"NA")</f>
        <v>0</v>
      </c>
      <c r="I369" s="4">
        <f>IFERROR(DONNEES!I147-I149,"NA")</f>
        <v>0</v>
      </c>
      <c r="J369" s="4">
        <f>IFERROR(DONNEES!J147-J149,"NA")</f>
        <v>0</v>
      </c>
      <c r="K369" s="4">
        <f>IFERROR(DONNEES!K147-K149,"NA")</f>
        <v>0</v>
      </c>
      <c r="L369" s="4">
        <f>IFERROR(DONNEES!L147-L149,"NA")</f>
        <v>0</v>
      </c>
      <c r="M369" s="4">
        <f>IFERROR(DONNEES!M147-M149,"NA")</f>
        <v>0</v>
      </c>
      <c r="N369" s="4">
        <f>IFERROR(DONNEES!N147-N149,"NA")</f>
        <v>-0.76805261972670769</v>
      </c>
      <c r="O369" s="4">
        <f>IFERROR(DONNEES!O147-O149,"NA")</f>
        <v>0</v>
      </c>
    </row>
    <row r="370" spans="1:15" x14ac:dyDescent="0.3">
      <c r="A370" t="s">
        <v>326</v>
      </c>
      <c r="B370" s="4" t="str">
        <f>IFERROR(DONNEES!B148-B150,"NA")</f>
        <v>NA</v>
      </c>
      <c r="C370" s="4" t="str">
        <f>IFERROR(DONNEES!C148-C150,"NA")</f>
        <v>NA</v>
      </c>
      <c r="D370" s="4" t="str">
        <f>IFERROR(DONNEES!D148-D150,"NA")</f>
        <v>NA</v>
      </c>
      <c r="E370" s="4">
        <f>IFERROR(DONNEES!E148-E150,"NA")</f>
        <v>0</v>
      </c>
      <c r="F370" s="4">
        <f>IFERROR(DONNEES!F148-F150,"NA")</f>
        <v>0</v>
      </c>
      <c r="G370" s="4" t="str">
        <f>IFERROR(DONNEES!G148-G150,"NA")</f>
        <v>NA</v>
      </c>
      <c r="H370" s="4" t="str">
        <f>IFERROR(DONNEES!H148-H150,"NA")</f>
        <v>NA</v>
      </c>
      <c r="I370" s="4">
        <f>IFERROR(DONNEES!I148-I150,"NA")</f>
        <v>0</v>
      </c>
      <c r="J370" s="4">
        <f>IFERROR(DONNEES!J148-J150,"NA")</f>
        <v>0</v>
      </c>
      <c r="K370" s="4">
        <f>IFERROR(DONNEES!K148-K150,"NA")</f>
        <v>0</v>
      </c>
      <c r="L370" s="4" t="str">
        <f>IFERROR(DONNEES!L148-L150,"NA")</f>
        <v>NA</v>
      </c>
      <c r="M370" s="4" t="str">
        <f>IFERROR(DONNEES!M148-M150,"NA")</f>
        <v>NA</v>
      </c>
      <c r="N370" s="4" t="str">
        <f>IFERROR(DONNEES!N148-N150,"NA")</f>
        <v>NA</v>
      </c>
      <c r="O370" s="4" t="str">
        <f>IFERROR(DONNEES!O148-O150,"NA")</f>
        <v>NA</v>
      </c>
    </row>
    <row r="371" spans="1:15" x14ac:dyDescent="0.3">
      <c r="A371" t="s">
        <v>328</v>
      </c>
      <c r="B371" s="4">
        <f>IFERROR(DONNEES!B149-B151,"NA")</f>
        <v>0</v>
      </c>
      <c r="C371" s="4">
        <f>IFERROR(DONNEES!C149-C151,"NA")</f>
        <v>0</v>
      </c>
      <c r="D371" s="4">
        <f>IFERROR(DONNEES!D149-D151,"NA")</f>
        <v>0</v>
      </c>
      <c r="E371" s="4">
        <f>IFERROR(DONNEES!E149-E151,"NA")</f>
        <v>0</v>
      </c>
      <c r="F371" s="4">
        <f>IFERROR(DONNEES!F149-F151,"NA")</f>
        <v>0</v>
      </c>
      <c r="G371" s="4">
        <f>IFERROR(DONNEES!G149-G151,"NA")</f>
        <v>0</v>
      </c>
      <c r="H371" s="4">
        <f>IFERROR(DONNEES!H149-H151,"NA")</f>
        <v>0</v>
      </c>
      <c r="I371" s="4">
        <f>IFERROR(DONNEES!I149-I151,"NA")</f>
        <v>0</v>
      </c>
      <c r="J371" s="4">
        <f>IFERROR(DONNEES!J149-J151,"NA")</f>
        <v>0</v>
      </c>
      <c r="K371" s="4" t="str">
        <f>IFERROR(DONNEES!K149-K151,"NA")</f>
        <v>NA</v>
      </c>
      <c r="L371" s="4">
        <f>IFERROR(DONNEES!L149-L151,"NA")</f>
        <v>0</v>
      </c>
      <c r="M371" s="4">
        <f>IFERROR(DONNEES!M149-M151,"NA")</f>
        <v>0</v>
      </c>
      <c r="N371" s="4">
        <f>IFERROR(DONNEES!N149-N151,"NA")</f>
        <v>1.094367365042368</v>
      </c>
      <c r="O371" s="4">
        <f>IFERROR(DONNEES!O149-O151,"NA")</f>
        <v>0</v>
      </c>
    </row>
    <row r="372" spans="1:15" x14ac:dyDescent="0.3">
      <c r="A372" t="s">
        <v>330</v>
      </c>
      <c r="B372" s="4">
        <f>IFERROR(DONNEES!B150-B152,"NA")</f>
        <v>0</v>
      </c>
      <c r="C372" s="4">
        <f>IFERROR(DONNEES!C150-C152,"NA")</f>
        <v>0</v>
      </c>
      <c r="D372" s="4">
        <f>IFERROR(DONNEES!D150-D152,"NA")</f>
        <v>0</v>
      </c>
      <c r="E372" s="4">
        <f>IFERROR(DONNEES!E150-E152,"NA")</f>
        <v>0</v>
      </c>
      <c r="F372" s="4">
        <f>IFERROR(DONNEES!F150-F152,"NA")</f>
        <v>0</v>
      </c>
      <c r="G372" s="4">
        <f>IFERROR(DONNEES!G150-G152,"NA")</f>
        <v>0</v>
      </c>
      <c r="H372" s="4">
        <f>IFERROR(DONNEES!H150-H152,"NA")</f>
        <v>0</v>
      </c>
      <c r="I372" s="4">
        <f>IFERROR(DONNEES!I150-I152,"NA")</f>
        <v>0</v>
      </c>
      <c r="J372" s="4">
        <f>IFERROR(DONNEES!J150-J152,"NA")</f>
        <v>0</v>
      </c>
      <c r="K372" s="4">
        <f>IFERROR(DONNEES!K150-K152,"NA")</f>
        <v>0</v>
      </c>
      <c r="L372" s="4">
        <f>IFERROR(DONNEES!L150-L152,"NA")</f>
        <v>0</v>
      </c>
      <c r="M372" s="4">
        <f>IFERROR(DONNEES!M150-M152,"NA")</f>
        <v>0</v>
      </c>
      <c r="N372" s="4">
        <f>IFERROR(DONNEES!N150-N152,"NA")</f>
        <v>0.61056726427826413</v>
      </c>
      <c r="O372" s="4">
        <f>IFERROR(DONNEES!O150-O152,"NA")</f>
        <v>0</v>
      </c>
    </row>
    <row r="373" spans="1:15" x14ac:dyDescent="0.3">
      <c r="A373" t="s">
        <v>332</v>
      </c>
      <c r="B373" s="4">
        <f>IFERROR(DONNEES!B151-B153,"NA")</f>
        <v>0</v>
      </c>
      <c r="C373" s="4">
        <f>IFERROR(DONNEES!C151-C153,"NA")</f>
        <v>0</v>
      </c>
      <c r="D373" s="4">
        <f>IFERROR(DONNEES!D151-D153,"NA")</f>
        <v>0</v>
      </c>
      <c r="E373" s="4">
        <f>IFERROR(DONNEES!E151-E153,"NA")</f>
        <v>0</v>
      </c>
      <c r="F373" s="4">
        <f>IFERROR(DONNEES!F151-F153,"NA")</f>
        <v>0</v>
      </c>
      <c r="G373" s="4">
        <f>IFERROR(DONNEES!G151-G153,"NA")</f>
        <v>0</v>
      </c>
      <c r="H373" s="4">
        <f>IFERROR(DONNEES!H151-H153,"NA")</f>
        <v>0</v>
      </c>
      <c r="I373" s="4">
        <f>IFERROR(DONNEES!I151-I153,"NA")</f>
        <v>0</v>
      </c>
      <c r="J373" s="4">
        <f>IFERROR(DONNEES!J151-J153,"NA")</f>
        <v>0</v>
      </c>
      <c r="K373" s="4">
        <f>IFERROR(DONNEES!K151-K153,"NA")</f>
        <v>0</v>
      </c>
      <c r="L373" s="4">
        <f>IFERROR(DONNEES!L151-L153,"NA")</f>
        <v>0</v>
      </c>
      <c r="M373" s="4">
        <f>IFERROR(DONNEES!M151-M153,"NA")</f>
        <v>0</v>
      </c>
      <c r="N373" s="4">
        <f>IFERROR(DONNEES!N151-N153,"NA")</f>
        <v>-1.22515882054961E-2</v>
      </c>
      <c r="O373" s="4">
        <f>IFERROR(DONNEES!O151-O153,"NA")</f>
        <v>0</v>
      </c>
    </row>
    <row r="374" spans="1:15" x14ac:dyDescent="0.3">
      <c r="A374" t="s">
        <v>334</v>
      </c>
      <c r="B374" s="4" t="str">
        <f>IFERROR(DONNEES!B152-B154,"NA")</f>
        <v>NA</v>
      </c>
      <c r="C374" s="4" t="str">
        <f>IFERROR(DONNEES!C152-C154,"NA")</f>
        <v>NA</v>
      </c>
      <c r="D374" s="4" t="str">
        <f>IFERROR(DONNEES!D152-D154,"NA")</f>
        <v>NA</v>
      </c>
      <c r="E374" s="4">
        <f>IFERROR(DONNEES!E152-E154,"NA")</f>
        <v>0</v>
      </c>
      <c r="F374" s="4">
        <f>IFERROR(DONNEES!F152-F154,"NA")</f>
        <v>0</v>
      </c>
      <c r="G374" s="4">
        <f>IFERROR(DONNEES!G152-G154,"NA")</f>
        <v>0</v>
      </c>
      <c r="H374" s="4">
        <f>IFERROR(DONNEES!H152-H154,"NA")</f>
        <v>0</v>
      </c>
      <c r="I374" s="4">
        <f>IFERROR(DONNEES!I152-I154,"NA")</f>
        <v>0</v>
      </c>
      <c r="J374" s="4">
        <f>IFERROR(DONNEES!J152-J154,"NA")</f>
        <v>0</v>
      </c>
      <c r="K374" s="4">
        <f>IFERROR(DONNEES!K152-K154,"NA")</f>
        <v>0</v>
      </c>
      <c r="L374" s="4">
        <f>IFERROR(DONNEES!L152-L154,"NA")</f>
        <v>0</v>
      </c>
      <c r="M374" s="4">
        <f>IFERROR(DONNEES!M152-M154,"NA")</f>
        <v>0</v>
      </c>
      <c r="N374" s="4">
        <f>IFERROR(DONNEES!N152-N154,"NA")</f>
        <v>1.6157828457653527</v>
      </c>
      <c r="O374" s="4">
        <f>IFERROR(DONNEES!O152-O154,"NA")</f>
        <v>0</v>
      </c>
    </row>
    <row r="375" spans="1:15" x14ac:dyDescent="0.3">
      <c r="A375" t="s">
        <v>336</v>
      </c>
      <c r="B375" s="4">
        <f>IFERROR(DONNEES!B153-B155,"NA")</f>
        <v>0</v>
      </c>
      <c r="C375" s="4">
        <f>IFERROR(DONNEES!C153-C155,"NA")</f>
        <v>0</v>
      </c>
      <c r="D375" s="4">
        <f>IFERROR(DONNEES!D153-D155,"NA")</f>
        <v>0</v>
      </c>
      <c r="E375" s="4">
        <f>IFERROR(DONNEES!E153-E155,"NA")</f>
        <v>0</v>
      </c>
      <c r="F375" s="4">
        <f>IFERROR(DONNEES!F153-F155,"NA")</f>
        <v>0</v>
      </c>
      <c r="G375" s="4">
        <f>IFERROR(DONNEES!G153-G155,"NA")</f>
        <v>0</v>
      </c>
      <c r="H375" s="4">
        <f>IFERROR(DONNEES!H153-H155,"NA")</f>
        <v>0</v>
      </c>
      <c r="I375" s="4">
        <f>IFERROR(DONNEES!I153-I155,"NA")</f>
        <v>0</v>
      </c>
      <c r="J375" s="4">
        <f>IFERROR(DONNEES!J153-J155,"NA")</f>
        <v>0</v>
      </c>
      <c r="K375" s="4">
        <f>IFERROR(DONNEES!K153-K155,"NA")</f>
        <v>0</v>
      </c>
      <c r="L375" s="4">
        <f>IFERROR(DONNEES!L153-L155,"NA")</f>
        <v>0</v>
      </c>
      <c r="M375" s="4">
        <f>IFERROR(DONNEES!M153-M155,"NA")</f>
        <v>0</v>
      </c>
      <c r="N375" s="4">
        <f>IFERROR(DONNEES!N153-N155,"NA")</f>
        <v>0.44761367761141929</v>
      </c>
      <c r="O375" s="4">
        <f>IFERROR(DONNEES!O153-O155,"NA")</f>
        <v>0</v>
      </c>
    </row>
    <row r="376" spans="1:15" x14ac:dyDescent="0.3">
      <c r="A376" t="s">
        <v>338</v>
      </c>
      <c r="B376" s="4">
        <f>IFERROR(DONNEES!B154-B156,"NA")</f>
        <v>0</v>
      </c>
      <c r="C376" s="4">
        <f>IFERROR(DONNEES!C154-C156,"NA")</f>
        <v>0</v>
      </c>
      <c r="D376" s="4">
        <f>IFERROR(DONNEES!D154-D156,"NA")</f>
        <v>0</v>
      </c>
      <c r="E376" s="4">
        <f>IFERROR(DONNEES!E154-E156,"NA")</f>
        <v>0</v>
      </c>
      <c r="F376" s="4">
        <f>IFERROR(DONNEES!F154-F156,"NA")</f>
        <v>0</v>
      </c>
      <c r="G376" s="4">
        <f>IFERROR(DONNEES!G154-G156,"NA")</f>
        <v>0</v>
      </c>
      <c r="H376" s="4">
        <f>IFERROR(DONNEES!H154-H156,"NA")</f>
        <v>0</v>
      </c>
      <c r="I376" s="4">
        <f>IFERROR(DONNEES!I154-I156,"NA")</f>
        <v>0</v>
      </c>
      <c r="J376" s="4">
        <f>IFERROR(DONNEES!J154-J156,"NA")</f>
        <v>0</v>
      </c>
      <c r="K376" s="4">
        <f>IFERROR(DONNEES!K154-K156,"NA")</f>
        <v>0</v>
      </c>
      <c r="L376" s="4">
        <f>IFERROR(DONNEES!L154-L156,"NA")</f>
        <v>0</v>
      </c>
      <c r="M376" s="4">
        <f>IFERROR(DONNEES!M154-M156,"NA")</f>
        <v>0</v>
      </c>
      <c r="N376" s="4">
        <f>IFERROR(DONNEES!N154-N156,"NA")</f>
        <v>-0.34877222908350347</v>
      </c>
      <c r="O376" s="4">
        <f>IFERROR(DONNEES!O154-O156,"NA")</f>
        <v>0</v>
      </c>
    </row>
    <row r="377" spans="1:15" x14ac:dyDescent="0.3">
      <c r="A377" t="s">
        <v>340</v>
      </c>
      <c r="B377" s="4">
        <f>IFERROR(DONNEES!B155-B157,"NA")</f>
        <v>0</v>
      </c>
      <c r="C377" s="4">
        <f>IFERROR(DONNEES!C155-C157,"NA")</f>
        <v>0</v>
      </c>
      <c r="D377" s="4">
        <f>IFERROR(DONNEES!D155-D157,"NA")</f>
        <v>0</v>
      </c>
      <c r="E377" s="4">
        <f>IFERROR(DONNEES!E155-E157,"NA")</f>
        <v>0</v>
      </c>
      <c r="F377" s="4">
        <f>IFERROR(DONNEES!F155-F157,"NA")</f>
        <v>0</v>
      </c>
      <c r="G377" s="4">
        <f>IFERROR(DONNEES!G155-G157,"NA")</f>
        <v>0</v>
      </c>
      <c r="H377" s="4">
        <f>IFERROR(DONNEES!H155-H157,"NA")</f>
        <v>0</v>
      </c>
      <c r="I377" s="4">
        <f>IFERROR(DONNEES!I155-I157,"NA")</f>
        <v>0</v>
      </c>
      <c r="J377" s="4">
        <f>IFERROR(DONNEES!J155-J157,"NA")</f>
        <v>0</v>
      </c>
      <c r="K377" s="4">
        <f>IFERROR(DONNEES!K155-K157,"NA")</f>
        <v>0</v>
      </c>
      <c r="L377" s="4">
        <f>IFERROR(DONNEES!L155-L157,"NA")</f>
        <v>0</v>
      </c>
      <c r="M377" s="4">
        <f>IFERROR(DONNEES!M155-M157,"NA")</f>
        <v>0</v>
      </c>
      <c r="N377" s="4">
        <f>IFERROR(DONNEES!N155-N157,"NA")</f>
        <v>-1.3803315013647079</v>
      </c>
      <c r="O377" s="4">
        <f>IFERROR(DONNEES!O155-O157,"NA")</f>
        <v>0</v>
      </c>
    </row>
    <row r="378" spans="1:15" x14ac:dyDescent="0.3">
      <c r="A378" t="s">
        <v>342</v>
      </c>
      <c r="B378" s="4">
        <f>IFERROR(DONNEES!B156-B158,"NA")</f>
        <v>0</v>
      </c>
      <c r="C378" s="4">
        <f>IFERROR(DONNEES!C156-C158,"NA")</f>
        <v>0</v>
      </c>
      <c r="D378" s="4">
        <f>IFERROR(DONNEES!D156-D158,"NA")</f>
        <v>0</v>
      </c>
      <c r="E378" s="4">
        <f>IFERROR(DONNEES!E156-E158,"NA")</f>
        <v>0</v>
      </c>
      <c r="F378" s="4">
        <f>IFERROR(DONNEES!F156-F158,"NA")</f>
        <v>0</v>
      </c>
      <c r="G378" s="4">
        <f>IFERROR(DONNEES!G156-G158,"NA")</f>
        <v>0</v>
      </c>
      <c r="H378" s="4">
        <f>IFERROR(DONNEES!H156-H158,"NA")</f>
        <v>0</v>
      </c>
      <c r="I378" s="4">
        <f>IFERROR(DONNEES!I156-I158,"NA")</f>
        <v>0</v>
      </c>
      <c r="J378" s="4">
        <f>IFERROR(DONNEES!J156-J158,"NA")</f>
        <v>0</v>
      </c>
      <c r="K378" s="4">
        <f>IFERROR(DONNEES!K156-K158,"NA")</f>
        <v>0</v>
      </c>
      <c r="L378" s="4">
        <f>IFERROR(DONNEES!L156-L158,"NA")</f>
        <v>0</v>
      </c>
      <c r="M378" s="4">
        <f>IFERROR(DONNEES!M156-M158,"NA")</f>
        <v>0</v>
      </c>
      <c r="N378" s="4">
        <f>IFERROR(DONNEES!N156-N158,"NA")</f>
        <v>-1.7136054262518881</v>
      </c>
      <c r="O378" s="4">
        <f>IFERROR(DONNEES!O156-O158,"NA")</f>
        <v>0</v>
      </c>
    </row>
    <row r="379" spans="1:15" x14ac:dyDescent="0.3">
      <c r="A379" t="s">
        <v>344</v>
      </c>
      <c r="B379" s="4">
        <f>IFERROR(DONNEES!B157-B159,"NA")</f>
        <v>0</v>
      </c>
      <c r="C379" s="4">
        <f>IFERROR(DONNEES!C157-C159,"NA")</f>
        <v>0</v>
      </c>
      <c r="D379" s="4">
        <f>IFERROR(DONNEES!D157-D159,"NA")</f>
        <v>0</v>
      </c>
      <c r="E379" s="4">
        <f>IFERROR(DONNEES!E157-E159,"NA")</f>
        <v>0</v>
      </c>
      <c r="F379" s="4">
        <f>IFERROR(DONNEES!F157-F159,"NA")</f>
        <v>0</v>
      </c>
      <c r="G379" s="4">
        <f>IFERROR(DONNEES!G157-G159,"NA")</f>
        <v>0</v>
      </c>
      <c r="H379" s="4">
        <f>IFERROR(DONNEES!H157-H159,"NA")</f>
        <v>0</v>
      </c>
      <c r="I379" s="4">
        <f>IFERROR(DONNEES!I157-I159,"NA")</f>
        <v>0</v>
      </c>
      <c r="J379" s="4">
        <f>IFERROR(DONNEES!J157-J159,"NA")</f>
        <v>0</v>
      </c>
      <c r="K379" s="4" t="str">
        <f>IFERROR(DONNEES!K157-K159,"NA")</f>
        <v>NA</v>
      </c>
      <c r="L379" s="4">
        <f>IFERROR(DONNEES!L157-L159,"NA")</f>
        <v>0</v>
      </c>
      <c r="M379" s="4">
        <f>IFERROR(DONNEES!M157-M159,"NA")</f>
        <v>0</v>
      </c>
      <c r="N379" s="4">
        <f>IFERROR(DONNEES!N157-N159,"NA")</f>
        <v>-1.1546949979383498</v>
      </c>
      <c r="O379" s="4">
        <f>IFERROR(DONNEES!O157-O159,"NA")</f>
        <v>0</v>
      </c>
    </row>
    <row r="380" spans="1:15" x14ac:dyDescent="0.3">
      <c r="A380" t="s">
        <v>346</v>
      </c>
      <c r="B380" s="4">
        <f>IFERROR(DONNEES!B158-B160,"NA")</f>
        <v>0</v>
      </c>
      <c r="C380" s="4">
        <f>IFERROR(DONNEES!C158-C160,"NA")</f>
        <v>0</v>
      </c>
      <c r="D380" s="4">
        <f>IFERROR(DONNEES!D158-D160,"NA")</f>
        <v>0</v>
      </c>
      <c r="E380" s="4">
        <f>IFERROR(DONNEES!E158-E160,"NA")</f>
        <v>0</v>
      </c>
      <c r="F380" s="4">
        <f>IFERROR(DONNEES!F158-F160,"NA")</f>
        <v>0</v>
      </c>
      <c r="G380" s="4">
        <f>IFERROR(DONNEES!G158-G160,"NA")</f>
        <v>0</v>
      </c>
      <c r="H380" s="4">
        <f>IFERROR(DONNEES!H158-H160,"NA")</f>
        <v>0</v>
      </c>
      <c r="I380" s="4">
        <f>IFERROR(DONNEES!I158-I160,"NA")</f>
        <v>0</v>
      </c>
      <c r="J380" s="4">
        <f>IFERROR(DONNEES!J158-J160,"NA")</f>
        <v>0</v>
      </c>
      <c r="K380" s="4">
        <f>IFERROR(DONNEES!K158-K160,"NA")</f>
        <v>0</v>
      </c>
      <c r="L380" s="4">
        <f>IFERROR(DONNEES!L158-L160,"NA")</f>
        <v>0</v>
      </c>
      <c r="M380" s="4">
        <f>IFERROR(DONNEES!M158-M160,"NA")</f>
        <v>0</v>
      </c>
      <c r="N380" s="4">
        <f>IFERROR(DONNEES!N158-N160,"NA")</f>
        <v>-7.3120864108204842E-2</v>
      </c>
      <c r="O380" s="4">
        <f>IFERROR(DONNEES!O158-O160,"NA")</f>
        <v>0</v>
      </c>
    </row>
    <row r="381" spans="1:15" x14ac:dyDescent="0.3">
      <c r="A381" t="s">
        <v>348</v>
      </c>
      <c r="B381" s="4">
        <f>IFERROR(DONNEES!B159-B161,"NA")</f>
        <v>0</v>
      </c>
      <c r="C381" s="4">
        <f>IFERROR(DONNEES!C159-C161,"NA")</f>
        <v>0</v>
      </c>
      <c r="D381" s="4">
        <f>IFERROR(DONNEES!D159-D161,"NA")</f>
        <v>0</v>
      </c>
      <c r="E381" s="4">
        <f>IFERROR(DONNEES!E159-E161,"NA")</f>
        <v>0</v>
      </c>
      <c r="F381" s="4">
        <f>IFERROR(DONNEES!F159-F161,"NA")</f>
        <v>0</v>
      </c>
      <c r="G381" s="4">
        <f>IFERROR(DONNEES!G159-G161,"NA")</f>
        <v>0</v>
      </c>
      <c r="H381" s="4">
        <f>IFERROR(DONNEES!H159-H161,"NA")</f>
        <v>0</v>
      </c>
      <c r="I381" s="4">
        <f>IFERROR(DONNEES!I159-I161,"NA")</f>
        <v>0</v>
      </c>
      <c r="J381" s="4">
        <f>IFERROR(DONNEES!J159-J161,"NA")</f>
        <v>0</v>
      </c>
      <c r="K381" s="4">
        <f>IFERROR(DONNEES!K159-K161,"NA")</f>
        <v>0</v>
      </c>
      <c r="L381" s="4">
        <f>IFERROR(DONNEES!L159-L161,"NA")</f>
        <v>0</v>
      </c>
      <c r="M381" s="4">
        <f>IFERROR(DONNEES!M159-M161,"NA")</f>
        <v>0</v>
      </c>
      <c r="N381" s="4">
        <f>IFERROR(DONNEES!N159-N161,"NA")</f>
        <v>0.19743508453431902</v>
      </c>
      <c r="O381" s="4">
        <f>IFERROR(DONNEES!O159-O161,"NA")</f>
        <v>0</v>
      </c>
    </row>
    <row r="382" spans="1:15" x14ac:dyDescent="0.3">
      <c r="A382" t="s">
        <v>350</v>
      </c>
      <c r="B382" s="4">
        <f>IFERROR(DONNEES!B160-B162,"NA")</f>
        <v>0</v>
      </c>
      <c r="C382" s="4">
        <f>IFERROR(DONNEES!C160-C162,"NA")</f>
        <v>0</v>
      </c>
      <c r="D382" s="4">
        <f>IFERROR(DONNEES!D160-D162,"NA")</f>
        <v>0</v>
      </c>
      <c r="E382" s="4">
        <f>IFERROR(DONNEES!E160-E162,"NA")</f>
        <v>0</v>
      </c>
      <c r="F382" s="4">
        <f>IFERROR(DONNEES!F160-F162,"NA")</f>
        <v>0</v>
      </c>
      <c r="G382" s="4">
        <f>IFERROR(DONNEES!G160-G162,"NA")</f>
        <v>0</v>
      </c>
      <c r="H382" s="4">
        <f>IFERROR(DONNEES!H160-H162,"NA")</f>
        <v>0</v>
      </c>
      <c r="I382" s="4" t="str">
        <f>IFERROR(DONNEES!I160-I162,"NA")</f>
        <v>NA</v>
      </c>
      <c r="J382" s="4">
        <f>IFERROR(DONNEES!J160-J162,"NA")</f>
        <v>0</v>
      </c>
      <c r="K382" s="4">
        <f>IFERROR(DONNEES!K160-K162,"NA")</f>
        <v>0</v>
      </c>
      <c r="L382" s="4">
        <f>IFERROR(DONNEES!L160-L162,"NA")</f>
        <v>0</v>
      </c>
      <c r="M382" s="4">
        <f>IFERROR(DONNEES!M160-M162,"NA")</f>
        <v>0</v>
      </c>
      <c r="N382" s="4">
        <f>IFERROR(DONNEES!N160-N162,"NA")</f>
        <v>0.59810170480826241</v>
      </c>
      <c r="O382" s="4">
        <f>IFERROR(DONNEES!O160-O162,"NA")</f>
        <v>0</v>
      </c>
    </row>
    <row r="383" spans="1:15" x14ac:dyDescent="0.3">
      <c r="A383" t="s">
        <v>352</v>
      </c>
      <c r="B383" s="4" t="str">
        <f>IFERROR(DONNEES!B161-B163,"NA")</f>
        <v>NA</v>
      </c>
      <c r="C383" s="4" t="str">
        <f>IFERROR(DONNEES!C161-C163,"NA")</f>
        <v>NA</v>
      </c>
      <c r="D383" s="4" t="str">
        <f>IFERROR(DONNEES!D161-D163,"NA")</f>
        <v>NA</v>
      </c>
      <c r="E383" s="4">
        <f>IFERROR(DONNEES!E161-E163,"NA")</f>
        <v>0</v>
      </c>
      <c r="F383" s="4">
        <f>IFERROR(DONNEES!F161-F163,"NA")</f>
        <v>0</v>
      </c>
      <c r="G383" s="4">
        <f>IFERROR(DONNEES!G161-G163,"NA")</f>
        <v>0</v>
      </c>
      <c r="H383" s="4">
        <f>IFERROR(DONNEES!H161-H163,"NA")</f>
        <v>0</v>
      </c>
      <c r="I383" s="4">
        <f>IFERROR(DONNEES!I161-I163,"NA")</f>
        <v>0</v>
      </c>
      <c r="J383" s="4">
        <f>IFERROR(DONNEES!J161-J163,"NA")</f>
        <v>0</v>
      </c>
      <c r="K383" s="4">
        <f>IFERROR(DONNEES!K161-K163,"NA")</f>
        <v>0</v>
      </c>
      <c r="L383" s="4">
        <f>IFERROR(DONNEES!L161-L163,"NA")</f>
        <v>0</v>
      </c>
      <c r="M383" s="4">
        <f>IFERROR(DONNEES!M161-M163,"NA")</f>
        <v>0</v>
      </c>
      <c r="N383" s="4">
        <f>IFERROR(DONNEES!N161-N163,"NA")</f>
        <v>1.5514687752972045</v>
      </c>
      <c r="O383" s="4">
        <f>IFERROR(DONNEES!O161-O163,"NA")</f>
        <v>0</v>
      </c>
    </row>
    <row r="384" spans="1:15" x14ac:dyDescent="0.3">
      <c r="A384" t="s">
        <v>354</v>
      </c>
      <c r="B384" s="4">
        <f>IFERROR(DONNEES!B162-B164,"NA")</f>
        <v>0</v>
      </c>
      <c r="C384" s="4">
        <f>IFERROR(DONNEES!C162-C164,"NA")</f>
        <v>0</v>
      </c>
      <c r="D384" s="4">
        <f>IFERROR(DONNEES!D162-D164,"NA")</f>
        <v>0</v>
      </c>
      <c r="E384" s="4">
        <f>IFERROR(DONNEES!E162-E164,"NA")</f>
        <v>0</v>
      </c>
      <c r="F384" s="4">
        <f>IFERROR(DONNEES!F162-F164,"NA")</f>
        <v>0</v>
      </c>
      <c r="G384" s="4">
        <f>IFERROR(DONNEES!G162-G164,"NA")</f>
        <v>0</v>
      </c>
      <c r="H384" s="4">
        <f>IFERROR(DONNEES!H162-H164,"NA")</f>
        <v>0</v>
      </c>
      <c r="I384" s="4">
        <f>IFERROR(DONNEES!I162-I164,"NA")</f>
        <v>0</v>
      </c>
      <c r="J384" s="4">
        <f>IFERROR(DONNEES!J162-J164,"NA")</f>
        <v>0</v>
      </c>
      <c r="K384" s="4">
        <f>IFERROR(DONNEES!K162-K164,"NA")</f>
        <v>0</v>
      </c>
      <c r="L384" s="4">
        <f>IFERROR(DONNEES!L162-L164,"NA")</f>
        <v>0</v>
      </c>
      <c r="M384" s="4">
        <f>IFERROR(DONNEES!M162-M164,"NA")</f>
        <v>0</v>
      </c>
      <c r="N384" s="4">
        <f>IFERROR(DONNEES!N162-N164,"NA")</f>
        <v>0.53686498373281211</v>
      </c>
      <c r="O384" s="4">
        <f>IFERROR(DONNEES!O162-O164,"NA")</f>
        <v>0</v>
      </c>
    </row>
    <row r="385" spans="1:15" x14ac:dyDescent="0.3">
      <c r="A385" t="s">
        <v>356</v>
      </c>
      <c r="B385" s="4">
        <f>IFERROR(DONNEES!B163-B165,"NA")</f>
        <v>0</v>
      </c>
      <c r="C385" s="4">
        <f>IFERROR(DONNEES!C163-C165,"NA")</f>
        <v>0</v>
      </c>
      <c r="D385" s="4">
        <f>IFERROR(DONNEES!D163-D165,"NA")</f>
        <v>0</v>
      </c>
      <c r="E385" s="4">
        <f>IFERROR(DONNEES!E163-E165,"NA")</f>
        <v>0</v>
      </c>
      <c r="F385" s="4">
        <f>IFERROR(DONNEES!F163-F165,"NA")</f>
        <v>0</v>
      </c>
      <c r="G385" s="4">
        <f>IFERROR(DONNEES!G163-G165,"NA")</f>
        <v>0</v>
      </c>
      <c r="H385" s="4">
        <f>IFERROR(DONNEES!H163-H165,"NA")</f>
        <v>0</v>
      </c>
      <c r="I385" s="4">
        <f>IFERROR(DONNEES!I163-I165,"NA")</f>
        <v>0</v>
      </c>
      <c r="J385" s="4">
        <f>IFERROR(DONNEES!J163-J165,"NA")</f>
        <v>0</v>
      </c>
      <c r="K385" s="4">
        <f>IFERROR(DONNEES!K163-K165,"NA")</f>
        <v>0</v>
      </c>
      <c r="L385" s="4">
        <f>IFERROR(DONNEES!L163-L165,"NA")</f>
        <v>0</v>
      </c>
      <c r="M385" s="4">
        <f>IFERROR(DONNEES!M163-M165,"NA")</f>
        <v>0</v>
      </c>
      <c r="N385" s="4">
        <f>IFERROR(DONNEES!N163-N165,"NA")</f>
        <v>-1.8076160053412123</v>
      </c>
      <c r="O385" s="4">
        <f>IFERROR(DONNEES!O163-O165,"NA")</f>
        <v>0</v>
      </c>
    </row>
    <row r="386" spans="1:15" x14ac:dyDescent="0.3">
      <c r="A386" t="s">
        <v>358</v>
      </c>
      <c r="B386" s="4">
        <f>IFERROR(DONNEES!B164-B166,"NA")</f>
        <v>0</v>
      </c>
      <c r="C386" s="4">
        <f>IFERROR(DONNEES!C164-C166,"NA")</f>
        <v>0</v>
      </c>
      <c r="D386" s="4">
        <f>IFERROR(DONNEES!D164-D166,"NA")</f>
        <v>0</v>
      </c>
      <c r="E386" s="4">
        <f>IFERROR(DONNEES!E164-E166,"NA")</f>
        <v>0</v>
      </c>
      <c r="F386" s="4">
        <f>IFERROR(DONNEES!F164-F166,"NA")</f>
        <v>0</v>
      </c>
      <c r="G386" s="4">
        <f>IFERROR(DONNEES!G164-G166,"NA")</f>
        <v>0</v>
      </c>
      <c r="H386" s="4">
        <f>IFERROR(DONNEES!H164-H166,"NA")</f>
        <v>0</v>
      </c>
      <c r="I386" s="4" t="str">
        <f>IFERROR(DONNEES!I164-I166,"NA")</f>
        <v>NA</v>
      </c>
      <c r="J386" s="4" t="str">
        <f>IFERROR(DONNEES!J164-J166,"NA")</f>
        <v>NA</v>
      </c>
      <c r="K386" s="4" t="str">
        <f>IFERROR(DONNEES!K164-K166,"NA")</f>
        <v>NA</v>
      </c>
      <c r="L386" s="4">
        <f>IFERROR(DONNEES!L164-L166,"NA")</f>
        <v>0</v>
      </c>
      <c r="M386" s="4">
        <f>IFERROR(DONNEES!M164-M166,"NA")</f>
        <v>0</v>
      </c>
      <c r="N386" s="4">
        <f>IFERROR(DONNEES!N164-N166,"NA")</f>
        <v>-1.5570434149543657</v>
      </c>
      <c r="O386" s="4">
        <f>IFERROR(DONNEES!O164-O166,"NA")</f>
        <v>0</v>
      </c>
    </row>
    <row r="387" spans="1:15" x14ac:dyDescent="0.3">
      <c r="A387" t="s">
        <v>360</v>
      </c>
      <c r="B387" s="4">
        <f>IFERROR(DONNEES!B165-B167,"NA")</f>
        <v>0</v>
      </c>
      <c r="C387" s="4">
        <f>IFERROR(DONNEES!C165-C167,"NA")</f>
        <v>0</v>
      </c>
      <c r="D387" s="4">
        <f>IFERROR(DONNEES!D165-D167,"NA")</f>
        <v>0</v>
      </c>
      <c r="E387" s="4">
        <f>IFERROR(DONNEES!E165-E167,"NA")</f>
        <v>0</v>
      </c>
      <c r="F387" s="4">
        <f>IFERROR(DONNEES!F165-F167,"NA")</f>
        <v>0</v>
      </c>
      <c r="G387" s="4">
        <f>IFERROR(DONNEES!G165-G167,"NA")</f>
        <v>0</v>
      </c>
      <c r="H387" s="4">
        <f>IFERROR(DONNEES!H165-H167,"NA")</f>
        <v>0</v>
      </c>
      <c r="I387" s="4">
        <f>IFERROR(DONNEES!I165-I167,"NA")</f>
        <v>0</v>
      </c>
      <c r="J387" s="4">
        <f>IFERROR(DONNEES!J165-J167,"NA")</f>
        <v>0</v>
      </c>
      <c r="K387" s="4">
        <f>IFERROR(DONNEES!K165-K167,"NA")</f>
        <v>0</v>
      </c>
      <c r="L387" s="4">
        <f>IFERROR(DONNEES!L165-L167,"NA")</f>
        <v>0</v>
      </c>
      <c r="M387" s="4">
        <f>IFERROR(DONNEES!M165-M167,"NA")</f>
        <v>0</v>
      </c>
      <c r="N387" s="4">
        <f>IFERROR(DONNEES!N165-N167,"NA")</f>
        <v>1.4185164216905835</v>
      </c>
      <c r="O387" s="4">
        <f>IFERROR(DONNEES!O165-O167,"NA")</f>
        <v>0</v>
      </c>
    </row>
    <row r="388" spans="1:15" x14ac:dyDescent="0.3">
      <c r="A388" t="s">
        <v>362</v>
      </c>
      <c r="B388" s="4" t="str">
        <f>IFERROR(DONNEES!B166-B168,"NA")</f>
        <v>NA</v>
      </c>
      <c r="C388" s="4" t="str">
        <f>IFERROR(DONNEES!C166-C168,"NA")</f>
        <v>NA</v>
      </c>
      <c r="D388" s="4">
        <f>IFERROR(DONNEES!D166-D168,"NA")</f>
        <v>0</v>
      </c>
      <c r="E388" s="4">
        <f>IFERROR(DONNEES!E166-E168,"NA")</f>
        <v>0</v>
      </c>
      <c r="F388" s="4">
        <f>IFERROR(DONNEES!F166-F168,"NA")</f>
        <v>0</v>
      </c>
      <c r="G388" s="4" t="str">
        <f>IFERROR(DONNEES!G166-G168,"NA")</f>
        <v>NA</v>
      </c>
      <c r="H388" s="4">
        <f>IFERROR(DONNEES!H166-H168,"NA")</f>
        <v>0</v>
      </c>
      <c r="I388" s="4">
        <f>IFERROR(DONNEES!I166-I168,"NA")</f>
        <v>0</v>
      </c>
      <c r="J388" s="4">
        <f>IFERROR(DONNEES!J166-J168,"NA")</f>
        <v>0</v>
      </c>
      <c r="K388" s="4">
        <f>IFERROR(DONNEES!K166-K168,"NA")</f>
        <v>0</v>
      </c>
      <c r="L388" s="4">
        <f>IFERROR(DONNEES!L166-L168,"NA")</f>
        <v>0</v>
      </c>
      <c r="M388" s="4">
        <f>IFERROR(DONNEES!M166-M168,"NA")</f>
        <v>0</v>
      </c>
      <c r="N388" s="4">
        <f>IFERROR(DONNEES!N166-N168,"NA")</f>
        <v>1.023444269049872</v>
      </c>
      <c r="O388" s="4">
        <f>IFERROR(DONNEES!O166-O168,"NA")</f>
        <v>0</v>
      </c>
    </row>
    <row r="389" spans="1:15" x14ac:dyDescent="0.3">
      <c r="A389" t="s">
        <v>364</v>
      </c>
      <c r="B389" s="4" t="str">
        <f>IFERROR(DONNEES!B167-B169,"NA")</f>
        <v>NA</v>
      </c>
      <c r="C389" s="4" t="str">
        <f>IFERROR(DONNEES!C167-C169,"NA")</f>
        <v>NA</v>
      </c>
      <c r="D389" s="4" t="str">
        <f>IFERROR(DONNEES!D167-D169,"NA")</f>
        <v>NA</v>
      </c>
      <c r="E389" s="4">
        <f>IFERROR(DONNEES!E167-E169,"NA")</f>
        <v>0</v>
      </c>
      <c r="F389" s="4">
        <f>IFERROR(DONNEES!F167-F169,"NA")</f>
        <v>0</v>
      </c>
      <c r="G389" s="4">
        <f>IFERROR(DONNEES!G167-G169,"NA")</f>
        <v>0</v>
      </c>
      <c r="H389" s="4">
        <f>IFERROR(DONNEES!H167-H169,"NA")</f>
        <v>0</v>
      </c>
      <c r="I389" s="4">
        <f>IFERROR(DONNEES!I167-I169,"NA")</f>
        <v>0</v>
      </c>
      <c r="J389" s="4">
        <f>IFERROR(DONNEES!J167-J169,"NA")</f>
        <v>0</v>
      </c>
      <c r="K389" s="4">
        <f>IFERROR(DONNEES!K167-K169,"NA")</f>
        <v>0</v>
      </c>
      <c r="L389" s="4">
        <f>IFERROR(DONNEES!L167-L169,"NA")</f>
        <v>0</v>
      </c>
      <c r="M389" s="4">
        <f>IFERROR(DONNEES!M167-M169,"NA")</f>
        <v>0</v>
      </c>
      <c r="N389" s="4">
        <f>IFERROR(DONNEES!N167-N169,"NA")</f>
        <v>-0.31307327425262577</v>
      </c>
      <c r="O389" s="4">
        <f>IFERROR(DONNEES!O167-O169,"NA")</f>
        <v>0</v>
      </c>
    </row>
    <row r="390" spans="1:15" x14ac:dyDescent="0.3">
      <c r="A390" t="s">
        <v>366</v>
      </c>
      <c r="B390" s="4">
        <f>IFERROR(DONNEES!B168-B170,"NA")</f>
        <v>0</v>
      </c>
      <c r="C390" s="4">
        <f>IFERROR(DONNEES!C168-C170,"NA")</f>
        <v>0</v>
      </c>
      <c r="D390" s="4">
        <f>IFERROR(DONNEES!D168-D170,"NA")</f>
        <v>0</v>
      </c>
      <c r="E390" s="4">
        <f>IFERROR(DONNEES!E168-E170,"NA")</f>
        <v>0</v>
      </c>
      <c r="F390" s="4">
        <f>IFERROR(DONNEES!F168-F170,"NA")</f>
        <v>0</v>
      </c>
      <c r="G390" s="4">
        <f>IFERROR(DONNEES!G168-G170,"NA")</f>
        <v>0</v>
      </c>
      <c r="H390" s="4">
        <f>IFERROR(DONNEES!H168-H170,"NA")</f>
        <v>0</v>
      </c>
      <c r="I390" s="4">
        <f>IFERROR(DONNEES!I168-I170,"NA")</f>
        <v>0</v>
      </c>
      <c r="J390" s="4">
        <f>IFERROR(DONNEES!J168-J170,"NA")</f>
        <v>0</v>
      </c>
      <c r="K390" s="4">
        <f>IFERROR(DONNEES!K168-K170,"NA")</f>
        <v>0</v>
      </c>
      <c r="L390" s="4">
        <f>IFERROR(DONNEES!L168-L170,"NA")</f>
        <v>0</v>
      </c>
      <c r="M390" s="4">
        <f>IFERROR(DONNEES!M168-M170,"NA")</f>
        <v>0</v>
      </c>
      <c r="N390" s="4">
        <f>IFERROR(DONNEES!N168-N170,"NA")</f>
        <v>0.58968789615513129</v>
      </c>
      <c r="O390" s="4">
        <f>IFERROR(DONNEES!O168-O170,"NA")</f>
        <v>0</v>
      </c>
    </row>
    <row r="391" spans="1:15" x14ac:dyDescent="0.3">
      <c r="A391" t="s">
        <v>368</v>
      </c>
      <c r="B391" s="4">
        <f>IFERROR(DONNEES!B169-B171,"NA")</f>
        <v>0</v>
      </c>
      <c r="C391" s="4">
        <f>IFERROR(DONNEES!C169-C171,"NA")</f>
        <v>0</v>
      </c>
      <c r="D391" s="4">
        <f>IFERROR(DONNEES!D169-D171,"NA")</f>
        <v>0</v>
      </c>
      <c r="E391" s="4">
        <f>IFERROR(DONNEES!E169-E171,"NA")</f>
        <v>0</v>
      </c>
      <c r="F391" s="4">
        <f>IFERROR(DONNEES!F169-F171,"NA")</f>
        <v>0</v>
      </c>
      <c r="G391" s="4">
        <f>IFERROR(DONNEES!G169-G171,"NA")</f>
        <v>0</v>
      </c>
      <c r="H391" s="4">
        <f>IFERROR(DONNEES!H169-H171,"NA")</f>
        <v>0</v>
      </c>
      <c r="I391" s="4" t="str">
        <f>IFERROR(DONNEES!I169-I171,"NA")</f>
        <v>NA</v>
      </c>
      <c r="J391" s="4" t="str">
        <f>IFERROR(DONNEES!J169-J171,"NA")</f>
        <v>NA</v>
      </c>
      <c r="K391" s="4">
        <f>IFERROR(DONNEES!K169-K171,"NA")</f>
        <v>0</v>
      </c>
      <c r="L391" s="4">
        <f>IFERROR(DONNEES!L169-L171,"NA")</f>
        <v>0</v>
      </c>
      <c r="M391" s="4">
        <f>IFERROR(DONNEES!M169-M171,"NA")</f>
        <v>0</v>
      </c>
      <c r="N391" s="4">
        <f>IFERROR(DONNEES!N169-N171,"NA")</f>
        <v>-0.5215683003577094</v>
      </c>
      <c r="O391" s="4">
        <f>IFERROR(DONNEES!O169-O171,"NA")</f>
        <v>0</v>
      </c>
    </row>
    <row r="392" spans="1:15" x14ac:dyDescent="0.3">
      <c r="A392" t="s">
        <v>370</v>
      </c>
      <c r="B392" s="4">
        <f>IFERROR(DONNEES!B170-B172,"NA")</f>
        <v>0</v>
      </c>
      <c r="C392" s="4">
        <f>IFERROR(DONNEES!C170-C172,"NA")</f>
        <v>0</v>
      </c>
      <c r="D392" s="4">
        <f>IFERROR(DONNEES!D170-D172,"NA")</f>
        <v>0</v>
      </c>
      <c r="E392" s="4">
        <f>IFERROR(DONNEES!E170-E172,"NA")</f>
        <v>0</v>
      </c>
      <c r="F392" s="4">
        <f>IFERROR(DONNEES!F170-F172,"NA")</f>
        <v>0</v>
      </c>
      <c r="G392" s="4">
        <f>IFERROR(DONNEES!G170-G172,"NA")</f>
        <v>0</v>
      </c>
      <c r="H392" s="4">
        <f>IFERROR(DONNEES!H170-H172,"NA")</f>
        <v>0</v>
      </c>
      <c r="I392" s="4">
        <f>IFERROR(DONNEES!I170-I172,"NA")</f>
        <v>0</v>
      </c>
      <c r="J392" s="4">
        <f>IFERROR(DONNEES!J170-J172,"NA")</f>
        <v>0</v>
      </c>
      <c r="K392" s="4">
        <f>IFERROR(DONNEES!K170-K172,"NA")</f>
        <v>0</v>
      </c>
      <c r="L392" s="4">
        <f>IFERROR(DONNEES!L170-L172,"NA")</f>
        <v>0</v>
      </c>
      <c r="M392" s="4">
        <f>IFERROR(DONNEES!M170-M172,"NA")</f>
        <v>0</v>
      </c>
      <c r="N392" s="4">
        <f>IFERROR(DONNEES!N170-N172,"NA")</f>
        <v>0.49622231038908093</v>
      </c>
      <c r="O392" s="4">
        <f>IFERROR(DONNEES!O170-O172,"NA")</f>
        <v>0</v>
      </c>
    </row>
    <row r="393" spans="1:15" x14ac:dyDescent="0.3">
      <c r="A393" t="s">
        <v>372</v>
      </c>
      <c r="B393" s="4">
        <f>IFERROR(DONNEES!B171-B173,"NA")</f>
        <v>0</v>
      </c>
      <c r="C393" s="4">
        <f>IFERROR(DONNEES!C171-C173,"NA")</f>
        <v>0</v>
      </c>
      <c r="D393" s="4">
        <f>IFERROR(DONNEES!D171-D173,"NA")</f>
        <v>0</v>
      </c>
      <c r="E393" s="4">
        <f>IFERROR(DONNEES!E171-E173,"NA")</f>
        <v>0</v>
      </c>
      <c r="F393" s="4">
        <f>IFERROR(DONNEES!F171-F173,"NA")</f>
        <v>0</v>
      </c>
      <c r="G393" s="4">
        <f>IFERROR(DONNEES!G171-G173,"NA")</f>
        <v>0</v>
      </c>
      <c r="H393" s="4">
        <f>IFERROR(DONNEES!H171-H173,"NA")</f>
        <v>0</v>
      </c>
      <c r="I393" s="4">
        <f>IFERROR(DONNEES!I171-I173,"NA")</f>
        <v>0</v>
      </c>
      <c r="J393" s="4">
        <f>IFERROR(DONNEES!J171-J173,"NA")</f>
        <v>0</v>
      </c>
      <c r="K393" s="4">
        <f>IFERROR(DONNEES!K171-K173,"NA")</f>
        <v>0</v>
      </c>
      <c r="L393" s="4">
        <f>IFERROR(DONNEES!L171-L173,"NA")</f>
        <v>0</v>
      </c>
      <c r="M393" s="4">
        <f>IFERROR(DONNEES!M171-M173,"NA")</f>
        <v>0</v>
      </c>
      <c r="N393" s="4">
        <f>IFERROR(DONNEES!N171-N173,"NA")</f>
        <v>-1.2976562659799431</v>
      </c>
      <c r="O393" s="4">
        <f>IFERROR(DONNEES!O171-O173,"NA")</f>
        <v>0</v>
      </c>
    </row>
    <row r="394" spans="1:15" x14ac:dyDescent="0.3">
      <c r="A394" t="s">
        <v>374</v>
      </c>
      <c r="B394" s="4">
        <f>IFERROR(DONNEES!B172-B174,"NA")</f>
        <v>0</v>
      </c>
      <c r="C394" s="4">
        <f>IFERROR(DONNEES!C172-C174,"NA")</f>
        <v>0</v>
      </c>
      <c r="D394" s="4">
        <f>IFERROR(DONNEES!D172-D174,"NA")</f>
        <v>0</v>
      </c>
      <c r="E394" s="4">
        <f>IFERROR(DONNEES!E172-E174,"NA")</f>
        <v>0</v>
      </c>
      <c r="F394" s="4">
        <f>IFERROR(DONNEES!F172-F174,"NA")</f>
        <v>0</v>
      </c>
      <c r="G394" s="4">
        <f>IFERROR(DONNEES!G172-G174,"NA")</f>
        <v>0</v>
      </c>
      <c r="H394" s="4">
        <f>IFERROR(DONNEES!H172-H174,"NA")</f>
        <v>0</v>
      </c>
      <c r="I394" s="4">
        <f>IFERROR(DONNEES!I172-I174,"NA")</f>
        <v>0</v>
      </c>
      <c r="J394" s="4">
        <f>IFERROR(DONNEES!J172-J174,"NA")</f>
        <v>0</v>
      </c>
      <c r="K394" s="4">
        <f>IFERROR(DONNEES!K172-K174,"NA")</f>
        <v>0</v>
      </c>
      <c r="L394" s="4">
        <f>IFERROR(DONNEES!L172-L174,"NA")</f>
        <v>0</v>
      </c>
      <c r="M394" s="4">
        <f>IFERROR(DONNEES!M172-M174,"NA")</f>
        <v>0</v>
      </c>
      <c r="N394" s="4">
        <f>IFERROR(DONNEES!N172-N174,"NA")</f>
        <v>-1.4577316343784323</v>
      </c>
      <c r="O394" s="4">
        <f>IFERROR(DONNEES!O172-O174,"NA")</f>
        <v>0</v>
      </c>
    </row>
    <row r="395" spans="1:15" x14ac:dyDescent="0.3">
      <c r="A395" t="s">
        <v>376</v>
      </c>
      <c r="B395" s="4">
        <f>IFERROR(DONNEES!B173-B175,"NA")</f>
        <v>0</v>
      </c>
      <c r="C395" s="4">
        <f>IFERROR(DONNEES!C173-C175,"NA")</f>
        <v>0</v>
      </c>
      <c r="D395" s="4">
        <f>IFERROR(DONNEES!D173-D175,"NA")</f>
        <v>0</v>
      </c>
      <c r="E395" s="4">
        <f>IFERROR(DONNEES!E173-E175,"NA")</f>
        <v>0</v>
      </c>
      <c r="F395" s="4">
        <f>IFERROR(DONNEES!F173-F175,"NA")</f>
        <v>0</v>
      </c>
      <c r="G395" s="4">
        <f>IFERROR(DONNEES!G173-G175,"NA")</f>
        <v>0</v>
      </c>
      <c r="H395" s="4">
        <f>IFERROR(DONNEES!H173-H175,"NA")</f>
        <v>0</v>
      </c>
      <c r="I395" s="4">
        <f>IFERROR(DONNEES!I173-I175,"NA")</f>
        <v>0</v>
      </c>
      <c r="J395" s="4" t="str">
        <f>IFERROR(DONNEES!J173-J175,"NA")</f>
        <v>NA</v>
      </c>
      <c r="K395" s="4" t="str">
        <f>IFERROR(DONNEES!K173-K175,"NA")</f>
        <v>NA</v>
      </c>
      <c r="L395" s="4">
        <f>IFERROR(DONNEES!L173-L175,"NA")</f>
        <v>0</v>
      </c>
      <c r="M395" s="4">
        <f>IFERROR(DONNEES!M173-M175,"NA")</f>
        <v>0</v>
      </c>
      <c r="N395" s="4">
        <f>IFERROR(DONNEES!N173-N175,"NA")</f>
        <v>0.64340296636025129</v>
      </c>
      <c r="O395" s="4">
        <f>IFERROR(DONNEES!O173-O175,"NA")</f>
        <v>0</v>
      </c>
    </row>
    <row r="396" spans="1:15" x14ac:dyDescent="0.3">
      <c r="A396" t="s">
        <v>378</v>
      </c>
      <c r="B396" s="4" t="str">
        <f>IFERROR(DONNEES!B174-B176,"NA")</f>
        <v>NA</v>
      </c>
      <c r="C396" s="4" t="str">
        <f>IFERROR(DONNEES!C174-C176,"NA")</f>
        <v>NA</v>
      </c>
      <c r="D396" s="4" t="str">
        <f>IFERROR(DONNEES!D174-D176,"NA")</f>
        <v>NA</v>
      </c>
      <c r="E396" s="4">
        <f>IFERROR(DONNEES!E174-E176,"NA")</f>
        <v>0</v>
      </c>
      <c r="F396" s="4">
        <f>IFERROR(DONNEES!F174-F176,"NA")</f>
        <v>0</v>
      </c>
      <c r="G396" s="4">
        <f>IFERROR(DONNEES!G174-G176,"NA")</f>
        <v>0</v>
      </c>
      <c r="H396" s="4" t="str">
        <f>IFERROR(DONNEES!H174-H176,"NA")</f>
        <v>NA</v>
      </c>
      <c r="I396" s="4">
        <f>IFERROR(DONNEES!I174-I176,"NA")</f>
        <v>0</v>
      </c>
      <c r="J396" s="4">
        <f>IFERROR(DONNEES!J174-J176,"NA")</f>
        <v>0</v>
      </c>
      <c r="K396" s="4">
        <f>IFERROR(DONNEES!K174-K176,"NA")</f>
        <v>0</v>
      </c>
      <c r="L396" s="4" t="str">
        <f>IFERROR(DONNEES!L174-L176,"NA")</f>
        <v>NA</v>
      </c>
      <c r="M396" s="4" t="str">
        <f>IFERROR(DONNEES!M174-M176,"NA")</f>
        <v>NA</v>
      </c>
      <c r="N396" s="4" t="str">
        <f>IFERROR(DONNEES!N174-N176,"NA")</f>
        <v>NA</v>
      </c>
      <c r="O396" s="4" t="str">
        <f>IFERROR(DONNEES!O174-O176,"NA")</f>
        <v>NA</v>
      </c>
    </row>
    <row r="397" spans="1:15" x14ac:dyDescent="0.3">
      <c r="A397" t="s">
        <v>380</v>
      </c>
      <c r="B397" s="4">
        <f>IFERROR(DONNEES!B175-B177,"NA")</f>
        <v>0</v>
      </c>
      <c r="C397" s="4">
        <f>IFERROR(DONNEES!C175-C177,"NA")</f>
        <v>0</v>
      </c>
      <c r="D397" s="4">
        <f>IFERROR(DONNEES!D175-D177,"NA")</f>
        <v>0</v>
      </c>
      <c r="E397" s="4">
        <f>IFERROR(DONNEES!E175-E177,"NA")</f>
        <v>0</v>
      </c>
      <c r="F397" s="4">
        <f>IFERROR(DONNEES!F175-F177,"NA")</f>
        <v>0</v>
      </c>
      <c r="G397" s="4">
        <f>IFERROR(DONNEES!G175-G177,"NA")</f>
        <v>0</v>
      </c>
      <c r="H397" s="4">
        <f>IFERROR(DONNEES!H175-H177,"NA")</f>
        <v>0</v>
      </c>
      <c r="I397" s="4">
        <f>IFERROR(DONNEES!I175-I177,"NA")</f>
        <v>0</v>
      </c>
      <c r="J397" s="4">
        <f>IFERROR(DONNEES!J175-J177,"NA")</f>
        <v>0</v>
      </c>
      <c r="K397" s="4">
        <f>IFERROR(DONNEES!K175-K177,"NA")</f>
        <v>0</v>
      </c>
      <c r="L397" s="4">
        <f>IFERROR(DONNEES!L175-L177,"NA")</f>
        <v>0</v>
      </c>
      <c r="M397" s="4">
        <f>IFERROR(DONNEES!M175-M177,"NA")</f>
        <v>0</v>
      </c>
      <c r="N397" s="4">
        <f>IFERROR(DONNEES!N175-N177,"NA")</f>
        <v>2.7681920056541758</v>
      </c>
      <c r="O397" s="4">
        <f>IFERROR(DONNEES!O175-O177,"NA")</f>
        <v>0</v>
      </c>
    </row>
    <row r="398" spans="1:15" x14ac:dyDescent="0.3">
      <c r="A398" t="s">
        <v>382</v>
      </c>
      <c r="B398" s="4">
        <f>IFERROR(DONNEES!B176-B178,"NA")</f>
        <v>0</v>
      </c>
      <c r="C398" s="4">
        <f>IFERROR(DONNEES!C176-C178,"NA")</f>
        <v>0</v>
      </c>
      <c r="D398" s="4">
        <f>IFERROR(DONNEES!D176-D178,"NA")</f>
        <v>0</v>
      </c>
      <c r="E398" s="4">
        <f>IFERROR(DONNEES!E176-E178,"NA")</f>
        <v>0</v>
      </c>
      <c r="F398" s="4">
        <f>IFERROR(DONNEES!F176-F178,"NA")</f>
        <v>0</v>
      </c>
      <c r="G398" s="4">
        <f>IFERROR(DONNEES!G176-G178,"NA")</f>
        <v>0</v>
      </c>
      <c r="H398" s="4">
        <f>IFERROR(DONNEES!H176-H178,"NA")</f>
        <v>0</v>
      </c>
      <c r="I398" s="4">
        <f>IFERROR(DONNEES!I176-I178,"NA")</f>
        <v>0</v>
      </c>
      <c r="J398" s="4">
        <f>IFERROR(DONNEES!J176-J178,"NA")</f>
        <v>0</v>
      </c>
      <c r="K398" s="4">
        <f>IFERROR(DONNEES!K176-K178,"NA")</f>
        <v>0</v>
      </c>
      <c r="L398" s="4">
        <f>IFERROR(DONNEES!L176-L178,"NA")</f>
        <v>0</v>
      </c>
      <c r="M398" s="4">
        <f>IFERROR(DONNEES!M176-M178,"NA")</f>
        <v>0</v>
      </c>
      <c r="N398" s="4">
        <f>IFERROR(DONNEES!N176-N178,"NA")</f>
        <v>0.96509347367342924</v>
      </c>
      <c r="O398" s="4">
        <f>IFERROR(DONNEES!O176-O178,"NA")</f>
        <v>0</v>
      </c>
    </row>
    <row r="399" spans="1:15" x14ac:dyDescent="0.3">
      <c r="A399" t="s">
        <v>384</v>
      </c>
      <c r="B399" s="4">
        <f>IFERROR(DONNEES!B177-B179,"NA")</f>
        <v>0</v>
      </c>
      <c r="C399" s="4">
        <f>IFERROR(DONNEES!C177-C179,"NA")</f>
        <v>0</v>
      </c>
      <c r="D399" s="4">
        <f>IFERROR(DONNEES!D177-D179,"NA")</f>
        <v>0</v>
      </c>
      <c r="E399" s="4">
        <f>IFERROR(DONNEES!E177-E179,"NA")</f>
        <v>0</v>
      </c>
      <c r="F399" s="4">
        <f>IFERROR(DONNEES!F177-F179,"NA")</f>
        <v>0</v>
      </c>
      <c r="G399" s="4">
        <f>IFERROR(DONNEES!G177-G179,"NA")</f>
        <v>0</v>
      </c>
      <c r="H399" s="4">
        <f>IFERROR(DONNEES!H177-H179,"NA")</f>
        <v>0</v>
      </c>
      <c r="I399" s="4">
        <f>IFERROR(DONNEES!I177-I179,"NA")</f>
        <v>0</v>
      </c>
      <c r="J399" s="4">
        <f>IFERROR(DONNEES!J177-J179,"NA")</f>
        <v>0</v>
      </c>
      <c r="K399" s="4" t="str">
        <f>IFERROR(DONNEES!K177-K179,"NA")</f>
        <v>NA</v>
      </c>
      <c r="L399" s="4">
        <f>IFERROR(DONNEES!L177-L179,"NA")</f>
        <v>0</v>
      </c>
      <c r="M399" s="4">
        <f>IFERROR(DONNEES!M177-M179,"NA")</f>
        <v>0</v>
      </c>
      <c r="N399" s="4">
        <f>IFERROR(DONNEES!N177-N179,"NA")</f>
        <v>1.5618585615108402</v>
      </c>
      <c r="O399" s="4">
        <f>IFERROR(DONNEES!O177-O179,"NA")</f>
        <v>0</v>
      </c>
    </row>
    <row r="400" spans="1:15" x14ac:dyDescent="0.3">
      <c r="A400" t="s">
        <v>386</v>
      </c>
      <c r="B400" s="4" t="str">
        <f>IFERROR(DONNEES!B178-B180,"NA")</f>
        <v>NA</v>
      </c>
      <c r="C400" s="4" t="str">
        <f>IFERROR(DONNEES!C178-C180,"NA")</f>
        <v>NA</v>
      </c>
      <c r="D400" s="4">
        <f>IFERROR(DONNEES!D178-D180,"NA")</f>
        <v>0</v>
      </c>
      <c r="E400" s="4">
        <f>IFERROR(DONNEES!E178-E180,"NA")</f>
        <v>0</v>
      </c>
      <c r="F400" s="4">
        <f>IFERROR(DONNEES!F178-F180,"NA")</f>
        <v>0</v>
      </c>
      <c r="G400" s="4">
        <f>IFERROR(DONNEES!G178-G180,"NA")</f>
        <v>0</v>
      </c>
      <c r="H400" s="4">
        <f>IFERROR(DONNEES!H178-H180,"NA")</f>
        <v>0</v>
      </c>
      <c r="I400" s="4">
        <f>IFERROR(DONNEES!I178-I180,"NA")</f>
        <v>0</v>
      </c>
      <c r="J400" s="4">
        <f>IFERROR(DONNEES!J178-J180,"NA")</f>
        <v>0</v>
      </c>
      <c r="K400" s="4">
        <f>IFERROR(DONNEES!K178-K180,"NA")</f>
        <v>0</v>
      </c>
      <c r="L400" s="4">
        <f>IFERROR(DONNEES!L178-L180,"NA")</f>
        <v>0</v>
      </c>
      <c r="M400" s="4">
        <f>IFERROR(DONNEES!M178-M180,"NA")</f>
        <v>0</v>
      </c>
      <c r="N400" s="4">
        <f>IFERROR(DONNEES!N178-N180,"NA")</f>
        <v>-3.3894730135798454</v>
      </c>
      <c r="O400" s="4">
        <f>IFERROR(DONNEES!O178-O180,"NA")</f>
        <v>0</v>
      </c>
    </row>
    <row r="401" spans="1:15" x14ac:dyDescent="0.3">
      <c r="A401" t="s">
        <v>388</v>
      </c>
      <c r="B401" s="4">
        <f>IFERROR(DONNEES!B179-B181,"NA")</f>
        <v>0</v>
      </c>
      <c r="C401" s="4">
        <f>IFERROR(DONNEES!C179-C181,"NA")</f>
        <v>0</v>
      </c>
      <c r="D401" s="4">
        <f>IFERROR(DONNEES!D179-D181,"NA")</f>
        <v>0</v>
      </c>
      <c r="E401" s="4">
        <f>IFERROR(DONNEES!E179-E181,"NA")</f>
        <v>0</v>
      </c>
      <c r="F401" s="4">
        <f>IFERROR(DONNEES!F179-F181,"NA")</f>
        <v>0</v>
      </c>
      <c r="G401" s="4">
        <f>IFERROR(DONNEES!G179-G181,"NA")</f>
        <v>0</v>
      </c>
      <c r="H401" s="4">
        <f>IFERROR(DONNEES!H179-H181,"NA")</f>
        <v>0</v>
      </c>
      <c r="I401" s="4">
        <f>IFERROR(DONNEES!I179-I181,"NA")</f>
        <v>0</v>
      </c>
      <c r="J401" s="4">
        <f>IFERROR(DONNEES!J179-J181,"NA")</f>
        <v>0</v>
      </c>
      <c r="K401" s="4">
        <f>IFERROR(DONNEES!K179-K181,"NA")</f>
        <v>0</v>
      </c>
      <c r="L401" s="4">
        <f>IFERROR(DONNEES!L179-L181,"NA")</f>
        <v>0</v>
      </c>
      <c r="M401" s="4">
        <f>IFERROR(DONNEES!M179-M181,"NA")</f>
        <v>0</v>
      </c>
      <c r="N401" s="4">
        <f>IFERROR(DONNEES!N179-N181,"NA")</f>
        <v>-1.1508458987615742E-2</v>
      </c>
      <c r="O401" s="4">
        <f>IFERROR(DONNEES!O179-O181,"NA")</f>
        <v>0</v>
      </c>
    </row>
    <row r="402" spans="1:15" x14ac:dyDescent="0.3">
      <c r="A402" t="s">
        <v>390</v>
      </c>
      <c r="B402" s="4" t="str">
        <f>IFERROR(DONNEES!B180-B182,"NA")</f>
        <v>NA</v>
      </c>
      <c r="C402" s="4" t="str">
        <f>IFERROR(DONNEES!C180-C182,"NA")</f>
        <v>NA</v>
      </c>
      <c r="D402" s="4">
        <f>IFERROR(DONNEES!D180-D182,"NA")</f>
        <v>0</v>
      </c>
      <c r="E402" s="4">
        <f>IFERROR(DONNEES!E180-E182,"NA")</f>
        <v>0</v>
      </c>
      <c r="F402" s="4">
        <f>IFERROR(DONNEES!F180-F182,"NA")</f>
        <v>0</v>
      </c>
      <c r="G402" s="4">
        <f>IFERROR(DONNEES!G180-G182,"NA")</f>
        <v>0</v>
      </c>
      <c r="H402" s="4">
        <f>IFERROR(DONNEES!H180-H182,"NA")</f>
        <v>0</v>
      </c>
      <c r="I402" s="4">
        <f>IFERROR(DONNEES!I180-I182,"NA")</f>
        <v>0</v>
      </c>
      <c r="J402" s="4">
        <f>IFERROR(DONNEES!J180-J182,"NA")</f>
        <v>0</v>
      </c>
      <c r="K402" s="4">
        <f>IFERROR(DONNEES!K180-K182,"NA")</f>
        <v>0</v>
      </c>
      <c r="L402" s="4">
        <f>IFERROR(DONNEES!L180-L182,"NA")</f>
        <v>0</v>
      </c>
      <c r="M402" s="4">
        <f>IFERROR(DONNEES!M180-M182,"NA")</f>
        <v>0</v>
      </c>
      <c r="N402" s="4">
        <f>IFERROR(DONNEES!N180-N182,"NA")</f>
        <v>-2.5325964366396261</v>
      </c>
      <c r="O402" s="4">
        <f>IFERROR(DONNEES!O180-O182,"NA")</f>
        <v>0</v>
      </c>
    </row>
    <row r="403" spans="1:15" x14ac:dyDescent="0.3">
      <c r="A403" t="s">
        <v>392</v>
      </c>
      <c r="B403" s="4">
        <f>IFERROR(DONNEES!B181-B183,"NA")</f>
        <v>0</v>
      </c>
      <c r="C403" s="4">
        <f>IFERROR(DONNEES!C181-C183,"NA")</f>
        <v>0</v>
      </c>
      <c r="D403" s="4">
        <f>IFERROR(DONNEES!D181-D183,"NA")</f>
        <v>0</v>
      </c>
      <c r="E403" s="4">
        <f>IFERROR(DONNEES!E181-E183,"NA")</f>
        <v>0</v>
      </c>
      <c r="F403" s="4">
        <f>IFERROR(DONNEES!F181-F183,"NA")</f>
        <v>0</v>
      </c>
      <c r="G403" s="4">
        <f>IFERROR(DONNEES!G181-G183,"NA")</f>
        <v>0</v>
      </c>
      <c r="H403" s="4">
        <f>IFERROR(DONNEES!H181-H183,"NA")</f>
        <v>0</v>
      </c>
      <c r="I403" s="4">
        <f>IFERROR(DONNEES!I181-I183,"NA")</f>
        <v>0</v>
      </c>
      <c r="J403" s="4">
        <f>IFERROR(DONNEES!J181-J183,"NA")</f>
        <v>0</v>
      </c>
      <c r="K403" s="4">
        <f>IFERROR(DONNEES!K181-K183,"NA")</f>
        <v>0</v>
      </c>
      <c r="L403" s="4">
        <f>IFERROR(DONNEES!L181-L183,"NA")</f>
        <v>0</v>
      </c>
      <c r="M403" s="4">
        <f>IFERROR(DONNEES!M181-M183,"NA")</f>
        <v>0</v>
      </c>
      <c r="N403" s="4">
        <f>IFERROR(DONNEES!N181-N183,"NA")</f>
        <v>0.33509372919797908</v>
      </c>
      <c r="O403" s="4">
        <f>IFERROR(DONNEES!O181-O183,"NA")</f>
        <v>0</v>
      </c>
    </row>
    <row r="404" spans="1:15" x14ac:dyDescent="0.3">
      <c r="A404" t="s">
        <v>394</v>
      </c>
      <c r="B404" s="4">
        <f>IFERROR(DONNEES!B182-B184,"NA")</f>
        <v>0</v>
      </c>
      <c r="C404" s="4">
        <f>IFERROR(DONNEES!C182-C184,"NA")</f>
        <v>0</v>
      </c>
      <c r="D404" s="4">
        <f>IFERROR(DONNEES!D182-D184,"NA")</f>
        <v>0</v>
      </c>
      <c r="E404" s="4">
        <f>IFERROR(DONNEES!E182-E184,"NA")</f>
        <v>0</v>
      </c>
      <c r="F404" s="4">
        <f>IFERROR(DONNEES!F182-F184,"NA")</f>
        <v>0</v>
      </c>
      <c r="G404" s="4">
        <f>IFERROR(DONNEES!G182-G184,"NA")</f>
        <v>0</v>
      </c>
      <c r="H404" s="4">
        <f>IFERROR(DONNEES!H182-H184,"NA")</f>
        <v>0</v>
      </c>
      <c r="I404" s="4">
        <f>IFERROR(DONNEES!I182-I184,"NA")</f>
        <v>0</v>
      </c>
      <c r="J404" s="4">
        <f>IFERROR(DONNEES!J182-J184,"NA")</f>
        <v>0</v>
      </c>
      <c r="K404" s="4">
        <f>IFERROR(DONNEES!K182-K184,"NA")</f>
        <v>0</v>
      </c>
      <c r="L404" s="4">
        <f>IFERROR(DONNEES!L182-L184,"NA")</f>
        <v>0</v>
      </c>
      <c r="M404" s="4">
        <f>IFERROR(DONNEES!M182-M184,"NA")</f>
        <v>0</v>
      </c>
      <c r="N404" s="4">
        <f>IFERROR(DONNEES!N182-N184,"NA")</f>
        <v>-0.70887041061602452</v>
      </c>
      <c r="O404" s="4">
        <f>IFERROR(DONNEES!O182-O184,"NA")</f>
        <v>0</v>
      </c>
    </row>
    <row r="405" spans="1:15" x14ac:dyDescent="0.3">
      <c r="A405" t="s">
        <v>396</v>
      </c>
      <c r="B405" s="4">
        <f>IFERROR(DONNEES!B183-B185,"NA")</f>
        <v>0</v>
      </c>
      <c r="C405" s="4">
        <f>IFERROR(DONNEES!C183-C185,"NA")</f>
        <v>0</v>
      </c>
      <c r="D405" s="4" t="str">
        <f>IFERROR(DONNEES!D183-D185,"NA")</f>
        <v>NA</v>
      </c>
      <c r="E405" s="4">
        <f>IFERROR(DONNEES!E183-E185,"NA")</f>
        <v>0</v>
      </c>
      <c r="F405" s="4">
        <f>IFERROR(DONNEES!F183-F185,"NA")</f>
        <v>0</v>
      </c>
      <c r="G405" s="4">
        <f>IFERROR(DONNEES!G183-G185,"NA")</f>
        <v>0</v>
      </c>
      <c r="H405" s="4">
        <f>IFERROR(DONNEES!H183-H185,"NA")</f>
        <v>0</v>
      </c>
      <c r="I405" s="4">
        <f>IFERROR(DONNEES!I183-I185,"NA")</f>
        <v>0</v>
      </c>
      <c r="J405" s="4">
        <f>IFERROR(DONNEES!J183-J185,"NA")</f>
        <v>0</v>
      </c>
      <c r="K405" s="4">
        <f>IFERROR(DONNEES!K183-K185,"NA")</f>
        <v>0</v>
      </c>
      <c r="L405" s="4">
        <f>IFERROR(DONNEES!L183-L185,"NA")</f>
        <v>0</v>
      </c>
      <c r="M405" s="4">
        <f>IFERROR(DONNEES!M183-M185,"NA")</f>
        <v>0</v>
      </c>
      <c r="N405" s="4">
        <f>IFERROR(DONNEES!N183-N185,"NA")</f>
        <v>2.050350122153759</v>
      </c>
      <c r="O405" s="4">
        <f>IFERROR(DONNEES!O183-O185,"NA")</f>
        <v>0</v>
      </c>
    </row>
    <row r="406" spans="1:15" x14ac:dyDescent="0.3">
      <c r="A406" t="s">
        <v>398</v>
      </c>
      <c r="B406" s="4">
        <f>IFERROR(DONNEES!B184-B186,"NA")</f>
        <v>0</v>
      </c>
      <c r="C406" s="4">
        <f>IFERROR(DONNEES!C184-C186,"NA")</f>
        <v>0</v>
      </c>
      <c r="D406" s="4" t="str">
        <f>IFERROR(DONNEES!D184-D186,"NA")</f>
        <v>NA</v>
      </c>
      <c r="E406" s="4">
        <f>IFERROR(DONNEES!E184-E186,"NA")</f>
        <v>0</v>
      </c>
      <c r="F406" s="4">
        <f>IFERROR(DONNEES!F184-F186,"NA")</f>
        <v>0</v>
      </c>
      <c r="G406" s="4">
        <f>IFERROR(DONNEES!G184-G186,"NA")</f>
        <v>0</v>
      </c>
      <c r="H406" s="4">
        <f>IFERROR(DONNEES!H184-H186,"NA")</f>
        <v>0</v>
      </c>
      <c r="I406" s="4">
        <f>IFERROR(DONNEES!I184-I186,"NA")</f>
        <v>0</v>
      </c>
      <c r="J406" s="4">
        <f>IFERROR(DONNEES!J184-J186,"NA")</f>
        <v>0</v>
      </c>
      <c r="K406" s="4">
        <f>IFERROR(DONNEES!K184-K186,"NA")</f>
        <v>0</v>
      </c>
      <c r="L406" s="4">
        <f>IFERROR(DONNEES!L184-L186,"NA")</f>
        <v>0</v>
      </c>
      <c r="M406" s="4">
        <f>IFERROR(DONNEES!M184-M186,"NA")</f>
        <v>0</v>
      </c>
      <c r="N406" s="4">
        <f>IFERROR(DONNEES!N184-N186,"NA")</f>
        <v>0.87807059402499965</v>
      </c>
      <c r="O406" s="4">
        <f>IFERROR(DONNEES!O184-O186,"NA")</f>
        <v>0</v>
      </c>
    </row>
    <row r="407" spans="1:15" x14ac:dyDescent="0.3">
      <c r="A407" t="s">
        <v>400</v>
      </c>
      <c r="B407" s="4" t="str">
        <f>IFERROR(DONNEES!B185-B187,"NA")</f>
        <v>NA</v>
      </c>
      <c r="C407" s="4" t="str">
        <f>IFERROR(DONNEES!C185-C187,"NA")</f>
        <v>NA</v>
      </c>
      <c r="D407" s="4" t="str">
        <f>IFERROR(DONNEES!D185-D187,"NA")</f>
        <v>NA</v>
      </c>
      <c r="E407" s="4">
        <f>IFERROR(DONNEES!E185-E187,"NA")</f>
        <v>0</v>
      </c>
      <c r="F407" s="4">
        <f>IFERROR(DONNEES!F185-F187,"NA")</f>
        <v>0</v>
      </c>
      <c r="G407" s="4">
        <f>IFERROR(DONNEES!G185-G187,"NA")</f>
        <v>0</v>
      </c>
      <c r="H407" s="4" t="str">
        <f>IFERROR(DONNEES!H185-H187,"NA")</f>
        <v>NA</v>
      </c>
      <c r="I407" s="4">
        <f>IFERROR(DONNEES!I185-I187,"NA")</f>
        <v>0</v>
      </c>
      <c r="J407" s="4">
        <f>IFERROR(DONNEES!J185-J187,"NA")</f>
        <v>0</v>
      </c>
      <c r="K407" s="4">
        <f>IFERROR(DONNEES!K185-K187,"NA")</f>
        <v>0</v>
      </c>
      <c r="L407" s="4" t="str">
        <f>IFERROR(DONNEES!L185-L187,"NA")</f>
        <v>NA</v>
      </c>
      <c r="M407" s="4" t="str">
        <f>IFERROR(DONNEES!M185-M187,"NA")</f>
        <v>NA</v>
      </c>
      <c r="N407" s="4" t="str">
        <f>IFERROR(DONNEES!N185-N187,"NA")</f>
        <v>NA</v>
      </c>
      <c r="O407" s="4" t="str">
        <f>IFERROR(DONNEES!O185-O187,"NA")</f>
        <v>NA</v>
      </c>
    </row>
    <row r="408" spans="1:15" x14ac:dyDescent="0.3">
      <c r="A408" t="s">
        <v>402</v>
      </c>
      <c r="B408" s="4">
        <f>IFERROR(DONNEES!B186-B188,"NA")</f>
        <v>0</v>
      </c>
      <c r="C408" s="4">
        <f>IFERROR(DONNEES!C186-C188,"NA")</f>
        <v>0</v>
      </c>
      <c r="D408" s="4" t="str">
        <f>IFERROR(DONNEES!D186-D188,"NA")</f>
        <v>NA</v>
      </c>
      <c r="E408" s="4">
        <f>IFERROR(DONNEES!E186-E188,"NA")</f>
        <v>0</v>
      </c>
      <c r="F408" s="4">
        <f>IFERROR(DONNEES!F186-F188,"NA")</f>
        <v>0</v>
      </c>
      <c r="G408" s="4">
        <f>IFERROR(DONNEES!G186-G188,"NA")</f>
        <v>0</v>
      </c>
      <c r="H408" s="4">
        <f>IFERROR(DONNEES!H186-H188,"NA")</f>
        <v>0</v>
      </c>
      <c r="I408" s="4" t="str">
        <f>IFERROR(DONNEES!I186-I188,"NA")</f>
        <v>NA</v>
      </c>
      <c r="J408" s="4" t="str">
        <f>IFERROR(DONNEES!J186-J188,"NA")</f>
        <v>NA</v>
      </c>
      <c r="K408" s="4">
        <f>IFERROR(DONNEES!K186-K188,"NA")</f>
        <v>0</v>
      </c>
      <c r="L408" s="4">
        <f>IFERROR(DONNEES!L186-L188,"NA")</f>
        <v>0</v>
      </c>
      <c r="M408" s="4">
        <f>IFERROR(DONNEES!M186-M188,"NA")</f>
        <v>0</v>
      </c>
      <c r="N408" s="4">
        <f>IFERROR(DONNEES!N186-N188,"NA")</f>
        <v>-1.1025750674307351</v>
      </c>
      <c r="O408" s="4">
        <f>IFERROR(DONNEES!O186-O188,"NA")</f>
        <v>0</v>
      </c>
    </row>
    <row r="409" spans="1:15" x14ac:dyDescent="0.3">
      <c r="A409" t="s">
        <v>404</v>
      </c>
      <c r="B409" s="4">
        <f>IFERROR(DONNEES!B187-B189,"NA")</f>
        <v>0</v>
      </c>
      <c r="C409" s="4">
        <f>IFERROR(DONNEES!C187-C189,"NA")</f>
        <v>0</v>
      </c>
      <c r="D409" s="4">
        <f>IFERROR(DONNEES!D187-D189,"NA")</f>
        <v>0</v>
      </c>
      <c r="E409" s="4">
        <f>IFERROR(DONNEES!E187-E189,"NA")</f>
        <v>0</v>
      </c>
      <c r="F409" s="4">
        <f>IFERROR(DONNEES!F187-F189,"NA")</f>
        <v>0</v>
      </c>
      <c r="G409" s="4">
        <f>IFERROR(DONNEES!G187-G189,"NA")</f>
        <v>0</v>
      </c>
      <c r="H409" s="4">
        <f>IFERROR(DONNEES!H187-H189,"NA")</f>
        <v>0</v>
      </c>
      <c r="I409" s="4">
        <f>IFERROR(DONNEES!I187-I189,"NA")</f>
        <v>0</v>
      </c>
      <c r="J409" s="4">
        <f>IFERROR(DONNEES!J187-J189,"NA")</f>
        <v>0</v>
      </c>
      <c r="K409" s="4">
        <f>IFERROR(DONNEES!K187-K189,"NA")</f>
        <v>0</v>
      </c>
      <c r="L409" s="4">
        <f>IFERROR(DONNEES!L187-L189,"NA")</f>
        <v>0</v>
      </c>
      <c r="M409" s="4">
        <f>IFERROR(DONNEES!M187-M189,"NA")</f>
        <v>0</v>
      </c>
      <c r="N409" s="4">
        <f>IFERROR(DONNEES!N187-N189,"NA")</f>
        <v>-0.18796862661838531</v>
      </c>
      <c r="O409" s="4">
        <f>IFERROR(DONNEES!O187-O189,"NA")</f>
        <v>0</v>
      </c>
    </row>
    <row r="410" spans="1:15" x14ac:dyDescent="0.3">
      <c r="A410" t="s">
        <v>406</v>
      </c>
      <c r="B410" s="4">
        <f>IFERROR(DONNEES!B188-B190,"NA")</f>
        <v>0</v>
      </c>
      <c r="C410" s="4">
        <f>IFERROR(DONNEES!C188-C190,"NA")</f>
        <v>0</v>
      </c>
      <c r="D410" s="4">
        <f>IFERROR(DONNEES!D188-D190,"NA")</f>
        <v>0</v>
      </c>
      <c r="E410" s="4">
        <f>IFERROR(DONNEES!E188-E190,"NA")</f>
        <v>0</v>
      </c>
      <c r="F410" s="4">
        <f>IFERROR(DONNEES!F188-F190,"NA")</f>
        <v>0</v>
      </c>
      <c r="G410" s="4">
        <f>IFERROR(DONNEES!G188-G190,"NA")</f>
        <v>0</v>
      </c>
      <c r="H410" s="4">
        <f>IFERROR(DONNEES!H188-H190,"NA")</f>
        <v>0</v>
      </c>
      <c r="I410" s="4">
        <f>IFERROR(DONNEES!I188-I190,"NA")</f>
        <v>0</v>
      </c>
      <c r="J410" s="4">
        <f>IFERROR(DONNEES!J188-J190,"NA")</f>
        <v>0</v>
      </c>
      <c r="K410" s="4">
        <f>IFERROR(DONNEES!K188-K190,"NA")</f>
        <v>0</v>
      </c>
      <c r="L410" s="4">
        <f>IFERROR(DONNEES!L188-L190,"NA")</f>
        <v>0</v>
      </c>
      <c r="M410" s="4">
        <f>IFERROR(DONNEES!M188-M190,"NA")</f>
        <v>0</v>
      </c>
      <c r="N410" s="4">
        <f>IFERROR(DONNEES!N188-N190,"NA")</f>
        <v>-1.1199139070037438</v>
      </c>
      <c r="O410" s="4">
        <f>IFERROR(DONNEES!O188-O190,"NA")</f>
        <v>0</v>
      </c>
    </row>
    <row r="411" spans="1:15" x14ac:dyDescent="0.3">
      <c r="A411" t="s">
        <v>408</v>
      </c>
      <c r="B411" s="4">
        <f>IFERROR(DONNEES!B189-B191,"NA")</f>
        <v>0</v>
      </c>
      <c r="C411" s="4">
        <f>IFERROR(DONNEES!C189-C191,"NA")</f>
        <v>0</v>
      </c>
      <c r="D411" s="4">
        <f>IFERROR(DONNEES!D189-D191,"NA")</f>
        <v>0</v>
      </c>
      <c r="E411" s="4">
        <f>IFERROR(DONNEES!E189-E191,"NA")</f>
        <v>0</v>
      </c>
      <c r="F411" s="4">
        <f>IFERROR(DONNEES!F189-F191,"NA")</f>
        <v>0</v>
      </c>
      <c r="G411" s="4">
        <f>IFERROR(DONNEES!G189-G191,"NA")</f>
        <v>0</v>
      </c>
      <c r="H411" s="4">
        <f>IFERROR(DONNEES!H189-H191,"NA")</f>
        <v>0</v>
      </c>
      <c r="I411" s="4">
        <f>IFERROR(DONNEES!I189-I191,"NA")</f>
        <v>0</v>
      </c>
      <c r="J411" s="4">
        <f>IFERROR(DONNEES!J189-J191,"NA")</f>
        <v>0</v>
      </c>
      <c r="K411" s="4">
        <f>IFERROR(DONNEES!K189-K191,"NA")</f>
        <v>0</v>
      </c>
      <c r="L411" s="4">
        <f>IFERROR(DONNEES!L189-L191,"NA")</f>
        <v>0</v>
      </c>
      <c r="M411" s="4">
        <f>IFERROR(DONNEES!M189-M191,"NA")</f>
        <v>0</v>
      </c>
      <c r="N411" s="4">
        <f>IFERROR(DONNEES!N189-N191,"NA")</f>
        <v>3.100797275702158</v>
      </c>
      <c r="O411" s="4">
        <f>IFERROR(DONNEES!O189-O191,"NA")</f>
        <v>0</v>
      </c>
    </row>
    <row r="412" spans="1:15" x14ac:dyDescent="0.3">
      <c r="A412" t="s">
        <v>410</v>
      </c>
      <c r="B412" s="4">
        <f>IFERROR(DONNEES!B190-B192,"NA")</f>
        <v>0</v>
      </c>
      <c r="C412" s="4">
        <f>IFERROR(DONNEES!C190-C192,"NA")</f>
        <v>0</v>
      </c>
      <c r="D412" s="4">
        <f>IFERROR(DONNEES!D190-D192,"NA")</f>
        <v>0</v>
      </c>
      <c r="E412" s="4">
        <f>IFERROR(DONNEES!E190-E192,"NA")</f>
        <v>0</v>
      </c>
      <c r="F412" s="4">
        <f>IFERROR(DONNEES!F190-F192,"NA")</f>
        <v>0</v>
      </c>
      <c r="G412" s="4">
        <f>IFERROR(DONNEES!G190-G192,"NA")</f>
        <v>0</v>
      </c>
      <c r="H412" s="4">
        <f>IFERROR(DONNEES!H190-H192,"NA")</f>
        <v>0</v>
      </c>
      <c r="I412" s="4">
        <f>IFERROR(DONNEES!I190-I192,"NA")</f>
        <v>0</v>
      </c>
      <c r="J412" s="4">
        <f>IFERROR(DONNEES!J190-J192,"NA")</f>
        <v>0</v>
      </c>
      <c r="K412" s="4">
        <f>IFERROR(DONNEES!K190-K192,"NA")</f>
        <v>0</v>
      </c>
      <c r="L412" s="4">
        <f>IFERROR(DONNEES!L190-L192,"NA")</f>
        <v>0</v>
      </c>
      <c r="M412" s="4">
        <f>IFERROR(DONNEES!M190-M192,"NA")</f>
        <v>0</v>
      </c>
      <c r="N412" s="4">
        <f>IFERROR(DONNEES!N190-N192,"NA")</f>
        <v>2.2719560234496994</v>
      </c>
      <c r="O412" s="4">
        <f>IFERROR(DONNEES!O190-O192,"NA")</f>
        <v>0</v>
      </c>
    </row>
    <row r="413" spans="1:15" x14ac:dyDescent="0.3">
      <c r="A413" t="s">
        <v>412</v>
      </c>
      <c r="B413" s="4" t="str">
        <f>IFERROR(DONNEES!B191-B193,"NA")</f>
        <v>NA</v>
      </c>
      <c r="C413" s="4">
        <f>IFERROR(DONNEES!C191-C193,"NA")</f>
        <v>0</v>
      </c>
      <c r="D413" s="4">
        <f>IFERROR(DONNEES!D191-D193,"NA")</f>
        <v>0</v>
      </c>
      <c r="E413" s="4">
        <f>IFERROR(DONNEES!E191-E193,"NA")</f>
        <v>0</v>
      </c>
      <c r="F413" s="4">
        <f>IFERROR(DONNEES!F191-F193,"NA")</f>
        <v>0</v>
      </c>
      <c r="G413" s="4">
        <f>IFERROR(DONNEES!G191-G193,"NA")</f>
        <v>0</v>
      </c>
      <c r="H413" s="4">
        <f>IFERROR(DONNEES!H191-H193,"NA")</f>
        <v>0</v>
      </c>
      <c r="I413" s="4">
        <f>IFERROR(DONNEES!I191-I193,"NA")</f>
        <v>0</v>
      </c>
      <c r="J413" s="4">
        <f>IFERROR(DONNEES!J191-J193,"NA")</f>
        <v>0</v>
      </c>
      <c r="K413" s="4">
        <f>IFERROR(DONNEES!K191-K193,"NA")</f>
        <v>0</v>
      </c>
      <c r="L413" s="4">
        <f>IFERROR(DONNEES!L191-L193,"NA")</f>
        <v>0</v>
      </c>
      <c r="M413" s="4">
        <f>IFERROR(DONNEES!M191-M193,"NA")</f>
        <v>0</v>
      </c>
      <c r="N413" s="4">
        <f>IFERROR(DONNEES!N191-N193,"NA")</f>
        <v>-1.1955765834621463</v>
      </c>
      <c r="O413" s="4">
        <f>IFERROR(DONNEES!O191-O193,"NA")</f>
        <v>0</v>
      </c>
    </row>
    <row r="414" spans="1:15" x14ac:dyDescent="0.3">
      <c r="A414" t="s">
        <v>414</v>
      </c>
      <c r="B414" s="4">
        <f>IFERROR(DONNEES!B192-B194,"NA")</f>
        <v>0</v>
      </c>
      <c r="C414" s="4">
        <f>IFERROR(DONNEES!C192-C194,"NA")</f>
        <v>0</v>
      </c>
      <c r="D414" s="4">
        <f>IFERROR(DONNEES!D192-D194,"NA")</f>
        <v>0</v>
      </c>
      <c r="E414" s="4">
        <f>IFERROR(DONNEES!E192-E194,"NA")</f>
        <v>0</v>
      </c>
      <c r="F414" s="4">
        <f>IFERROR(DONNEES!F192-F194,"NA")</f>
        <v>0</v>
      </c>
      <c r="G414" s="4">
        <f>IFERROR(DONNEES!G192-G194,"NA")</f>
        <v>0</v>
      </c>
      <c r="H414" s="4">
        <f>IFERROR(DONNEES!H192-H194,"NA")</f>
        <v>0</v>
      </c>
      <c r="I414" s="4">
        <f>IFERROR(DONNEES!I192-I194,"NA")</f>
        <v>0</v>
      </c>
      <c r="J414" s="4">
        <f>IFERROR(DONNEES!J192-J194,"NA")</f>
        <v>0</v>
      </c>
      <c r="K414" s="4">
        <f>IFERROR(DONNEES!K192-K194,"NA")</f>
        <v>0</v>
      </c>
      <c r="L414" s="4">
        <f>IFERROR(DONNEES!L192-L194,"NA")</f>
        <v>0</v>
      </c>
      <c r="M414" s="4">
        <f>IFERROR(DONNEES!M192-M194,"NA")</f>
        <v>0</v>
      </c>
      <c r="N414" s="4">
        <f>IFERROR(DONNEES!N192-N194,"NA")</f>
        <v>-0.22318358098467161</v>
      </c>
      <c r="O414" s="4">
        <f>IFERROR(DONNEES!O192-O194,"NA")</f>
        <v>0</v>
      </c>
    </row>
    <row r="415" spans="1:15" x14ac:dyDescent="0.3">
      <c r="A415" t="s">
        <v>416</v>
      </c>
      <c r="B415" s="4">
        <f>IFERROR(DONNEES!B193-B195,"NA")</f>
        <v>0</v>
      </c>
      <c r="C415" s="4">
        <f>IFERROR(DONNEES!C193-C195,"NA")</f>
        <v>0</v>
      </c>
      <c r="D415" s="4">
        <f>IFERROR(DONNEES!D193-D195,"NA")</f>
        <v>0</v>
      </c>
      <c r="E415" s="4">
        <f>IFERROR(DONNEES!E193-E195,"NA")</f>
        <v>0</v>
      </c>
      <c r="F415" s="4">
        <f>IFERROR(DONNEES!F193-F195,"NA")</f>
        <v>0</v>
      </c>
      <c r="G415" s="4">
        <f>IFERROR(DONNEES!G193-G195,"NA")</f>
        <v>0</v>
      </c>
      <c r="H415" s="4">
        <f>IFERROR(DONNEES!H193-H195,"NA")</f>
        <v>0</v>
      </c>
      <c r="I415" s="4">
        <f>IFERROR(DONNEES!I193-I195,"NA")</f>
        <v>0</v>
      </c>
      <c r="J415" s="4">
        <f>IFERROR(DONNEES!J193-J195,"NA")</f>
        <v>0</v>
      </c>
      <c r="K415" s="4">
        <f>IFERROR(DONNEES!K193-K195,"NA")</f>
        <v>0</v>
      </c>
      <c r="L415" s="4">
        <f>IFERROR(DONNEES!L193-L195,"NA")</f>
        <v>0</v>
      </c>
      <c r="M415" s="4">
        <f>IFERROR(DONNEES!M193-M195,"NA")</f>
        <v>0</v>
      </c>
      <c r="N415" s="4">
        <f>IFERROR(DONNEES!N193-N195,"NA")</f>
        <v>0.39348772975305724</v>
      </c>
      <c r="O415" s="4">
        <f>IFERROR(DONNEES!O193-O195,"NA")</f>
        <v>0</v>
      </c>
    </row>
    <row r="416" spans="1:15" x14ac:dyDescent="0.3">
      <c r="A416" t="s">
        <v>418</v>
      </c>
      <c r="B416" s="4">
        <f>IFERROR(DONNEES!B194-B196,"NA")</f>
        <v>0</v>
      </c>
      <c r="C416" s="4">
        <f>IFERROR(DONNEES!C194-C196,"NA")</f>
        <v>0</v>
      </c>
      <c r="D416" s="4">
        <f>IFERROR(DONNEES!D194-D196,"NA")</f>
        <v>0</v>
      </c>
      <c r="E416" s="4">
        <f>IFERROR(DONNEES!E194-E196,"NA")</f>
        <v>0</v>
      </c>
      <c r="F416" s="4">
        <f>IFERROR(DONNEES!F194-F196,"NA")</f>
        <v>0</v>
      </c>
      <c r="G416" s="4">
        <f>IFERROR(DONNEES!G194-G196,"NA")</f>
        <v>0</v>
      </c>
      <c r="H416" s="4">
        <f>IFERROR(DONNEES!H194-H196,"NA")</f>
        <v>0</v>
      </c>
      <c r="I416" s="4">
        <f>IFERROR(DONNEES!I194-I196,"NA")</f>
        <v>0</v>
      </c>
      <c r="J416" s="4">
        <f>IFERROR(DONNEES!J194-J196,"NA")</f>
        <v>0</v>
      </c>
      <c r="K416" s="4">
        <f>IFERROR(DONNEES!K194-K196,"NA")</f>
        <v>0</v>
      </c>
      <c r="L416" s="4">
        <f>IFERROR(DONNEES!L194-L196,"NA")</f>
        <v>0</v>
      </c>
      <c r="M416" s="4">
        <f>IFERROR(DONNEES!M194-M196,"NA")</f>
        <v>0</v>
      </c>
      <c r="N416" s="4">
        <f>IFERROR(DONNEES!N194-N196,"NA")</f>
        <v>-0.28923674750452227</v>
      </c>
      <c r="O416" s="4">
        <f>IFERROR(DONNEES!O194-O196,"NA")</f>
        <v>0</v>
      </c>
    </row>
    <row r="417" spans="1:15" x14ac:dyDescent="0.3">
      <c r="A417" t="s">
        <v>420</v>
      </c>
      <c r="B417" s="4" t="str">
        <f>IFERROR(DONNEES!B195-B197,"NA")</f>
        <v>NA</v>
      </c>
      <c r="C417" s="4" t="str">
        <f>IFERROR(DONNEES!C195-C197,"NA")</f>
        <v>NA</v>
      </c>
      <c r="D417" s="4">
        <f>IFERROR(DONNEES!D195-D197,"NA")</f>
        <v>0</v>
      </c>
      <c r="E417" s="4">
        <f>IFERROR(DONNEES!E195-E197,"NA")</f>
        <v>0</v>
      </c>
      <c r="F417" s="4">
        <f>IFERROR(DONNEES!F195-F197,"NA")</f>
        <v>0</v>
      </c>
      <c r="G417" s="4">
        <f>IFERROR(DONNEES!G195-G197,"NA")</f>
        <v>0</v>
      </c>
      <c r="H417" s="4">
        <f>IFERROR(DONNEES!H195-H197,"NA")</f>
        <v>0</v>
      </c>
      <c r="I417" s="4">
        <f>IFERROR(DONNEES!I195-I197,"NA")</f>
        <v>0</v>
      </c>
      <c r="J417" s="4">
        <f>IFERROR(DONNEES!J195-J197,"NA")</f>
        <v>0</v>
      </c>
      <c r="K417" s="4">
        <f>IFERROR(DONNEES!K195-K197,"NA")</f>
        <v>0</v>
      </c>
      <c r="L417" s="4">
        <f>IFERROR(DONNEES!L195-L197,"NA")</f>
        <v>0</v>
      </c>
      <c r="M417" s="4">
        <f>IFERROR(DONNEES!M195-M197,"NA")</f>
        <v>0</v>
      </c>
      <c r="N417" s="4">
        <f>IFERROR(DONNEES!N195-N197,"NA")</f>
        <v>-0.98912072453337363</v>
      </c>
      <c r="O417" s="4">
        <f>IFERROR(DONNEES!O195-O197,"NA")</f>
        <v>0</v>
      </c>
    </row>
    <row r="418" spans="1:15" x14ac:dyDescent="0.3">
      <c r="A418" t="s">
        <v>422</v>
      </c>
      <c r="B418" s="4">
        <f>IFERROR(DONNEES!B196-B198,"NA")</f>
        <v>0</v>
      </c>
      <c r="C418" s="4">
        <f>IFERROR(DONNEES!C196-C198,"NA")</f>
        <v>0</v>
      </c>
      <c r="D418" s="4">
        <f>IFERROR(DONNEES!D196-D198,"NA")</f>
        <v>0</v>
      </c>
      <c r="E418" s="4">
        <f>IFERROR(DONNEES!E196-E198,"NA")</f>
        <v>0</v>
      </c>
      <c r="F418" s="4">
        <f>IFERROR(DONNEES!F196-F198,"NA")</f>
        <v>0</v>
      </c>
      <c r="G418" s="4">
        <f>IFERROR(DONNEES!G196-G198,"NA")</f>
        <v>0</v>
      </c>
      <c r="H418" s="4">
        <f>IFERROR(DONNEES!H196-H198,"NA")</f>
        <v>0</v>
      </c>
      <c r="I418" s="4">
        <f>IFERROR(DONNEES!I196-I198,"NA")</f>
        <v>0</v>
      </c>
      <c r="J418" s="4">
        <f>IFERROR(DONNEES!J196-J198,"NA")</f>
        <v>0</v>
      </c>
      <c r="K418" s="4">
        <f>IFERROR(DONNEES!K196-K198,"NA")</f>
        <v>0</v>
      </c>
      <c r="L418" s="4">
        <f>IFERROR(DONNEES!L196-L198,"NA")</f>
        <v>0</v>
      </c>
      <c r="M418" s="4">
        <f>IFERROR(DONNEES!M196-M198,"NA")</f>
        <v>0</v>
      </c>
      <c r="N418" s="4">
        <f>IFERROR(DONNEES!N196-N198,"NA")</f>
        <v>-0.76944986078888178</v>
      </c>
      <c r="O418" s="4">
        <f>IFERROR(DONNEES!O196-O198,"NA")</f>
        <v>0</v>
      </c>
    </row>
    <row r="419" spans="1:15" x14ac:dyDescent="0.3">
      <c r="A419" t="s">
        <v>424</v>
      </c>
      <c r="B419" s="4" t="str">
        <f>IFERROR(DONNEES!B197-B199,"NA")</f>
        <v>NA</v>
      </c>
      <c r="C419" s="4">
        <f>IFERROR(DONNEES!C197-C199,"NA")</f>
        <v>0</v>
      </c>
      <c r="D419" s="4">
        <f>IFERROR(DONNEES!D197-D199,"NA")</f>
        <v>0</v>
      </c>
      <c r="E419" s="4">
        <f>IFERROR(DONNEES!E197-E199,"NA")</f>
        <v>0</v>
      </c>
      <c r="F419" s="4">
        <f>IFERROR(DONNEES!F197-F199,"NA")</f>
        <v>0</v>
      </c>
      <c r="G419" s="4">
        <f>IFERROR(DONNEES!G197-G199,"NA")</f>
        <v>0</v>
      </c>
      <c r="H419" s="4">
        <f>IFERROR(DONNEES!H197-H199,"NA")</f>
        <v>0</v>
      </c>
      <c r="I419" s="4" t="str">
        <f>IFERROR(DONNEES!I197-I199,"NA")</f>
        <v>NA</v>
      </c>
      <c r="J419" s="4" t="str">
        <f>IFERROR(DONNEES!J197-J199,"NA")</f>
        <v>NA</v>
      </c>
      <c r="K419" s="4">
        <f>IFERROR(DONNEES!K197-K199,"NA")</f>
        <v>0</v>
      </c>
      <c r="L419" s="4">
        <f>IFERROR(DONNEES!L197-L199,"NA")</f>
        <v>0</v>
      </c>
      <c r="M419" s="4">
        <f>IFERROR(DONNEES!M197-M199,"NA")</f>
        <v>0</v>
      </c>
      <c r="N419" s="4">
        <f>IFERROR(DONNEES!N197-N199,"NA")</f>
        <v>0.44768288553071522</v>
      </c>
      <c r="O419" s="4">
        <f>IFERROR(DONNEES!O197-O199,"NA")</f>
        <v>0</v>
      </c>
    </row>
    <row r="420" spans="1:15" x14ac:dyDescent="0.3">
      <c r="A420" t="s">
        <v>426</v>
      </c>
      <c r="B420" s="4">
        <f>IFERROR(DONNEES!B198-B200,"NA")</f>
        <v>0</v>
      </c>
      <c r="C420" s="4">
        <f>IFERROR(DONNEES!C198-C200,"NA")</f>
        <v>0</v>
      </c>
      <c r="D420" s="4" t="str">
        <f>IFERROR(DONNEES!D198-D200,"NA")</f>
        <v>NA</v>
      </c>
      <c r="E420" s="4">
        <f>IFERROR(DONNEES!E198-E200,"NA")</f>
        <v>0</v>
      </c>
      <c r="F420" s="4">
        <f>IFERROR(DONNEES!F198-F200,"NA")</f>
        <v>0</v>
      </c>
      <c r="G420" s="4">
        <f>IFERROR(DONNEES!G198-G200,"NA")</f>
        <v>0</v>
      </c>
      <c r="H420" s="4">
        <f>IFERROR(DONNEES!H198-H200,"NA")</f>
        <v>0</v>
      </c>
      <c r="I420" s="4">
        <f>IFERROR(DONNEES!I198-I200,"NA")</f>
        <v>0</v>
      </c>
      <c r="J420" s="4">
        <f>IFERROR(DONNEES!J198-J200,"NA")</f>
        <v>0</v>
      </c>
      <c r="K420" s="4">
        <f>IFERROR(DONNEES!K198-K200,"NA")</f>
        <v>0</v>
      </c>
      <c r="L420" s="4">
        <f>IFERROR(DONNEES!L198-L200,"NA")</f>
        <v>0</v>
      </c>
      <c r="M420" s="4">
        <f>IFERROR(DONNEES!M198-M200,"NA")</f>
        <v>0</v>
      </c>
      <c r="N420" s="4">
        <f>IFERROR(DONNEES!N198-N200,"NA")</f>
        <v>1.4255868509256591</v>
      </c>
      <c r="O420" s="4">
        <f>IFERROR(DONNEES!O198-O200,"NA")</f>
        <v>0</v>
      </c>
    </row>
    <row r="421" spans="1:15" x14ac:dyDescent="0.3">
      <c r="A421" t="s">
        <v>428</v>
      </c>
      <c r="B421" s="4">
        <f>IFERROR(DONNEES!B199-B201,"NA")</f>
        <v>0</v>
      </c>
      <c r="C421" s="4">
        <f>IFERROR(DONNEES!C199-C201,"NA")</f>
        <v>0</v>
      </c>
      <c r="D421" s="4">
        <f>IFERROR(DONNEES!D199-D201,"NA")</f>
        <v>0</v>
      </c>
      <c r="E421" s="4">
        <f>IFERROR(DONNEES!E199-E201,"NA")</f>
        <v>0</v>
      </c>
      <c r="F421" s="4">
        <f>IFERROR(DONNEES!F199-F201,"NA")</f>
        <v>0</v>
      </c>
      <c r="G421" s="4">
        <f>IFERROR(DONNEES!G199-G201,"NA")</f>
        <v>0</v>
      </c>
      <c r="H421" s="4">
        <f>IFERROR(DONNEES!H199-H201,"NA")</f>
        <v>0</v>
      </c>
      <c r="I421" s="4">
        <f>IFERROR(DONNEES!I199-I201,"NA")</f>
        <v>0</v>
      </c>
      <c r="J421" s="4">
        <f>IFERROR(DONNEES!J199-J201,"NA")</f>
        <v>0</v>
      </c>
      <c r="K421" s="4">
        <f>IFERROR(DONNEES!K199-K201,"NA")</f>
        <v>0</v>
      </c>
      <c r="L421" s="4">
        <f>IFERROR(DONNEES!L199-L201,"NA")</f>
        <v>0</v>
      </c>
      <c r="M421" s="4">
        <f>IFERROR(DONNEES!M199-M201,"NA")</f>
        <v>0</v>
      </c>
      <c r="N421" s="4">
        <f>IFERROR(DONNEES!N199-N201,"NA")</f>
        <v>-0.83376947324723016</v>
      </c>
      <c r="O421" s="4">
        <f>IFERROR(DONNEES!O199-O201,"NA")</f>
        <v>0</v>
      </c>
    </row>
    <row r="422" spans="1:15" x14ac:dyDescent="0.3">
      <c r="A422" t="s">
        <v>430</v>
      </c>
      <c r="B422" s="4">
        <f>IFERROR(DONNEES!B200-B202,"NA")</f>
        <v>0</v>
      </c>
      <c r="C422" s="4">
        <f>IFERROR(DONNEES!C200-C202,"NA")</f>
        <v>0</v>
      </c>
      <c r="D422" s="4">
        <f>IFERROR(DONNEES!D200-D202,"NA")</f>
        <v>0</v>
      </c>
      <c r="E422" s="4">
        <f>IFERROR(DONNEES!E200-E202,"NA")</f>
        <v>0</v>
      </c>
      <c r="F422" s="4">
        <f>IFERROR(DONNEES!F200-F202,"NA")</f>
        <v>0</v>
      </c>
      <c r="G422" s="4">
        <f>IFERROR(DONNEES!G200-G202,"NA")</f>
        <v>0</v>
      </c>
      <c r="H422" s="4">
        <f>IFERROR(DONNEES!H200-H202,"NA")</f>
        <v>0</v>
      </c>
      <c r="I422" s="4">
        <f>IFERROR(DONNEES!I200-I202,"NA")</f>
        <v>0</v>
      </c>
      <c r="J422" s="4">
        <f>IFERROR(DONNEES!J200-J202,"NA")</f>
        <v>0</v>
      </c>
      <c r="K422" s="4" t="str">
        <f>IFERROR(DONNEES!K200-K202,"NA")</f>
        <v>NA</v>
      </c>
      <c r="L422" s="4">
        <f>IFERROR(DONNEES!L200-L202,"NA")</f>
        <v>0</v>
      </c>
      <c r="M422" s="4">
        <f>IFERROR(DONNEES!M200-M202,"NA")</f>
        <v>0</v>
      </c>
      <c r="N422" s="4">
        <f>IFERROR(DONNEES!N200-N202,"NA")</f>
        <v>0.31595717141559965</v>
      </c>
      <c r="O422" s="4">
        <f>IFERROR(DONNEES!O200-O202,"NA")</f>
        <v>0</v>
      </c>
    </row>
    <row r="423" spans="1:15" x14ac:dyDescent="0.3">
      <c r="A423" t="s">
        <v>432</v>
      </c>
      <c r="B423" s="4">
        <f>IFERROR(DONNEES!B201-B203,"NA")</f>
        <v>0</v>
      </c>
      <c r="C423" s="4">
        <f>IFERROR(DONNEES!C201-C203,"NA")</f>
        <v>0</v>
      </c>
      <c r="D423" s="4">
        <f>IFERROR(DONNEES!D201-D203,"NA")</f>
        <v>0</v>
      </c>
      <c r="E423" s="4">
        <f>IFERROR(DONNEES!E201-E203,"NA")</f>
        <v>0</v>
      </c>
      <c r="F423" s="4">
        <f>IFERROR(DONNEES!F201-F203,"NA")</f>
        <v>0</v>
      </c>
      <c r="G423" s="4">
        <f>IFERROR(DONNEES!G201-G203,"NA")</f>
        <v>0</v>
      </c>
      <c r="H423" s="4">
        <f>IFERROR(DONNEES!H201-H203,"NA")</f>
        <v>0</v>
      </c>
      <c r="I423" s="4">
        <f>IFERROR(DONNEES!I201-I203,"NA")</f>
        <v>0</v>
      </c>
      <c r="J423" s="4">
        <f>IFERROR(DONNEES!J201-J203,"NA")</f>
        <v>0</v>
      </c>
      <c r="K423" s="4">
        <f>IFERROR(DONNEES!K201-K203,"NA")</f>
        <v>0</v>
      </c>
      <c r="L423" s="4">
        <f>IFERROR(DONNEES!L201-L203,"NA")</f>
        <v>0</v>
      </c>
      <c r="M423" s="4">
        <f>IFERROR(DONNEES!M201-M203,"NA")</f>
        <v>0</v>
      </c>
      <c r="N423" s="4">
        <f>IFERROR(DONNEES!N201-N203,"NA")</f>
        <v>-0.63851170986890815</v>
      </c>
      <c r="O423" s="4">
        <f>IFERROR(DONNEES!O201-O203,"NA")</f>
        <v>0</v>
      </c>
    </row>
    <row r="424" spans="1:15" x14ac:dyDescent="0.3">
      <c r="A424" t="s">
        <v>434</v>
      </c>
      <c r="B424" s="4" t="str">
        <f>IFERROR(DONNEES!B202-B204,"NA")</f>
        <v>NA</v>
      </c>
      <c r="C424" s="4" t="str">
        <f>IFERROR(DONNEES!C202-C204,"NA")</f>
        <v>NA</v>
      </c>
      <c r="D424" s="4" t="str">
        <f>IFERROR(DONNEES!D202-D204,"NA")</f>
        <v>NA</v>
      </c>
      <c r="E424" s="4">
        <f>IFERROR(DONNEES!E202-E204,"NA")</f>
        <v>0</v>
      </c>
      <c r="F424" s="4">
        <f>IFERROR(DONNEES!F202-F204,"NA")</f>
        <v>0</v>
      </c>
      <c r="G424" s="4">
        <f>IFERROR(DONNEES!G202-G204,"NA")</f>
        <v>0</v>
      </c>
      <c r="H424" s="4" t="str">
        <f>IFERROR(DONNEES!H202-H204,"NA")</f>
        <v>NA</v>
      </c>
      <c r="I424" s="4">
        <f>IFERROR(DONNEES!I202-I204,"NA")</f>
        <v>0</v>
      </c>
      <c r="J424" s="4">
        <f>IFERROR(DONNEES!J202-J204,"NA")</f>
        <v>0</v>
      </c>
      <c r="K424" s="4">
        <f>IFERROR(DONNEES!K202-K204,"NA")</f>
        <v>0</v>
      </c>
      <c r="L424" s="4" t="str">
        <f>IFERROR(DONNEES!L202-L204,"NA")</f>
        <v>NA</v>
      </c>
      <c r="M424" s="4" t="str">
        <f>IFERROR(DONNEES!M202-M204,"NA")</f>
        <v>NA</v>
      </c>
      <c r="N424" s="4" t="str">
        <f>IFERROR(DONNEES!N202-N204,"NA")</f>
        <v>NA</v>
      </c>
      <c r="O424" s="4" t="str">
        <f>IFERROR(DONNEES!O202-O204,"NA")</f>
        <v>NA</v>
      </c>
    </row>
    <row r="425" spans="1:15" x14ac:dyDescent="0.3">
      <c r="A425" t="s">
        <v>436</v>
      </c>
      <c r="B425" s="4">
        <f>IFERROR(DONNEES!B203-B205,"NA")</f>
        <v>0</v>
      </c>
      <c r="C425" s="4">
        <f>IFERROR(DONNEES!C203-C205,"NA")</f>
        <v>0</v>
      </c>
      <c r="D425" s="4" t="str">
        <f>IFERROR(DONNEES!D203-D205,"NA")</f>
        <v>NA</v>
      </c>
      <c r="E425" s="4">
        <f>IFERROR(DONNEES!E203-E205,"NA")</f>
        <v>0</v>
      </c>
      <c r="F425" s="4">
        <f>IFERROR(DONNEES!F203-F205,"NA")</f>
        <v>0</v>
      </c>
      <c r="G425" s="4">
        <f>IFERROR(DONNEES!G203-G205,"NA")</f>
        <v>0</v>
      </c>
      <c r="H425" s="4">
        <f>IFERROR(DONNEES!H203-H205,"NA")</f>
        <v>0</v>
      </c>
      <c r="I425" s="4">
        <f>IFERROR(DONNEES!I203-I205,"NA")</f>
        <v>0</v>
      </c>
      <c r="J425" s="4">
        <f>IFERROR(DONNEES!J203-J205,"NA")</f>
        <v>0</v>
      </c>
      <c r="K425" s="4">
        <f>IFERROR(DONNEES!K203-K205,"NA")</f>
        <v>0</v>
      </c>
      <c r="L425" s="4">
        <f>IFERROR(DONNEES!L203-L205,"NA")</f>
        <v>0</v>
      </c>
      <c r="M425" s="4">
        <f>IFERROR(DONNEES!M203-M205,"NA")</f>
        <v>0</v>
      </c>
      <c r="N425" s="4">
        <f>IFERROR(DONNEES!N203-N205,"NA")</f>
        <v>-0.86435041949153046</v>
      </c>
      <c r="O425" s="4">
        <f>IFERROR(DONNEES!O203-O205,"NA")</f>
        <v>0</v>
      </c>
    </row>
    <row r="426" spans="1:15" x14ac:dyDescent="0.3">
      <c r="A426" t="s">
        <v>438</v>
      </c>
      <c r="B426" s="4">
        <f>IFERROR(DONNEES!B204-B206,"NA")</f>
        <v>0</v>
      </c>
      <c r="C426" s="4">
        <f>IFERROR(DONNEES!C204-C206,"NA")</f>
        <v>0</v>
      </c>
      <c r="D426" s="4">
        <f>IFERROR(DONNEES!D204-D206,"NA")</f>
        <v>0</v>
      </c>
      <c r="E426" s="4">
        <f>IFERROR(DONNEES!E204-E206,"NA")</f>
        <v>0</v>
      </c>
      <c r="F426" s="4">
        <f>IFERROR(DONNEES!F204-F206,"NA")</f>
        <v>0</v>
      </c>
      <c r="G426" s="4">
        <f>IFERROR(DONNEES!G204-G206,"NA")</f>
        <v>0</v>
      </c>
      <c r="H426" s="4">
        <f>IFERROR(DONNEES!H204-H206,"NA")</f>
        <v>0</v>
      </c>
      <c r="I426" s="4">
        <f>IFERROR(DONNEES!I204-I206,"NA")</f>
        <v>0</v>
      </c>
      <c r="J426" s="4">
        <f>IFERROR(DONNEES!J204-J206,"NA")</f>
        <v>0</v>
      </c>
      <c r="K426" s="4">
        <f>IFERROR(DONNEES!K204-K206,"NA")</f>
        <v>0</v>
      </c>
      <c r="L426" s="4">
        <f>IFERROR(DONNEES!L204-L206,"NA")</f>
        <v>0</v>
      </c>
      <c r="M426" s="4">
        <f>IFERROR(DONNEES!M204-M206,"NA")</f>
        <v>0</v>
      </c>
      <c r="N426" s="4">
        <f>IFERROR(DONNEES!N204-N206,"NA")</f>
        <v>-1.9770973001917207</v>
      </c>
      <c r="O426" s="4">
        <f>IFERROR(DONNEES!O204-O206,"NA")</f>
        <v>0</v>
      </c>
    </row>
    <row r="427" spans="1:15" x14ac:dyDescent="0.3">
      <c r="A427" t="s">
        <v>440</v>
      </c>
      <c r="B427" s="4">
        <f>IFERROR(DONNEES!B205-B207,"NA")</f>
        <v>0</v>
      </c>
      <c r="C427" s="4">
        <f>IFERROR(DONNEES!C205-C207,"NA")</f>
        <v>0</v>
      </c>
      <c r="D427" s="4">
        <f>IFERROR(DONNEES!D205-D207,"NA")</f>
        <v>0</v>
      </c>
      <c r="E427" s="4">
        <f>IFERROR(DONNEES!E205-E207,"NA")</f>
        <v>0</v>
      </c>
      <c r="F427" s="4">
        <f>IFERROR(DONNEES!F205-F207,"NA")</f>
        <v>0</v>
      </c>
      <c r="G427" s="4">
        <f>IFERROR(DONNEES!G205-G207,"NA")</f>
        <v>0</v>
      </c>
      <c r="H427" s="4">
        <f>IFERROR(DONNEES!H205-H207,"NA")</f>
        <v>0</v>
      </c>
      <c r="I427" s="4">
        <f>IFERROR(DONNEES!I205-I207,"NA")</f>
        <v>0</v>
      </c>
      <c r="J427" s="4">
        <f>IFERROR(DONNEES!J205-J207,"NA")</f>
        <v>0</v>
      </c>
      <c r="K427" s="4">
        <f>IFERROR(DONNEES!K205-K207,"NA")</f>
        <v>0</v>
      </c>
      <c r="L427" s="4">
        <f>IFERROR(DONNEES!L205-L207,"NA")</f>
        <v>0</v>
      </c>
      <c r="M427" s="4">
        <f>IFERROR(DONNEES!M205-M207,"NA")</f>
        <v>0</v>
      </c>
      <c r="N427" s="4">
        <f>IFERROR(DONNEES!N205-N207,"NA")</f>
        <v>-1.4511893043915429</v>
      </c>
      <c r="O427" s="4">
        <f>IFERROR(DONNEES!O205-O207,"NA")</f>
        <v>0</v>
      </c>
    </row>
    <row r="428" spans="1:15" x14ac:dyDescent="0.3">
      <c r="A428" t="s">
        <v>442</v>
      </c>
      <c r="B428" s="4">
        <f>IFERROR(DONNEES!B206-B208,"NA")</f>
        <v>0</v>
      </c>
      <c r="C428" s="4">
        <f>IFERROR(DONNEES!C206-C208,"NA")</f>
        <v>0</v>
      </c>
      <c r="D428" s="4">
        <f>IFERROR(DONNEES!D206-D208,"NA")</f>
        <v>0</v>
      </c>
      <c r="E428" s="4">
        <f>IFERROR(DONNEES!E206-E208,"NA")</f>
        <v>0</v>
      </c>
      <c r="F428" s="4">
        <f>IFERROR(DONNEES!F206-F208,"NA")</f>
        <v>0</v>
      </c>
      <c r="G428" s="4">
        <f>IFERROR(DONNEES!G206-G208,"NA")</f>
        <v>0</v>
      </c>
      <c r="H428" s="4">
        <f>IFERROR(DONNEES!H206-H208,"NA")</f>
        <v>0</v>
      </c>
      <c r="I428" s="4">
        <f>IFERROR(DONNEES!I206-I208,"NA")</f>
        <v>0</v>
      </c>
      <c r="J428" s="4">
        <f>IFERROR(DONNEES!J206-J208,"NA")</f>
        <v>0</v>
      </c>
      <c r="K428" s="4">
        <f>IFERROR(DONNEES!K206-K208,"NA")</f>
        <v>0</v>
      </c>
      <c r="L428" s="4">
        <f>IFERROR(DONNEES!L206-L208,"NA")</f>
        <v>0</v>
      </c>
      <c r="M428" s="4">
        <f>IFERROR(DONNEES!M206-M208,"NA")</f>
        <v>0</v>
      </c>
      <c r="N428" s="4">
        <f>IFERROR(DONNEES!N206-N208,"NA")</f>
        <v>1.8262146251897011</v>
      </c>
      <c r="O428" s="4">
        <f>IFERROR(DONNEES!O206-O208,"NA")</f>
        <v>0</v>
      </c>
    </row>
    <row r="429" spans="1:15" x14ac:dyDescent="0.3">
      <c r="A429" t="s">
        <v>444</v>
      </c>
      <c r="B429" s="4">
        <f>IFERROR(DONNEES!B207-B209,"NA")</f>
        <v>0</v>
      </c>
      <c r="C429" s="4">
        <f>IFERROR(DONNEES!C207-C209,"NA")</f>
        <v>0</v>
      </c>
      <c r="D429" s="4">
        <f>IFERROR(DONNEES!D207-D209,"NA")</f>
        <v>0</v>
      </c>
      <c r="E429" s="4">
        <f>IFERROR(DONNEES!E207-E209,"NA")</f>
        <v>0</v>
      </c>
      <c r="F429" s="4">
        <f>IFERROR(DONNEES!F207-F209,"NA")</f>
        <v>0</v>
      </c>
      <c r="G429" s="4">
        <f>IFERROR(DONNEES!G207-G209,"NA")</f>
        <v>0</v>
      </c>
      <c r="H429" s="4">
        <f>IFERROR(DONNEES!H207-H209,"NA")</f>
        <v>0</v>
      </c>
      <c r="I429" s="4">
        <f>IFERROR(DONNEES!I207-I209,"NA")</f>
        <v>0</v>
      </c>
      <c r="J429" s="4">
        <f>IFERROR(DONNEES!J207-J209,"NA")</f>
        <v>0</v>
      </c>
      <c r="K429" s="4">
        <f>IFERROR(DONNEES!K207-K209,"NA")</f>
        <v>0</v>
      </c>
      <c r="L429" s="4">
        <f>IFERROR(DONNEES!L207-L209,"NA")</f>
        <v>0</v>
      </c>
      <c r="M429" s="4">
        <f>IFERROR(DONNEES!M207-M209,"NA")</f>
        <v>0</v>
      </c>
      <c r="N429" s="4">
        <f>IFERROR(DONNEES!N207-N209,"NA")</f>
        <v>1.208954279931884</v>
      </c>
      <c r="O429" s="4">
        <f>IFERROR(DONNEES!O207-O209,"NA")</f>
        <v>0</v>
      </c>
    </row>
    <row r="430" spans="1:15" x14ac:dyDescent="0.3">
      <c r="A430" t="s">
        <v>446</v>
      </c>
      <c r="B430" s="4">
        <f>IFERROR(DONNEES!B208-B210,"NA")</f>
        <v>0</v>
      </c>
      <c r="C430" s="4">
        <f>IFERROR(DONNEES!C208-C210,"NA")</f>
        <v>0</v>
      </c>
      <c r="D430" s="4">
        <f>IFERROR(DONNEES!D208-D210,"NA")</f>
        <v>0</v>
      </c>
      <c r="E430" s="4">
        <f>IFERROR(DONNEES!E208-E210,"NA")</f>
        <v>0</v>
      </c>
      <c r="F430" s="4">
        <f>IFERROR(DONNEES!F208-F210,"NA")</f>
        <v>0</v>
      </c>
      <c r="G430" s="4">
        <f>IFERROR(DONNEES!G208-G210,"NA")</f>
        <v>0</v>
      </c>
      <c r="H430" s="4">
        <f>IFERROR(DONNEES!H208-H210,"NA")</f>
        <v>0</v>
      </c>
      <c r="I430" s="4">
        <f>IFERROR(DONNEES!I208-I210,"NA")</f>
        <v>0</v>
      </c>
      <c r="J430" s="4">
        <f>IFERROR(DONNEES!J208-J210,"NA")</f>
        <v>0</v>
      </c>
      <c r="K430" s="4">
        <f>IFERROR(DONNEES!K208-K210,"NA")</f>
        <v>0</v>
      </c>
      <c r="L430" s="4">
        <f>IFERROR(DONNEES!L208-L210,"NA")</f>
        <v>0</v>
      </c>
      <c r="M430" s="4">
        <f>IFERROR(DONNEES!M208-M210,"NA")</f>
        <v>0</v>
      </c>
      <c r="N430" s="4">
        <f>IFERROR(DONNEES!N208-N210,"NA")</f>
        <v>3.2122258394956598</v>
      </c>
      <c r="O430" s="4">
        <f>IFERROR(DONNEES!O208-O210,"NA")</f>
        <v>0</v>
      </c>
    </row>
    <row r="431" spans="1:15" x14ac:dyDescent="0.3">
      <c r="A431" t="s">
        <v>448</v>
      </c>
      <c r="B431" s="4">
        <f>IFERROR(DONNEES!B209-B211,"NA")</f>
        <v>0</v>
      </c>
      <c r="C431" s="4">
        <f>IFERROR(DONNEES!C209-C211,"NA")</f>
        <v>0</v>
      </c>
      <c r="D431" s="4">
        <f>IFERROR(DONNEES!D209-D211,"NA")</f>
        <v>0</v>
      </c>
      <c r="E431" s="4">
        <f>IFERROR(DONNEES!E209-E211,"NA")</f>
        <v>0</v>
      </c>
      <c r="F431" s="4">
        <f>IFERROR(DONNEES!F209-F211,"NA")</f>
        <v>0</v>
      </c>
      <c r="G431" s="4">
        <f>IFERROR(DONNEES!G209-G211,"NA")</f>
        <v>0</v>
      </c>
      <c r="H431" s="4">
        <f>IFERROR(DONNEES!H209-H211,"NA")</f>
        <v>0</v>
      </c>
      <c r="I431" s="4">
        <f>IFERROR(DONNEES!I209-I211,"NA")</f>
        <v>0</v>
      </c>
      <c r="J431" s="4">
        <f>IFERROR(DONNEES!J209-J211,"NA")</f>
        <v>0</v>
      </c>
      <c r="K431" s="4">
        <f>IFERROR(DONNEES!K209-K211,"NA")</f>
        <v>0</v>
      </c>
      <c r="L431" s="4">
        <f>IFERROR(DONNEES!L209-L211,"NA")</f>
        <v>0</v>
      </c>
      <c r="M431" s="4">
        <f>IFERROR(DONNEES!M209-M211,"NA")</f>
        <v>0</v>
      </c>
      <c r="N431" s="4">
        <f>IFERROR(DONNEES!N209-N211,"NA")</f>
        <v>1.0025318209081888</v>
      </c>
      <c r="O431" s="4">
        <f>IFERROR(DONNEES!O209-O211,"NA")</f>
        <v>0</v>
      </c>
    </row>
    <row r="432" spans="1:15" x14ac:dyDescent="0.3">
      <c r="A432" t="s">
        <v>450</v>
      </c>
      <c r="B432" s="4">
        <f>IFERROR(DONNEES!B210-B212,"NA")</f>
        <v>0</v>
      </c>
      <c r="C432" s="4">
        <f>IFERROR(DONNEES!C210-C212,"NA")</f>
        <v>0</v>
      </c>
      <c r="D432" s="4">
        <f>IFERROR(DONNEES!D210-D212,"NA")</f>
        <v>0</v>
      </c>
      <c r="E432" s="4">
        <f>IFERROR(DONNEES!E210-E212,"NA")</f>
        <v>0</v>
      </c>
      <c r="F432" s="4">
        <f>IFERROR(DONNEES!F210-F212,"NA")</f>
        <v>0</v>
      </c>
      <c r="G432" s="4">
        <f>IFERROR(DONNEES!G210-G212,"NA")</f>
        <v>0</v>
      </c>
      <c r="H432" s="4">
        <f>IFERROR(DONNEES!H210-H212,"NA")</f>
        <v>0</v>
      </c>
      <c r="I432" s="4" t="str">
        <f>IFERROR(DONNEES!I210-I212,"NA")</f>
        <v>NA</v>
      </c>
      <c r="J432" s="4" t="str">
        <f>IFERROR(DONNEES!J210-J212,"NA")</f>
        <v>NA</v>
      </c>
      <c r="K432" s="4" t="str">
        <f>IFERROR(DONNEES!K210-K212,"NA")</f>
        <v>NA</v>
      </c>
      <c r="L432" s="4">
        <f>IFERROR(DONNEES!L210-L212,"NA")</f>
        <v>0</v>
      </c>
      <c r="M432" s="4">
        <f>IFERROR(DONNEES!M210-M212,"NA")</f>
        <v>0</v>
      </c>
      <c r="N432" s="4">
        <f>IFERROR(DONNEES!N210-N212,"NA")</f>
        <v>-2.0694928946006197</v>
      </c>
      <c r="O432" s="4">
        <f>IFERROR(DONNEES!O210-O212,"NA")</f>
        <v>0</v>
      </c>
    </row>
    <row r="433" spans="1:20" x14ac:dyDescent="0.3">
      <c r="A433" t="s">
        <v>452</v>
      </c>
      <c r="B433" s="4">
        <f>IFERROR(DONNEES!B211-B213,"NA")</f>
        <v>0</v>
      </c>
      <c r="C433" s="4">
        <f>IFERROR(DONNEES!C211-C213,"NA")</f>
        <v>0</v>
      </c>
      <c r="D433" s="4">
        <f>IFERROR(DONNEES!D211-D213,"NA")</f>
        <v>0</v>
      </c>
      <c r="E433" s="4">
        <f>IFERROR(DONNEES!E211-E213,"NA")</f>
        <v>0</v>
      </c>
      <c r="F433" s="4">
        <f>IFERROR(DONNEES!F211-F213,"NA")</f>
        <v>0</v>
      </c>
      <c r="G433" s="4">
        <f>IFERROR(DONNEES!G211-G213,"NA")</f>
        <v>0</v>
      </c>
      <c r="H433" s="4">
        <f>IFERROR(DONNEES!H211-H213,"NA")</f>
        <v>0</v>
      </c>
      <c r="I433" s="4">
        <f>IFERROR(DONNEES!I211-I213,"NA")</f>
        <v>0</v>
      </c>
      <c r="J433" s="4">
        <f>IFERROR(DONNEES!J211-J213,"NA")</f>
        <v>0</v>
      </c>
      <c r="K433" s="4">
        <f>IFERROR(DONNEES!K211-K213,"NA")</f>
        <v>0</v>
      </c>
      <c r="L433" s="4">
        <f>IFERROR(DONNEES!L211-L213,"NA")</f>
        <v>0</v>
      </c>
      <c r="M433" s="4">
        <f>IFERROR(DONNEES!M211-M213,"NA")</f>
        <v>0</v>
      </c>
      <c r="N433" s="4">
        <f>IFERROR(DONNEES!N211-N213,"NA")</f>
        <v>0.82272858762492751</v>
      </c>
      <c r="O433" s="4">
        <f>IFERROR(DONNEES!O211-O213,"NA")</f>
        <v>0</v>
      </c>
    </row>
    <row r="434" spans="1:20" x14ac:dyDescent="0.3">
      <c r="A434" t="s">
        <v>454</v>
      </c>
      <c r="B434" s="4" t="str">
        <f>IFERROR(DONNEES!B212-B214,"NA")</f>
        <v>NA</v>
      </c>
      <c r="C434" s="4" t="str">
        <f>IFERROR(DONNEES!C212-C214,"NA")</f>
        <v>NA</v>
      </c>
      <c r="D434" s="4">
        <f>IFERROR(DONNEES!D212-D214,"NA")</f>
        <v>0</v>
      </c>
      <c r="E434" s="4">
        <f>IFERROR(DONNEES!E212-E214,"NA")</f>
        <v>0</v>
      </c>
      <c r="F434" s="4">
        <f>IFERROR(DONNEES!F212-F214,"NA")</f>
        <v>0</v>
      </c>
      <c r="G434" s="4">
        <f>IFERROR(DONNEES!G212-G214,"NA")</f>
        <v>0</v>
      </c>
      <c r="H434" s="4">
        <f>IFERROR(DONNEES!H212-H214,"NA")</f>
        <v>0</v>
      </c>
      <c r="I434" s="4">
        <f>IFERROR(DONNEES!I212-I214,"NA")</f>
        <v>0</v>
      </c>
      <c r="J434" s="4">
        <f>IFERROR(DONNEES!J212-J214,"NA")</f>
        <v>0</v>
      </c>
      <c r="K434" s="4">
        <f>IFERROR(DONNEES!K212-K214,"NA")</f>
        <v>0</v>
      </c>
      <c r="L434" s="4">
        <f>IFERROR(DONNEES!L212-L214,"NA")</f>
        <v>0</v>
      </c>
      <c r="M434" s="4">
        <f>IFERROR(DONNEES!M212-M214,"NA")</f>
        <v>0</v>
      </c>
      <c r="N434" s="4">
        <f>IFERROR(DONNEES!N212-N214,"NA")</f>
        <v>-0.28855844835440392</v>
      </c>
      <c r="O434" s="4">
        <f>IFERROR(DONNEES!O212-O214,"NA")</f>
        <v>0</v>
      </c>
    </row>
    <row r="435" spans="1:20" x14ac:dyDescent="0.3">
      <c r="A435" t="s">
        <v>456</v>
      </c>
      <c r="B435" s="4">
        <f>IFERROR(DONNEES!B213-B215,"NA")</f>
        <v>0</v>
      </c>
      <c r="C435" s="4">
        <f>IFERROR(DONNEES!C213-C215,"NA")</f>
        <v>0</v>
      </c>
      <c r="D435" s="4">
        <f>IFERROR(DONNEES!D213-D215,"NA")</f>
        <v>0</v>
      </c>
      <c r="E435" s="4">
        <f>IFERROR(DONNEES!E213-E215,"NA")</f>
        <v>0</v>
      </c>
      <c r="F435" s="4">
        <f>IFERROR(DONNEES!F213-F215,"NA")</f>
        <v>0</v>
      </c>
      <c r="G435" s="4">
        <f>IFERROR(DONNEES!G213-G215,"NA")</f>
        <v>0</v>
      </c>
      <c r="H435" s="4">
        <f>IFERROR(DONNEES!H213-H215,"NA")</f>
        <v>0</v>
      </c>
      <c r="I435" s="4">
        <f>IFERROR(DONNEES!I213-I215,"NA")</f>
        <v>0</v>
      </c>
      <c r="J435" s="4">
        <f>IFERROR(DONNEES!J213-J215,"NA")</f>
        <v>0</v>
      </c>
      <c r="K435" s="4">
        <f>IFERROR(DONNEES!K213-K215,"NA")</f>
        <v>0</v>
      </c>
      <c r="L435" s="4">
        <f>IFERROR(DONNEES!L213-L215,"NA")</f>
        <v>0</v>
      </c>
      <c r="M435" s="4">
        <f>IFERROR(DONNEES!M213-M215,"NA")</f>
        <v>0</v>
      </c>
      <c r="N435" s="4">
        <f>IFERROR(DONNEES!N213-N215,"NA")</f>
        <v>6.8525499974687876E-2</v>
      </c>
      <c r="O435" s="4">
        <f>IFERROR(DONNEES!O213-O215,"NA")</f>
        <v>0</v>
      </c>
    </row>
    <row r="436" spans="1:20" x14ac:dyDescent="0.3">
      <c r="A436" t="s">
        <v>458</v>
      </c>
      <c r="B436" s="4" t="str">
        <f>IFERROR(DONNEES!B214-B216,"NA")</f>
        <v>NA</v>
      </c>
      <c r="C436" s="4" t="str">
        <f>IFERROR(DONNEES!C214-C216,"NA")</f>
        <v>NA</v>
      </c>
      <c r="D436" s="4" t="str">
        <f>IFERROR(DONNEES!D214-D216,"NA")</f>
        <v>NA</v>
      </c>
      <c r="E436" s="4">
        <f>IFERROR(DONNEES!E214-E216,"NA")</f>
        <v>0</v>
      </c>
      <c r="F436" s="4">
        <f>IFERROR(DONNEES!F214-F216,"NA")</f>
        <v>0</v>
      </c>
      <c r="G436" s="4">
        <f>IFERROR(DONNEES!G214-G216,"NA")</f>
        <v>0</v>
      </c>
      <c r="H436" s="4">
        <f>IFERROR(DONNEES!H214-H216,"NA")</f>
        <v>0</v>
      </c>
      <c r="I436" s="4" t="str">
        <f>IFERROR(DONNEES!I214-I216,"NA")</f>
        <v>NA</v>
      </c>
      <c r="J436" s="4" t="str">
        <f>IFERROR(DONNEES!J214-J216,"NA")</f>
        <v>NA</v>
      </c>
      <c r="K436" s="4" t="str">
        <f>IFERROR(DONNEES!K214-K216,"NA")</f>
        <v>NA</v>
      </c>
      <c r="L436" s="4">
        <f>IFERROR(DONNEES!L214-L216,"NA")</f>
        <v>0</v>
      </c>
      <c r="M436" s="4">
        <f>IFERROR(DONNEES!M214-M216,"NA")</f>
        <v>0</v>
      </c>
      <c r="N436" s="4">
        <f>IFERROR(DONNEES!N214-N216,"NA")</f>
        <v>2.3357348324763678</v>
      </c>
      <c r="O436" s="4">
        <f>IFERROR(DONNEES!O214-O216,"NA")</f>
        <v>0</v>
      </c>
    </row>
    <row r="437" spans="1:20" x14ac:dyDescent="0.3">
      <c r="A437" t="s">
        <v>460</v>
      </c>
      <c r="B437" s="4">
        <f>IFERROR(DONNEES!B215-B217,"NA")</f>
        <v>0</v>
      </c>
      <c r="C437" s="4">
        <f>IFERROR(DONNEES!C215-C217,"NA")</f>
        <v>0</v>
      </c>
      <c r="D437" s="4">
        <f>IFERROR(DONNEES!D215-D217,"NA")</f>
        <v>0</v>
      </c>
      <c r="E437" s="4">
        <f>IFERROR(DONNEES!E215-E217,"NA")</f>
        <v>0</v>
      </c>
      <c r="F437" s="4">
        <f>IFERROR(DONNEES!F215-F217,"NA")</f>
        <v>0</v>
      </c>
      <c r="G437" s="4">
        <f>IFERROR(DONNEES!G215-G217,"NA")</f>
        <v>0</v>
      </c>
      <c r="H437" s="4">
        <f>IFERROR(DONNEES!H215-H217,"NA")</f>
        <v>0</v>
      </c>
      <c r="I437" s="4">
        <f>IFERROR(DONNEES!I215-I217,"NA")</f>
        <v>0</v>
      </c>
      <c r="J437" s="4">
        <f>IFERROR(DONNEES!J215-J217,"NA")</f>
        <v>0</v>
      </c>
      <c r="K437" s="4">
        <f>IFERROR(DONNEES!K215-K217,"NA")</f>
        <v>0</v>
      </c>
      <c r="L437" s="4">
        <f>IFERROR(DONNEES!L215-L217,"NA")</f>
        <v>0</v>
      </c>
      <c r="M437" s="4">
        <f>IFERROR(DONNEES!M215-M217,"NA")</f>
        <v>0</v>
      </c>
      <c r="N437" s="4">
        <f>IFERROR(DONNEES!N215-N217,"NA")</f>
        <v>1.1116307514409225</v>
      </c>
      <c r="O437" s="4">
        <f>IFERROR(DONNEES!O215-O217,"NA")</f>
        <v>0</v>
      </c>
    </row>
    <row r="438" spans="1:20" x14ac:dyDescent="0.3">
      <c r="A438" t="s">
        <v>462</v>
      </c>
      <c r="B438" s="4">
        <f>IFERROR(DONNEES!B216-B218,"NA")</f>
        <v>0</v>
      </c>
      <c r="C438" s="4">
        <f>IFERROR(DONNEES!C216-C218,"NA")</f>
        <v>0</v>
      </c>
      <c r="D438" s="4">
        <f>IFERROR(DONNEES!D216-D218,"NA")</f>
        <v>0</v>
      </c>
      <c r="E438" s="4">
        <f>IFERROR(DONNEES!E216-E218,"NA")</f>
        <v>0</v>
      </c>
      <c r="F438" s="4">
        <f>IFERROR(DONNEES!F216-F218,"NA")</f>
        <v>0</v>
      </c>
      <c r="G438" s="4">
        <f>IFERROR(DONNEES!G216-G218,"NA")</f>
        <v>0</v>
      </c>
      <c r="H438" s="4">
        <f>IFERROR(DONNEES!H216-H218,"NA")</f>
        <v>0</v>
      </c>
      <c r="I438" s="4">
        <f>IFERROR(DONNEES!I216-I218,"NA")</f>
        <v>0</v>
      </c>
      <c r="J438" s="4">
        <f>IFERROR(DONNEES!J216-J218,"NA")</f>
        <v>0</v>
      </c>
      <c r="K438" s="4">
        <f>IFERROR(DONNEES!K216-K218,"NA")</f>
        <v>0</v>
      </c>
      <c r="L438" s="4">
        <f>IFERROR(DONNEES!L216-L218,"NA")</f>
        <v>0</v>
      </c>
      <c r="M438" s="4">
        <f>IFERROR(DONNEES!M216-M218,"NA")</f>
        <v>0</v>
      </c>
      <c r="N438" s="4">
        <f>IFERROR(DONNEES!N216-N218,"NA")</f>
        <v>3.060047328472093E-2</v>
      </c>
      <c r="O438" s="4">
        <f>IFERROR(DONNEES!O216-O218,"NA")</f>
        <v>0</v>
      </c>
    </row>
    <row r="439" spans="1:20" x14ac:dyDescent="0.3">
      <c r="A439" t="s">
        <v>464</v>
      </c>
      <c r="B439" s="4">
        <f>IFERROR(DONNEES!B217-B219,"NA")</f>
        <v>0</v>
      </c>
      <c r="C439" s="4">
        <f>IFERROR(DONNEES!C217-C219,"NA")</f>
        <v>0</v>
      </c>
      <c r="D439" s="4">
        <f>IFERROR(DONNEES!D217-D219,"NA")</f>
        <v>0</v>
      </c>
      <c r="E439" s="4">
        <f>IFERROR(DONNEES!E217-E219,"NA")</f>
        <v>0</v>
      </c>
      <c r="F439" s="4">
        <f>IFERROR(DONNEES!F217-F219,"NA")</f>
        <v>0</v>
      </c>
      <c r="G439" s="4">
        <f>IFERROR(DONNEES!G217-G219,"NA")</f>
        <v>0</v>
      </c>
      <c r="H439" s="4">
        <f>IFERROR(DONNEES!H217-H219,"NA")</f>
        <v>0</v>
      </c>
      <c r="I439" s="4">
        <f>IFERROR(DONNEES!I217-I219,"NA")</f>
        <v>0</v>
      </c>
      <c r="J439" s="4" t="str">
        <f>IFERROR(DONNEES!J217-J219,"NA")</f>
        <v>NA</v>
      </c>
      <c r="K439" s="4">
        <f>IFERROR(DONNEES!K217-K219,"NA")</f>
        <v>0</v>
      </c>
      <c r="L439" s="4">
        <f>IFERROR(DONNEES!L217-L219,"NA")</f>
        <v>0</v>
      </c>
      <c r="M439" s="4">
        <f>IFERROR(DONNEES!M217-M219,"NA")</f>
        <v>0</v>
      </c>
      <c r="N439" s="4">
        <f>IFERROR(DONNEES!N217-N219,"NA")</f>
        <v>0.23381521304448444</v>
      </c>
      <c r="O439" s="4">
        <f>IFERROR(DONNEES!O217-O219,"NA")</f>
        <v>0</v>
      </c>
    </row>
    <row r="440" spans="1:20" x14ac:dyDescent="0.3">
      <c r="A440" t="s">
        <v>466</v>
      </c>
      <c r="B440" s="4">
        <f>IFERROR(DONNEES!B218-B220,"NA")</f>
        <v>0</v>
      </c>
      <c r="C440" s="4">
        <f>IFERROR(DONNEES!C218-C220,"NA")</f>
        <v>0</v>
      </c>
      <c r="D440" s="4">
        <f>IFERROR(DONNEES!D218-D220,"NA")</f>
        <v>0</v>
      </c>
      <c r="E440" s="4">
        <f>IFERROR(DONNEES!E218-E220,"NA")</f>
        <v>0</v>
      </c>
      <c r="F440" s="4">
        <f>IFERROR(DONNEES!F218-F220,"NA")</f>
        <v>0</v>
      </c>
      <c r="G440" s="4">
        <f>IFERROR(DONNEES!G218-G220,"NA")</f>
        <v>0</v>
      </c>
      <c r="H440" s="4">
        <f>IFERROR(DONNEES!H218-H220,"NA")</f>
        <v>0</v>
      </c>
      <c r="I440" s="4">
        <f>IFERROR(DONNEES!I218-I220,"NA")</f>
        <v>0</v>
      </c>
      <c r="J440" s="4">
        <f>IFERROR(DONNEES!J218-J220,"NA")</f>
        <v>0</v>
      </c>
      <c r="K440" s="4">
        <f>IFERROR(DONNEES!K218-K220,"NA")</f>
        <v>0</v>
      </c>
      <c r="L440" s="4">
        <f>IFERROR(DONNEES!L218-L220,"NA")</f>
        <v>0</v>
      </c>
      <c r="M440" s="4">
        <f>IFERROR(DONNEES!M218-M220,"NA")</f>
        <v>0</v>
      </c>
      <c r="N440" s="4">
        <f>IFERROR(DONNEES!N218-N220,"NA")</f>
        <v>-0.84129400178790104</v>
      </c>
      <c r="O440" s="4">
        <f>IFERROR(DONNEES!O218-O220,"NA")</f>
        <v>0</v>
      </c>
    </row>
    <row r="441" spans="1:20" x14ac:dyDescent="0.3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20" x14ac:dyDescent="0.3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20" x14ac:dyDescent="0.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20" x14ac:dyDescent="0.3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20" x14ac:dyDescent="0.3">
      <c r="A445" t="s">
        <v>478</v>
      </c>
      <c r="B445" s="4">
        <f>COUNTIF(DONNEES!B2:B218,"NA")</f>
        <v>38</v>
      </c>
      <c r="C445" s="4"/>
      <c r="D445" s="4">
        <f>COUNTIF(DONNEES!D2:D218,"NA")</f>
        <v>36</v>
      </c>
      <c r="E445" s="4">
        <f>COUNTIF(DONNEES!E2:E218,"NA")</f>
        <v>0</v>
      </c>
      <c r="F445" s="4">
        <f>COUNTIF(DONNEES!F2:F218,"NA")</f>
        <v>0</v>
      </c>
      <c r="G445" s="4">
        <f>COUNTIF(DONNEES!G2:G218,"NA")</f>
        <v>5</v>
      </c>
      <c r="H445" s="4">
        <f>COUNTIF(DONNEES!H2:H218,"NA")</f>
        <v>12</v>
      </c>
      <c r="I445" s="4">
        <f>COUNTIF(DONNEES!I2:I218,"NA")</f>
        <v>24</v>
      </c>
      <c r="J445" s="4">
        <f>COUNTIF(DONNEES!J2:J218,"NA")</f>
        <v>24</v>
      </c>
      <c r="K445" s="4">
        <f>COUNTIF(DONNEES!K2:K218,"NA")</f>
        <v>25</v>
      </c>
      <c r="L445" s="4">
        <f>COUNTIF(DONNEES!L2:L218,"NA")</f>
        <v>12</v>
      </c>
      <c r="M445" s="4">
        <f>COUNTIF(DONNEES!M2:M218,"NA")</f>
        <v>12</v>
      </c>
      <c r="N445" s="4">
        <f>COUNTIF(DONNEES!N2:N218,"NA")</f>
        <v>12</v>
      </c>
      <c r="O445" s="4">
        <f>COUNTIF(DONNEES!O2:O218,"NA")</f>
        <v>12</v>
      </c>
      <c r="P445">
        <f>COUNTIF(DONNEES!P2:P218,"NA")</f>
        <v>30</v>
      </c>
      <c r="Q445">
        <f>COUNTIF(DONNEES!Q2:Q218,"NA")</f>
        <v>59</v>
      </c>
      <c r="R445">
        <f>COUNTIF(DONNEES!R2:R218,"NA")</f>
        <v>0</v>
      </c>
      <c r="S445">
        <f>COUNTIF(DONNEES!S2:S218,"NA")</f>
        <v>0</v>
      </c>
      <c r="T445">
        <f>COUNTIF(DONNEES!T2:T218,"NA")</f>
        <v>0</v>
      </c>
    </row>
    <row r="446" spans="1:20" x14ac:dyDescent="0.3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20" x14ac:dyDescent="0.3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20" x14ac:dyDescent="0.3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3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3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3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4" spans="1:15" x14ac:dyDescent="0.3">
      <c r="A454" t="s">
        <v>543</v>
      </c>
    </row>
    <row r="455" spans="1:15" x14ac:dyDescent="0.3">
      <c r="B455" t="s">
        <v>544</v>
      </c>
      <c r="D455" t="s">
        <v>545</v>
      </c>
      <c r="E455" t="s">
        <v>546</v>
      </c>
      <c r="I455" t="s">
        <v>547</v>
      </c>
    </row>
    <row r="456" spans="1:15" x14ac:dyDescent="0.3">
      <c r="A456" t="s">
        <v>31</v>
      </c>
      <c r="B456">
        <f>DONNEES!J222-DONNEES!M2</f>
        <v>0</v>
      </c>
      <c r="D456" s="12">
        <v>-1.7212338199218111</v>
      </c>
      <c r="E456">
        <v>-1.7212338199218111</v>
      </c>
      <c r="F456">
        <f>E456-D456</f>
        <v>0</v>
      </c>
      <c r="G456">
        <v>-1.7212338199218111</v>
      </c>
      <c r="I456">
        <v>100.72019250052313</v>
      </c>
      <c r="J456" s="12">
        <v>39.96787394417656</v>
      </c>
    </row>
    <row r="457" spans="1:15" x14ac:dyDescent="0.3">
      <c r="A457" t="s">
        <v>35</v>
      </c>
      <c r="B457">
        <f>DONNEES!J223-DONNEES!M3</f>
        <v>0</v>
      </c>
      <c r="D457" s="12">
        <v>-0.53877781021098314</v>
      </c>
      <c r="E457">
        <v>-0.53877781021098314</v>
      </c>
      <c r="F457">
        <f t="shared" ref="F457:F520" si="0">E457-D457</f>
        <v>0</v>
      </c>
      <c r="G457">
        <v>-0.53877781021098314</v>
      </c>
      <c r="I457">
        <v>39.96787394417656</v>
      </c>
      <c r="J457" s="12">
        <v>86.952466964721722</v>
      </c>
    </row>
    <row r="458" spans="1:15" x14ac:dyDescent="0.3">
      <c r="A458" t="s">
        <v>38</v>
      </c>
      <c r="B458">
        <f>DONNEES!J224-DONNEES!M4</f>
        <v>0</v>
      </c>
      <c r="D458" s="12">
        <v>-0.84774297724167502</v>
      </c>
      <c r="E458">
        <v>-0.84774297724167502</v>
      </c>
      <c r="F458">
        <f t="shared" si="0"/>
        <v>0</v>
      </c>
      <c r="G458">
        <v>-0.84774297724167502</v>
      </c>
      <c r="I458">
        <v>22.097866344451887</v>
      </c>
      <c r="J458" s="12">
        <v>78.364137088551246</v>
      </c>
    </row>
    <row r="459" spans="1:15" x14ac:dyDescent="0.3">
      <c r="A459" t="s">
        <v>40</v>
      </c>
      <c r="B459">
        <f>DONNEES!J225-DONNEES!M5</f>
        <v>0</v>
      </c>
      <c r="D459" s="12">
        <v>1.1612325185223629</v>
      </c>
      <c r="E459">
        <v>1.1612325185223629</v>
      </c>
      <c r="F459">
        <f t="shared" si="0"/>
        <v>0</v>
      </c>
      <c r="G459">
        <v>1.1612325185223629</v>
      </c>
      <c r="I459">
        <v>86.952466964721722</v>
      </c>
      <c r="J459" s="12" t="s">
        <v>37</v>
      </c>
    </row>
    <row r="460" spans="1:15" x14ac:dyDescent="0.3">
      <c r="A460" t="s">
        <v>42</v>
      </c>
      <c r="B460">
        <f>DONNEES!J226-DONNEES!M6</f>
        <v>0</v>
      </c>
      <c r="D460" s="12">
        <v>1.328359524408977</v>
      </c>
      <c r="E460">
        <v>1.328359524408977</v>
      </c>
      <c r="F460">
        <f t="shared" si="0"/>
        <v>0</v>
      </c>
      <c r="G460">
        <v>1.328359524408977</v>
      </c>
      <c r="I460">
        <v>89.524159386044474</v>
      </c>
      <c r="J460" s="12">
        <v>89.524159386044474</v>
      </c>
    </row>
    <row r="461" spans="1:15" x14ac:dyDescent="0.3">
      <c r="A461" t="s">
        <v>44</v>
      </c>
      <c r="B461">
        <f>DONNEES!J227-DONNEES!M7</f>
        <v>0</v>
      </c>
      <c r="D461" s="12">
        <v>-1.268366634845733</v>
      </c>
      <c r="E461">
        <v>-1.268366634845733</v>
      </c>
      <c r="F461">
        <f t="shared" si="0"/>
        <v>0</v>
      </c>
      <c r="G461">
        <v>-1.268366634845733</v>
      </c>
      <c r="I461">
        <v>90.954864501953082</v>
      </c>
      <c r="J461" s="12">
        <v>22.097866344451887</v>
      </c>
    </row>
    <row r="462" spans="1:15" x14ac:dyDescent="0.3">
      <c r="A462" t="s">
        <v>46</v>
      </c>
      <c r="B462">
        <f>DONNEES!J228-DONNEES!M8</f>
        <v>0</v>
      </c>
      <c r="D462" s="12">
        <v>0.71992284556229913</v>
      </c>
      <c r="E462">
        <v>0.71992284556229913</v>
      </c>
      <c r="F462">
        <f t="shared" si="0"/>
        <v>0</v>
      </c>
      <c r="G462">
        <v>0.71992284556229913</v>
      </c>
      <c r="I462">
        <v>98.955016502967197</v>
      </c>
      <c r="J462" s="12">
        <v>113.40095728093917</v>
      </c>
    </row>
    <row r="463" spans="1:15" x14ac:dyDescent="0.3">
      <c r="A463" t="s">
        <v>48</v>
      </c>
      <c r="B463">
        <f>DONNEES!J229-DONNEES!M9</f>
        <v>0</v>
      </c>
      <c r="D463" s="12">
        <v>-0.51334566467752063</v>
      </c>
      <c r="E463">
        <v>-0.51334566467752063</v>
      </c>
      <c r="F463">
        <f t="shared" si="0"/>
        <v>0</v>
      </c>
      <c r="G463">
        <v>-0.51334566467752063</v>
      </c>
      <c r="I463">
        <v>89.307829770174877</v>
      </c>
      <c r="J463" s="12">
        <v>98.955016502967197</v>
      </c>
    </row>
    <row r="464" spans="1:15" x14ac:dyDescent="0.3">
      <c r="A464" t="s">
        <v>50</v>
      </c>
      <c r="B464">
        <f>DONNEES!J230-DONNEES!M10</f>
        <v>0</v>
      </c>
      <c r="D464" s="12">
        <v>-0.35538289075096446</v>
      </c>
      <c r="E464">
        <v>-0.35538289075096446</v>
      </c>
      <c r="F464">
        <f t="shared" si="0"/>
        <v>0</v>
      </c>
      <c r="G464">
        <v>-0.35538289075096446</v>
      </c>
      <c r="I464" t="s">
        <v>37</v>
      </c>
      <c r="J464" s="12">
        <v>89.307829770174877</v>
      </c>
    </row>
    <row r="465" spans="1:10" x14ac:dyDescent="0.3">
      <c r="A465" t="s">
        <v>52</v>
      </c>
      <c r="B465">
        <f>DONNEES!J231-DONNEES!M11</f>
        <v>0</v>
      </c>
      <c r="D465" s="12">
        <v>1.1622112016928821</v>
      </c>
      <c r="E465">
        <v>1.1622112016928821</v>
      </c>
      <c r="F465">
        <f t="shared" si="0"/>
        <v>0</v>
      </c>
      <c r="G465">
        <v>1.1622112016928821</v>
      </c>
      <c r="I465">
        <v>113.40095728093917</v>
      </c>
      <c r="J465" s="12">
        <v>100.72019250052313</v>
      </c>
    </row>
    <row r="466" spans="1:10" x14ac:dyDescent="0.3">
      <c r="A466" t="s">
        <v>54</v>
      </c>
      <c r="B466">
        <f>DONNEES!J232-DONNEES!M12</f>
        <v>0</v>
      </c>
      <c r="D466" s="12">
        <v>1.7302952110767356</v>
      </c>
      <c r="E466">
        <v>1.7302952110767356</v>
      </c>
      <c r="F466">
        <f t="shared" si="0"/>
        <v>0</v>
      </c>
      <c r="G466">
        <v>1.7302952110767356</v>
      </c>
      <c r="I466">
        <v>146.69508056640632</v>
      </c>
      <c r="J466" s="12">
        <v>146.69508056640632</v>
      </c>
    </row>
    <row r="467" spans="1:10" x14ac:dyDescent="0.3">
      <c r="A467" t="s">
        <v>56</v>
      </c>
      <c r="B467">
        <f>DONNEES!J233-DONNEES!M13</f>
        <v>0</v>
      </c>
      <c r="D467" s="12">
        <v>1.828032463788986</v>
      </c>
      <c r="E467">
        <v>1.828032463788986</v>
      </c>
      <c r="F467">
        <f t="shared" si="0"/>
        <v>0</v>
      </c>
      <c r="G467">
        <v>1.828032463788986</v>
      </c>
      <c r="I467">
        <v>100.66311786792896</v>
      </c>
      <c r="J467" s="12">
        <v>100.66311786792896</v>
      </c>
    </row>
    <row r="468" spans="1:10" x14ac:dyDescent="0.3">
      <c r="A468" t="s">
        <v>58</v>
      </c>
      <c r="B468">
        <f>DONNEES!J234-DONNEES!M14</f>
        <v>0</v>
      </c>
      <c r="D468" s="12">
        <v>-0.8202803060412408</v>
      </c>
      <c r="E468">
        <v>-0.8202803060412408</v>
      </c>
      <c r="F468">
        <f t="shared" si="0"/>
        <v>0</v>
      </c>
      <c r="G468">
        <v>-0.8202803060412408</v>
      </c>
      <c r="I468">
        <v>84.919172433706436</v>
      </c>
      <c r="J468" s="12">
        <v>84.919172433706436</v>
      </c>
    </row>
    <row r="469" spans="1:10" x14ac:dyDescent="0.3">
      <c r="A469" t="s">
        <v>60</v>
      </c>
      <c r="B469">
        <f>DONNEES!J235-DONNEES!M15</f>
        <v>0</v>
      </c>
      <c r="D469" s="12">
        <v>0.75484676876415813</v>
      </c>
      <c r="E469">
        <v>0.75484676876415813</v>
      </c>
      <c r="F469">
        <f t="shared" si="0"/>
        <v>0</v>
      </c>
      <c r="G469">
        <v>0.75484676876415813</v>
      </c>
      <c r="I469">
        <v>29.503661155700691</v>
      </c>
      <c r="J469" s="12">
        <v>83.060658968411957</v>
      </c>
    </row>
    <row r="470" spans="1:10" x14ac:dyDescent="0.3">
      <c r="A470" t="s">
        <v>62</v>
      </c>
      <c r="B470">
        <f>DONNEES!J236-DONNEES!M16</f>
        <v>0</v>
      </c>
      <c r="D470" s="12">
        <v>0.42452548622774583</v>
      </c>
      <c r="E470">
        <v>0.42452548622774583</v>
      </c>
      <c r="F470">
        <f t="shared" si="0"/>
        <v>0</v>
      </c>
      <c r="G470">
        <v>0.42452548622774583</v>
      </c>
      <c r="I470">
        <v>155.73887207031257</v>
      </c>
      <c r="J470" s="12">
        <v>90.570099792480505</v>
      </c>
    </row>
    <row r="471" spans="1:10" x14ac:dyDescent="0.3">
      <c r="A471" t="s">
        <v>64</v>
      </c>
      <c r="B471">
        <f>DONNEES!J237-DONNEES!M17</f>
        <v>0</v>
      </c>
      <c r="D471" s="12">
        <v>-0.82140677918990479</v>
      </c>
      <c r="E471">
        <v>-0.82140677918990479</v>
      </c>
      <c r="F471">
        <f t="shared" si="0"/>
        <v>0</v>
      </c>
      <c r="G471">
        <v>-0.82140677918990479</v>
      </c>
      <c r="I471">
        <v>39.306518145969946</v>
      </c>
      <c r="J471" s="12">
        <v>55.475698471069336</v>
      </c>
    </row>
    <row r="472" spans="1:10" x14ac:dyDescent="0.3">
      <c r="A472" t="s">
        <v>66</v>
      </c>
      <c r="B472">
        <f>DONNEES!J238-DONNEES!M18</f>
        <v>0</v>
      </c>
      <c r="D472" s="12">
        <v>0.9886083429058391</v>
      </c>
      <c r="E472">
        <v>0.9886083429058391</v>
      </c>
      <c r="F472">
        <f t="shared" si="0"/>
        <v>0</v>
      </c>
      <c r="G472">
        <v>0.9886083429058391</v>
      </c>
      <c r="I472">
        <v>24.278902012368913</v>
      </c>
      <c r="J472" s="12">
        <v>107.51421598954634</v>
      </c>
    </row>
    <row r="473" spans="1:10" x14ac:dyDescent="0.3">
      <c r="A473" t="s">
        <v>68</v>
      </c>
      <c r="B473">
        <f>DONNEES!J239-DONNEES!M19</f>
        <v>0</v>
      </c>
      <c r="D473" s="12">
        <v>-1.0220174665252373</v>
      </c>
      <c r="E473">
        <v>-1.0220174665252373</v>
      </c>
      <c r="F473">
        <f t="shared" si="0"/>
        <v>0</v>
      </c>
      <c r="G473">
        <v>-1.0220174665252373</v>
      </c>
      <c r="I473">
        <v>55.475698471069336</v>
      </c>
      <c r="J473" s="12">
        <v>98.674236899928118</v>
      </c>
    </row>
    <row r="474" spans="1:10" x14ac:dyDescent="0.3">
      <c r="A474" t="s">
        <v>70</v>
      </c>
      <c r="B474">
        <f>DONNEES!J240-DONNEES!M20</f>
        <v>0</v>
      </c>
      <c r="D474" s="12">
        <v>1.3549161205689126</v>
      </c>
      <c r="E474">
        <v>1.3549161205689126</v>
      </c>
      <c r="F474">
        <f t="shared" si="0"/>
        <v>0</v>
      </c>
      <c r="G474">
        <v>1.3549161205689126</v>
      </c>
      <c r="I474">
        <v>92.131931446216726</v>
      </c>
      <c r="J474" s="12">
        <v>155.73887207031257</v>
      </c>
    </row>
    <row r="475" spans="1:10" x14ac:dyDescent="0.3">
      <c r="A475" t="s">
        <v>72</v>
      </c>
      <c r="B475">
        <f>DONNEES!J241-DONNEES!M21</f>
        <v>0</v>
      </c>
      <c r="D475" s="12">
        <v>-0.39967278600670397</v>
      </c>
      <c r="E475">
        <v>-0.39967278600670397</v>
      </c>
      <c r="F475">
        <f t="shared" si="0"/>
        <v>0</v>
      </c>
      <c r="G475">
        <v>-0.39967278600670397</v>
      </c>
      <c r="I475">
        <v>90.570099792480505</v>
      </c>
      <c r="J475" s="12">
        <v>78.156678835550949</v>
      </c>
    </row>
    <row r="476" spans="1:10" x14ac:dyDescent="0.3">
      <c r="A476" t="s">
        <v>74</v>
      </c>
      <c r="B476">
        <f>DONNEES!J242-DONNEES!M22</f>
        <v>0</v>
      </c>
      <c r="D476" s="12">
        <v>-0.50650970591232181</v>
      </c>
      <c r="E476">
        <v>-0.50650970591232181</v>
      </c>
      <c r="F476">
        <f t="shared" si="0"/>
        <v>0</v>
      </c>
      <c r="G476">
        <v>-0.50650970591232181</v>
      </c>
      <c r="I476">
        <v>83.060658968411957</v>
      </c>
      <c r="J476" s="12">
        <v>39.306518145969946</v>
      </c>
    </row>
    <row r="477" spans="1:10" x14ac:dyDescent="0.3">
      <c r="A477" t="s">
        <v>76</v>
      </c>
      <c r="B477">
        <f>DONNEES!J243-DONNEES!M23</f>
        <v>0</v>
      </c>
      <c r="D477" s="12">
        <v>0.90820859426942946</v>
      </c>
      <c r="E477">
        <v>0.90820859426942946</v>
      </c>
      <c r="F477">
        <f t="shared" si="0"/>
        <v>0</v>
      </c>
      <c r="G477">
        <v>0.90820859426942946</v>
      </c>
      <c r="I477">
        <v>84.573197841644287</v>
      </c>
      <c r="J477" s="12">
        <v>88.698726654052734</v>
      </c>
    </row>
    <row r="478" spans="1:10" x14ac:dyDescent="0.3">
      <c r="A478" t="s">
        <v>78</v>
      </c>
      <c r="B478">
        <f>DONNEES!J244-DONNEES!M24</f>
        <v>0</v>
      </c>
      <c r="D478" s="12">
        <v>0.3395169259359439</v>
      </c>
      <c r="E478">
        <v>0.3395169259359439</v>
      </c>
      <c r="F478">
        <f t="shared" si="0"/>
        <v>0</v>
      </c>
      <c r="G478">
        <v>0.3395169259359439</v>
      </c>
      <c r="I478">
        <v>98.674236899928118</v>
      </c>
      <c r="J478" s="12">
        <v>62.908112049102797</v>
      </c>
    </row>
    <row r="479" spans="1:10" x14ac:dyDescent="0.3">
      <c r="A479" t="s">
        <v>80</v>
      </c>
      <c r="B479">
        <f>DONNEES!J245-DONNEES!M25</f>
        <v>0</v>
      </c>
      <c r="D479" s="12">
        <v>-0.90665773302316699</v>
      </c>
      <c r="E479">
        <v>-0.90665773302316699</v>
      </c>
      <c r="F479">
        <f t="shared" si="0"/>
        <v>0</v>
      </c>
      <c r="G479">
        <v>-0.90665773302316699</v>
      </c>
      <c r="I479">
        <v>78.156678835550949</v>
      </c>
      <c r="J479" s="12">
        <v>76.921760559082017</v>
      </c>
    </row>
    <row r="480" spans="1:10" x14ac:dyDescent="0.3">
      <c r="A480" t="s">
        <v>82</v>
      </c>
      <c r="B480">
        <f>DONNEES!J246-DONNEES!M26</f>
        <v>0</v>
      </c>
      <c r="D480" s="12">
        <v>-0.36336777545511723</v>
      </c>
      <c r="E480">
        <v>-0.36336777545511723</v>
      </c>
      <c r="F480">
        <f t="shared" si="0"/>
        <v>0</v>
      </c>
      <c r="G480">
        <v>-0.36336777545511723</v>
      </c>
      <c r="I480">
        <v>88.698726654052734</v>
      </c>
      <c r="J480" s="12">
        <v>84.573197841644287</v>
      </c>
    </row>
    <row r="481" spans="1:10" x14ac:dyDescent="0.3">
      <c r="A481" t="s">
        <v>84</v>
      </c>
      <c r="B481">
        <f>DONNEES!J247-DONNEES!M27</f>
        <v>0</v>
      </c>
      <c r="D481" s="12">
        <v>0.52307551354169846</v>
      </c>
      <c r="E481">
        <v>0.52307551354169846</v>
      </c>
      <c r="F481">
        <f t="shared" si="0"/>
        <v>0</v>
      </c>
      <c r="G481">
        <v>0.52307551354169846</v>
      </c>
      <c r="I481">
        <v>76.921760559082017</v>
      </c>
      <c r="J481" s="12">
        <v>73.603632119985747</v>
      </c>
    </row>
    <row r="482" spans="1:10" x14ac:dyDescent="0.3">
      <c r="A482" t="s">
        <v>86</v>
      </c>
      <c r="B482">
        <f>DONNEES!J248-DONNEES!M28</f>
        <v>0</v>
      </c>
      <c r="D482" s="12">
        <v>-0.22986734705045811</v>
      </c>
      <c r="E482">
        <v>-0.22986734705045811</v>
      </c>
      <c r="F482">
        <f t="shared" si="0"/>
        <v>0</v>
      </c>
      <c r="G482">
        <v>-0.22986734705045811</v>
      </c>
      <c r="I482">
        <v>102.71184234619132</v>
      </c>
      <c r="J482" s="12">
        <v>102.71184234619132</v>
      </c>
    </row>
    <row r="483" spans="1:10" x14ac:dyDescent="0.3">
      <c r="A483" t="s">
        <v>88</v>
      </c>
      <c r="B483" t="e">
        <f>DONNEES!J249-DONNEES!M29</f>
        <v>#VALUE!</v>
      </c>
      <c r="D483" s="12" t="s">
        <v>37</v>
      </c>
      <c r="E483">
        <v>0.58958852011710394</v>
      </c>
      <c r="F483" t="e">
        <f t="shared" si="0"/>
        <v>#VALUE!</v>
      </c>
      <c r="G483" t="s">
        <v>37</v>
      </c>
      <c r="I483">
        <v>107.51421598954634</v>
      </c>
      <c r="J483" s="12">
        <v>98.07501029968266</v>
      </c>
    </row>
    <row r="484" spans="1:10" x14ac:dyDescent="0.3">
      <c r="A484" t="s">
        <v>90</v>
      </c>
      <c r="B484">
        <f>DONNEES!J250-DONNEES!M30</f>
        <v>0</v>
      </c>
      <c r="D484" s="12">
        <v>0.58958852011710394</v>
      </c>
      <c r="E484">
        <v>-0.12190506809080633</v>
      </c>
      <c r="F484">
        <f t="shared" si="0"/>
        <v>-0.71149358820791031</v>
      </c>
      <c r="G484">
        <v>0.58958852011710394</v>
      </c>
      <c r="I484">
        <v>87.681695689325736</v>
      </c>
      <c r="J484" s="12">
        <v>87.681695689325736</v>
      </c>
    </row>
    <row r="485" spans="1:10" x14ac:dyDescent="0.3">
      <c r="A485" t="s">
        <v>92</v>
      </c>
      <c r="B485">
        <f>DONNEES!J251-DONNEES!M31</f>
        <v>0</v>
      </c>
      <c r="D485" s="12">
        <v>-0.12190506809080633</v>
      </c>
      <c r="E485">
        <v>-0.51396337586144603</v>
      </c>
      <c r="F485">
        <f t="shared" si="0"/>
        <v>-0.39205830777063971</v>
      </c>
      <c r="G485">
        <v>-0.12190506809080633</v>
      </c>
      <c r="I485">
        <v>62.908112049102797</v>
      </c>
      <c r="J485" s="12">
        <v>92.131931446216726</v>
      </c>
    </row>
    <row r="486" spans="1:10" x14ac:dyDescent="0.3">
      <c r="A486" t="s">
        <v>94</v>
      </c>
      <c r="B486">
        <f>DONNEES!J252-DONNEES!M32</f>
        <v>0</v>
      </c>
      <c r="D486" s="12">
        <v>-0.51396337586144603</v>
      </c>
      <c r="E486">
        <v>-1.2744364961981776</v>
      </c>
      <c r="F486">
        <f t="shared" si="0"/>
        <v>-0.76047312033673153</v>
      </c>
      <c r="G486">
        <v>-0.51396337586144603</v>
      </c>
      <c r="I486">
        <v>73.603632119985747</v>
      </c>
      <c r="J486" s="12">
        <v>24.278902012368913</v>
      </c>
    </row>
    <row r="487" spans="1:10" x14ac:dyDescent="0.3">
      <c r="A487" t="s">
        <v>96</v>
      </c>
      <c r="B487">
        <f>DONNEES!J253-DONNEES!M33</f>
        <v>0</v>
      </c>
      <c r="D487" s="12">
        <v>-1.2744364961981776</v>
      </c>
      <c r="E487">
        <v>0.49301043028632785</v>
      </c>
      <c r="F487">
        <f t="shared" si="0"/>
        <v>1.7674469264845054</v>
      </c>
      <c r="G487">
        <v>-1.2744364961981776</v>
      </c>
      <c r="I487">
        <v>13.562921387808657</v>
      </c>
      <c r="J487" s="12">
        <v>29.503661155700691</v>
      </c>
    </row>
    <row r="488" spans="1:10" x14ac:dyDescent="0.3">
      <c r="A488" t="s">
        <v>98</v>
      </c>
      <c r="B488">
        <f>DONNEES!J254-DONNEES!M34</f>
        <v>0</v>
      </c>
      <c r="D488" s="12">
        <v>0.49301043028632785</v>
      </c>
      <c r="E488">
        <v>-1.0834277917941411</v>
      </c>
      <c r="F488">
        <f t="shared" si="0"/>
        <v>-1.5764382220804689</v>
      </c>
      <c r="G488">
        <v>0.49301043028632785</v>
      </c>
      <c r="I488">
        <v>106.40358768809917</v>
      </c>
      <c r="J488" s="12">
        <v>79.114567184448248</v>
      </c>
    </row>
    <row r="489" spans="1:10" x14ac:dyDescent="0.3">
      <c r="A489" t="s">
        <v>100</v>
      </c>
      <c r="B489">
        <f>DONNEES!J255-DONNEES!M35</f>
        <v>0</v>
      </c>
      <c r="D489" s="12">
        <v>-1.0834277917941411</v>
      </c>
      <c r="E489">
        <v>-1.1248984858393667</v>
      </c>
      <c r="F489">
        <f t="shared" si="0"/>
        <v>-4.1470694045225631E-2</v>
      </c>
      <c r="G489">
        <v>-1.0834277917941411</v>
      </c>
      <c r="I489">
        <v>98.211111450195233</v>
      </c>
      <c r="J489" s="12">
        <v>37.273588053385417</v>
      </c>
    </row>
    <row r="490" spans="1:10" x14ac:dyDescent="0.3">
      <c r="A490" t="s">
        <v>102</v>
      </c>
      <c r="B490">
        <f>DONNEES!J256-DONNEES!M36</f>
        <v>0</v>
      </c>
      <c r="D490" s="12">
        <v>-1.1248984858393667</v>
      </c>
      <c r="E490">
        <v>1.725627576311429</v>
      </c>
      <c r="F490">
        <f t="shared" si="0"/>
        <v>2.850526062150796</v>
      </c>
      <c r="G490">
        <v>-1.1248984858393667</v>
      </c>
      <c r="I490" t="s">
        <v>37</v>
      </c>
      <c r="J490" s="12">
        <v>39.452959272596573</v>
      </c>
    </row>
    <row r="491" spans="1:10" x14ac:dyDescent="0.3">
      <c r="A491" t="s">
        <v>104</v>
      </c>
      <c r="B491">
        <f>DONNEES!J257-DONNEES!M37</f>
        <v>0</v>
      </c>
      <c r="D491" s="12">
        <v>1.725627576311429</v>
      </c>
      <c r="E491">
        <v>0.97377473364273737</v>
      </c>
      <c r="F491">
        <f t="shared" si="0"/>
        <v>-0.75185284266869168</v>
      </c>
      <c r="G491">
        <v>1.725627576311429</v>
      </c>
      <c r="I491">
        <v>94.32557014797051</v>
      </c>
      <c r="J491" s="12">
        <v>106.40358768809917</v>
      </c>
    </row>
    <row r="492" spans="1:10" x14ac:dyDescent="0.3">
      <c r="A492" t="s">
        <v>106</v>
      </c>
      <c r="B492">
        <f>DONNEES!J258-DONNEES!M38</f>
        <v>0</v>
      </c>
      <c r="D492" s="12">
        <v>0.97377473364273737</v>
      </c>
      <c r="E492">
        <v>-1.5203607554237044</v>
      </c>
      <c r="F492">
        <f t="shared" si="0"/>
        <v>-2.4941354890664416</v>
      </c>
      <c r="G492">
        <v>0.97377473364273737</v>
      </c>
      <c r="I492">
        <v>77.333902972677478</v>
      </c>
      <c r="J492" s="12">
        <v>93.930293655395516</v>
      </c>
    </row>
    <row r="493" spans="1:10" x14ac:dyDescent="0.3">
      <c r="A493" t="s">
        <v>108</v>
      </c>
      <c r="B493">
        <f>DONNEES!J259-DONNEES!M39</f>
        <v>0</v>
      </c>
      <c r="D493" s="12">
        <v>-1.5203607554237044</v>
      </c>
      <c r="E493">
        <v>-1.3720945715904227</v>
      </c>
      <c r="F493">
        <f t="shared" si="0"/>
        <v>0.14826618383328172</v>
      </c>
      <c r="G493">
        <v>-1.5203607554237044</v>
      </c>
      <c r="I493">
        <v>46.217831993103047</v>
      </c>
      <c r="J493" s="12">
        <v>13.562921387808657</v>
      </c>
    </row>
    <row r="494" spans="1:10" x14ac:dyDescent="0.3">
      <c r="A494" t="s">
        <v>110</v>
      </c>
      <c r="B494">
        <f>DONNEES!J260-DONNEES!M40</f>
        <v>0</v>
      </c>
      <c r="D494" s="12">
        <v>-1.3720945715904227</v>
      </c>
      <c r="E494">
        <v>1.1240321521957723</v>
      </c>
      <c r="F494">
        <f t="shared" si="0"/>
        <v>2.4961267237861948</v>
      </c>
      <c r="G494">
        <v>-1.3720945715904227</v>
      </c>
      <c r="I494">
        <v>39.452959272596573</v>
      </c>
      <c r="J494" s="12">
        <v>17.841264981489918</v>
      </c>
    </row>
    <row r="495" spans="1:10" x14ac:dyDescent="0.3">
      <c r="A495" t="s">
        <v>112</v>
      </c>
      <c r="B495" t="e">
        <f>DONNEES!J261-DONNEES!M41</f>
        <v>#VALUE!</v>
      </c>
      <c r="D495" s="12" t="s">
        <v>37</v>
      </c>
      <c r="E495">
        <v>-0.41876497608609492</v>
      </c>
      <c r="F495" t="e">
        <f t="shared" si="0"/>
        <v>#VALUE!</v>
      </c>
      <c r="G495" t="s">
        <v>37</v>
      </c>
      <c r="I495">
        <v>39.913814024491757</v>
      </c>
      <c r="J495" s="12" t="s">
        <v>37</v>
      </c>
    </row>
    <row r="496" spans="1:10" x14ac:dyDescent="0.3">
      <c r="A496" t="s">
        <v>114</v>
      </c>
      <c r="B496">
        <f>DONNEES!J262-DONNEES!M42</f>
        <v>0</v>
      </c>
      <c r="D496" s="12">
        <v>1.1240321521957723</v>
      </c>
      <c r="E496">
        <v>-0.47267378804584342</v>
      </c>
      <c r="F496">
        <f t="shared" si="0"/>
        <v>-1.5967059402416157</v>
      </c>
      <c r="G496">
        <v>1.1240321521957723</v>
      </c>
      <c r="I496">
        <v>43.993693033854186</v>
      </c>
      <c r="J496" s="12">
        <v>94.32557014797051</v>
      </c>
    </row>
    <row r="497" spans="1:10" x14ac:dyDescent="0.3">
      <c r="A497" t="s">
        <v>116</v>
      </c>
      <c r="B497">
        <f>DONNEES!J263-DONNEES!M43</f>
        <v>0</v>
      </c>
      <c r="D497" s="12">
        <v>-0.41876497608609492</v>
      </c>
      <c r="E497">
        <v>-1.0391197080413506</v>
      </c>
      <c r="F497">
        <f t="shared" si="0"/>
        <v>-0.62035473195525559</v>
      </c>
      <c r="G497">
        <v>-0.41876497608609492</v>
      </c>
      <c r="I497">
        <v>90.810650507609026</v>
      </c>
      <c r="J497" s="12">
        <v>70.891984558105463</v>
      </c>
    </row>
    <row r="498" spans="1:10" x14ac:dyDescent="0.3">
      <c r="A498" t="s">
        <v>118</v>
      </c>
      <c r="B498">
        <f>DONNEES!J264-DONNEES!M44</f>
        <v>0</v>
      </c>
      <c r="D498" s="12">
        <v>-0.47267378804584342</v>
      </c>
      <c r="E498">
        <v>-1.696350157260895</v>
      </c>
      <c r="F498">
        <f t="shared" si="0"/>
        <v>-1.2236763692150516</v>
      </c>
      <c r="G498">
        <v>-0.47267378804584342</v>
      </c>
      <c r="I498">
        <v>48.692416191101088</v>
      </c>
      <c r="J498" s="12">
        <v>90.810650507609026</v>
      </c>
    </row>
    <row r="499" spans="1:10" x14ac:dyDescent="0.3">
      <c r="A499" t="s">
        <v>120</v>
      </c>
      <c r="B499">
        <f>DONNEES!J265-DONNEES!M45</f>
        <v>0</v>
      </c>
      <c r="D499" s="12">
        <v>-1.0391197080413506</v>
      </c>
      <c r="E499">
        <v>-1.2059673319260285</v>
      </c>
      <c r="F499">
        <f t="shared" si="0"/>
        <v>-0.16684762388467789</v>
      </c>
      <c r="G499">
        <v>-1.0391197080413506</v>
      </c>
      <c r="I499">
        <v>79.114567184448248</v>
      </c>
      <c r="J499" s="12">
        <v>48.692416191101088</v>
      </c>
    </row>
    <row r="500" spans="1:10" x14ac:dyDescent="0.3">
      <c r="A500" t="s">
        <v>122</v>
      </c>
      <c r="B500">
        <f>DONNEES!J266-DONNEES!M46</f>
        <v>0</v>
      </c>
      <c r="D500" s="12">
        <v>-1.696350157260895</v>
      </c>
      <c r="F500">
        <f t="shared" si="0"/>
        <v>1.696350157260895</v>
      </c>
      <c r="G500">
        <v>-1.696350157260895</v>
      </c>
      <c r="I500">
        <v>93.56845885056714</v>
      </c>
      <c r="J500" s="12">
        <v>39.913814024491757</v>
      </c>
    </row>
    <row r="501" spans="1:10" x14ac:dyDescent="0.3">
      <c r="A501" t="s">
        <v>124</v>
      </c>
      <c r="B501">
        <f>DONNEES!J267-DONNEES!M47</f>
        <v>0</v>
      </c>
      <c r="D501" s="12">
        <v>-1.2059673319260285</v>
      </c>
      <c r="E501">
        <v>0.5004368660350641</v>
      </c>
      <c r="F501">
        <f t="shared" si="0"/>
        <v>1.7064041979610924</v>
      </c>
      <c r="G501">
        <v>-1.2059673319260285</v>
      </c>
      <c r="I501">
        <v>92.254179495352247</v>
      </c>
      <c r="J501" s="12">
        <v>43.993693033854186</v>
      </c>
    </row>
    <row r="502" spans="1:10" x14ac:dyDescent="0.3">
      <c r="A502" t="s">
        <v>126</v>
      </c>
      <c r="B502">
        <f>DONNEES!J268-DONNEES!M48</f>
        <v>0</v>
      </c>
      <c r="D502" s="12">
        <v>0.5004368660350641</v>
      </c>
      <c r="E502">
        <v>-1.013622645288706</v>
      </c>
      <c r="F502">
        <f t="shared" si="0"/>
        <v>-1.51405951132377</v>
      </c>
      <c r="G502">
        <v>0.5004368660350641</v>
      </c>
      <c r="I502">
        <v>107.88845062255849</v>
      </c>
      <c r="J502" s="12">
        <v>93.56845885056714</v>
      </c>
    </row>
    <row r="503" spans="1:10" x14ac:dyDescent="0.3">
      <c r="A503" t="s">
        <v>128</v>
      </c>
      <c r="B503">
        <f>DONNEES!J269-DONNEES!M49</f>
        <v>0</v>
      </c>
      <c r="D503" s="12">
        <v>-1.013622645288706</v>
      </c>
      <c r="E503">
        <v>8.1630564838026984E-2</v>
      </c>
      <c r="F503">
        <f t="shared" si="0"/>
        <v>1.0952532101267329</v>
      </c>
      <c r="G503">
        <v>-1.013622645288706</v>
      </c>
      <c r="I503">
        <v>93.930293655395516</v>
      </c>
      <c r="J503" s="12">
        <v>46.217831993103047</v>
      </c>
    </row>
    <row r="504" spans="1:10" x14ac:dyDescent="0.3">
      <c r="A504" t="s">
        <v>130</v>
      </c>
      <c r="B504">
        <f>DONNEES!J270-DONNEES!M50</f>
        <v>0</v>
      </c>
      <c r="D504" s="12">
        <v>8.1630564838026984E-2</v>
      </c>
      <c r="E504">
        <v>-0.74579874426126436</v>
      </c>
      <c r="F504">
        <f t="shared" si="0"/>
        <v>-0.82742930909929135</v>
      </c>
      <c r="G504">
        <v>8.1630564838026984E-2</v>
      </c>
      <c r="I504">
        <v>96.522403717040973</v>
      </c>
      <c r="J504" s="12">
        <v>95.919323120117156</v>
      </c>
    </row>
    <row r="505" spans="1:10" x14ac:dyDescent="0.3">
      <c r="A505" t="s">
        <v>132</v>
      </c>
      <c r="B505">
        <f>DONNEES!J271-DONNEES!M51</f>
        <v>0</v>
      </c>
      <c r="D505" s="12">
        <v>-0.74579874426126436</v>
      </c>
      <c r="E505">
        <v>0.93126446505387583</v>
      </c>
      <c r="F505">
        <f t="shared" si="0"/>
        <v>1.6770632093151403</v>
      </c>
      <c r="G505">
        <v>-0.74579874426126436</v>
      </c>
      <c r="I505">
        <v>97.732341625072294</v>
      </c>
      <c r="J505" s="12">
        <v>92.254179495352247</v>
      </c>
    </row>
    <row r="506" spans="1:10" x14ac:dyDescent="0.3">
      <c r="A506" t="s">
        <v>134</v>
      </c>
      <c r="B506" t="e">
        <f>DONNEES!J272-DONNEES!M52</f>
        <v>#VALUE!</v>
      </c>
      <c r="D506" s="12" t="s">
        <v>37</v>
      </c>
      <c r="E506">
        <v>0.95421065886815359</v>
      </c>
      <c r="F506" t="e">
        <f t="shared" si="0"/>
        <v>#VALUE!</v>
      </c>
      <c r="G506" t="s">
        <v>37</v>
      </c>
      <c r="I506">
        <v>102.06227535671663</v>
      </c>
      <c r="J506" s="12">
        <v>107.88845062255849</v>
      </c>
    </row>
    <row r="507" spans="1:10" x14ac:dyDescent="0.3">
      <c r="A507" t="s">
        <v>136</v>
      </c>
      <c r="B507">
        <f>DONNEES!J273-DONNEES!M53</f>
        <v>0</v>
      </c>
      <c r="D507" s="12">
        <v>0.93126446505387583</v>
      </c>
      <c r="E507">
        <v>1.8998708029588054</v>
      </c>
      <c r="F507">
        <f t="shared" si="0"/>
        <v>0.96860633790492956</v>
      </c>
      <c r="G507">
        <v>0.93126446505387583</v>
      </c>
      <c r="I507">
        <v>29.626817398071292</v>
      </c>
      <c r="J507" s="12">
        <v>96.522403717040973</v>
      </c>
    </row>
    <row r="508" spans="1:10" x14ac:dyDescent="0.3">
      <c r="A508" t="s">
        <v>138</v>
      </c>
      <c r="B508">
        <f>DONNEES!J274-DONNEES!M54</f>
        <v>0</v>
      </c>
      <c r="D508" s="12">
        <v>0.95421065886815359</v>
      </c>
      <c r="E508">
        <v>-0.88744256397088384</v>
      </c>
      <c r="F508">
        <f t="shared" si="0"/>
        <v>-1.8416532228390374</v>
      </c>
      <c r="G508">
        <v>0.95421065886815359</v>
      </c>
      <c r="I508">
        <v>105.673040691175</v>
      </c>
      <c r="J508" s="12">
        <v>97.732341625072294</v>
      </c>
    </row>
    <row r="509" spans="1:10" x14ac:dyDescent="0.3">
      <c r="A509" t="s">
        <v>140</v>
      </c>
      <c r="B509">
        <f>DONNEES!J275-DONNEES!M55</f>
        <v>0</v>
      </c>
      <c r="D509" s="12">
        <v>1.8998708029588054</v>
      </c>
      <c r="E509">
        <v>0.72506797313690186</v>
      </c>
      <c r="F509">
        <f t="shared" si="0"/>
        <v>-1.1748028298219035</v>
      </c>
      <c r="G509">
        <v>1.8998708029588054</v>
      </c>
      <c r="I509">
        <v>125.42091487004215</v>
      </c>
      <c r="J509" s="12">
        <v>125.42091487004215</v>
      </c>
    </row>
    <row r="510" spans="1:10" x14ac:dyDescent="0.3">
      <c r="A510" t="s">
        <v>142</v>
      </c>
      <c r="B510">
        <f>DONNEES!J276-DONNEES!M56</f>
        <v>0</v>
      </c>
      <c r="D510" s="12">
        <v>-0.88744256397088384</v>
      </c>
      <c r="E510">
        <v>-0.53806777515759074</v>
      </c>
      <c r="F510">
        <f t="shared" si="0"/>
        <v>0.34937478881329309</v>
      </c>
      <c r="G510">
        <v>-0.88744256397088384</v>
      </c>
      <c r="I510">
        <v>73.378681846286938</v>
      </c>
      <c r="J510" s="12">
        <v>29.626817398071292</v>
      </c>
    </row>
    <row r="511" spans="1:10" x14ac:dyDescent="0.3">
      <c r="A511" t="s">
        <v>144</v>
      </c>
      <c r="B511">
        <f>DONNEES!J277-DONNEES!M57</f>
        <v>0</v>
      </c>
      <c r="D511" s="12">
        <v>0.72506797313690186</v>
      </c>
      <c r="E511">
        <v>-0.80790998538335179</v>
      </c>
      <c r="F511">
        <f t="shared" si="0"/>
        <v>-1.5329779585202536</v>
      </c>
      <c r="G511">
        <v>0.72506797313690186</v>
      </c>
      <c r="I511">
        <v>78.364137088551246</v>
      </c>
      <c r="J511" s="12">
        <v>105.673040691175</v>
      </c>
    </row>
    <row r="512" spans="1:10" x14ac:dyDescent="0.3">
      <c r="A512" t="s">
        <v>146</v>
      </c>
      <c r="B512">
        <f>DONNEES!J278-DONNEES!M58</f>
        <v>0</v>
      </c>
      <c r="D512" s="12">
        <v>-0.53806777515759074</v>
      </c>
      <c r="E512">
        <v>-0.27321077659629128</v>
      </c>
      <c r="F512">
        <f t="shared" si="0"/>
        <v>0.26485699856129946</v>
      </c>
      <c r="G512">
        <v>-0.53806777515759074</v>
      </c>
      <c r="I512">
        <v>81.132175445556683</v>
      </c>
      <c r="J512" s="12">
        <v>73.378681846286938</v>
      </c>
    </row>
    <row r="513" spans="1:10" x14ac:dyDescent="0.3">
      <c r="A513" t="s">
        <v>148</v>
      </c>
      <c r="B513">
        <f>DONNEES!J279-DONNEES!M59</f>
        <v>0</v>
      </c>
      <c r="D513" s="12">
        <v>-0.80790998538335179</v>
      </c>
      <c r="E513">
        <v>-0.71723533918460214</v>
      </c>
      <c r="F513">
        <f t="shared" si="0"/>
        <v>9.0674646198749653E-2</v>
      </c>
      <c r="G513">
        <v>-0.80790998538335179</v>
      </c>
      <c r="I513">
        <v>76.212646484375</v>
      </c>
      <c r="J513" s="12">
        <v>81.132175445556683</v>
      </c>
    </row>
    <row r="514" spans="1:10" x14ac:dyDescent="0.3">
      <c r="A514" t="s">
        <v>150</v>
      </c>
      <c r="B514">
        <f>DONNEES!J280-DONNEES!M60</f>
        <v>0</v>
      </c>
      <c r="D514" s="12">
        <v>-0.27321077659629128</v>
      </c>
      <c r="E514">
        <v>-1.2063314939538632</v>
      </c>
      <c r="F514">
        <f t="shared" si="0"/>
        <v>-0.93312071735757196</v>
      </c>
      <c r="G514">
        <v>-0.27321077659629128</v>
      </c>
      <c r="I514">
        <v>43.060836957848593</v>
      </c>
      <c r="J514" s="12">
        <v>76.212646484375</v>
      </c>
    </row>
    <row r="515" spans="1:10" x14ac:dyDescent="0.3">
      <c r="A515" t="s">
        <v>152</v>
      </c>
      <c r="B515">
        <f>DONNEES!J281-DONNEES!M61</f>
        <v>0</v>
      </c>
      <c r="D515" s="12">
        <v>-0.71723533918460214</v>
      </c>
      <c r="E515">
        <v>-1.2769997740785277</v>
      </c>
      <c r="F515">
        <f t="shared" si="0"/>
        <v>-0.55976443489392558</v>
      </c>
      <c r="G515">
        <v>-0.71723533918460214</v>
      </c>
      <c r="I515">
        <v>118.67587675871681</v>
      </c>
      <c r="J515" s="12">
        <v>64.792566208612357</v>
      </c>
    </row>
    <row r="516" spans="1:10" x14ac:dyDescent="0.3">
      <c r="A516" t="s">
        <v>154</v>
      </c>
      <c r="B516">
        <f>DONNEES!J282-DONNEES!M62</f>
        <v>0</v>
      </c>
      <c r="D516" s="12">
        <v>-1.2063314939538632</v>
      </c>
      <c r="E516">
        <v>1.0843322649598122</v>
      </c>
      <c r="F516">
        <f t="shared" si="0"/>
        <v>2.2906637589136754</v>
      </c>
      <c r="G516">
        <v>-1.2063314939538632</v>
      </c>
      <c r="I516">
        <v>105.02829272930444</v>
      </c>
      <c r="J516" s="12">
        <v>20.187001800537121</v>
      </c>
    </row>
    <row r="517" spans="1:10" x14ac:dyDescent="0.3">
      <c r="A517" t="s">
        <v>156</v>
      </c>
      <c r="B517">
        <f>DONNEES!J283-DONNEES!M63</f>
        <v>0</v>
      </c>
      <c r="D517" s="12">
        <v>-1.2769997740785277</v>
      </c>
      <c r="E517">
        <v>-0.54117379834254586</v>
      </c>
      <c r="F517">
        <f t="shared" si="0"/>
        <v>0.73582597573598185</v>
      </c>
      <c r="G517">
        <v>-1.2769997740785277</v>
      </c>
      <c r="I517">
        <v>25.114743282920436</v>
      </c>
      <c r="J517" s="12">
        <v>43.060836957848593</v>
      </c>
    </row>
    <row r="518" spans="1:10" x14ac:dyDescent="0.3">
      <c r="A518" t="s">
        <v>158</v>
      </c>
      <c r="B518">
        <f>DONNEES!J284-DONNEES!M64</f>
        <v>0</v>
      </c>
      <c r="D518" s="12">
        <v>1.0843322649598122</v>
      </c>
      <c r="E518">
        <v>-0.69931825374563539</v>
      </c>
      <c r="F518">
        <f t="shared" si="0"/>
        <v>-1.7836505187054477</v>
      </c>
      <c r="G518">
        <v>1.0843322649598122</v>
      </c>
      <c r="I518">
        <v>126.94173459653501</v>
      </c>
      <c r="J518" s="12">
        <v>105.02829272930444</v>
      </c>
    </row>
    <row r="519" spans="1:10" x14ac:dyDescent="0.3">
      <c r="A519" t="s">
        <v>160</v>
      </c>
      <c r="B519">
        <f>DONNEES!J285-DONNEES!M65</f>
        <v>0</v>
      </c>
      <c r="D519" s="12">
        <v>-0.54117379834254586</v>
      </c>
      <c r="E519">
        <v>-0.16318604206511128</v>
      </c>
      <c r="F519">
        <f t="shared" si="0"/>
        <v>0.37798775627743458</v>
      </c>
      <c r="G519">
        <v>-0.54117379834254586</v>
      </c>
      <c r="I519">
        <v>81.683897109258737</v>
      </c>
      <c r="J519" s="12">
        <v>56.877847480773916</v>
      </c>
    </row>
    <row r="520" spans="1:10" x14ac:dyDescent="0.3">
      <c r="A520" t="s">
        <v>162</v>
      </c>
      <c r="B520">
        <f>DONNEES!J286-DONNEES!M66</f>
        <v>0</v>
      </c>
      <c r="D520" s="12">
        <v>-0.69931825374563539</v>
      </c>
      <c r="E520">
        <v>1.9727722009023034</v>
      </c>
      <c r="F520">
        <f t="shared" si="0"/>
        <v>2.6720904546479387</v>
      </c>
      <c r="G520">
        <v>-0.69931825374563539</v>
      </c>
      <c r="I520">
        <v>105.87896163375278</v>
      </c>
      <c r="J520" s="12">
        <v>25.114743282920436</v>
      </c>
    </row>
    <row r="521" spans="1:10" x14ac:dyDescent="0.3">
      <c r="A521" t="s">
        <v>164</v>
      </c>
      <c r="B521" t="e">
        <f>DONNEES!J287-DONNEES!M67</f>
        <v>#VALUE!</v>
      </c>
      <c r="D521" s="12" t="s">
        <v>37</v>
      </c>
      <c r="E521">
        <v>1.3902327517668407</v>
      </c>
      <c r="F521" t="e">
        <f t="shared" ref="F521:F584" si="1">E521-D521</f>
        <v>#VALUE!</v>
      </c>
      <c r="G521" t="s">
        <v>37</v>
      </c>
      <c r="I521" t="s">
        <v>37</v>
      </c>
      <c r="J521" s="12" t="s">
        <v>37</v>
      </c>
    </row>
    <row r="522" spans="1:10" x14ac:dyDescent="0.3">
      <c r="A522" t="s">
        <v>166</v>
      </c>
      <c r="B522">
        <f>DONNEES!J288-DONNEES!M68</f>
        <v>0</v>
      </c>
      <c r="D522" s="12">
        <v>-0.16318604206511128</v>
      </c>
      <c r="E522">
        <v>1.017753913998604</v>
      </c>
      <c r="F522">
        <f t="shared" si="1"/>
        <v>1.1809399560637153</v>
      </c>
      <c r="G522">
        <v>-0.16318604206511128</v>
      </c>
      <c r="I522">
        <v>86.345623016357393</v>
      </c>
      <c r="J522" s="12">
        <v>81.683897109258737</v>
      </c>
    </row>
    <row r="523" spans="1:10" x14ac:dyDescent="0.3">
      <c r="A523" t="s">
        <v>168</v>
      </c>
      <c r="B523">
        <f>DONNEES!J289-DONNEES!M69</f>
        <v>0</v>
      </c>
      <c r="D523" s="12">
        <v>1.9727722009023034</v>
      </c>
      <c r="E523">
        <v>-0.55036712748308969</v>
      </c>
      <c r="F523">
        <f t="shared" si="1"/>
        <v>-2.5231393283853931</v>
      </c>
      <c r="G523">
        <v>1.9727722009023034</v>
      </c>
      <c r="I523">
        <v>48.596689496721531</v>
      </c>
      <c r="J523" s="12">
        <v>126.94173459653501</v>
      </c>
    </row>
    <row r="524" spans="1:10" x14ac:dyDescent="0.3">
      <c r="A524" t="s">
        <v>170</v>
      </c>
      <c r="B524">
        <f>DONNEES!J290-DONNEES!M70</f>
        <v>0</v>
      </c>
      <c r="D524" s="12">
        <v>1.3902327517668407</v>
      </c>
      <c r="E524">
        <v>-0.40955680965756375</v>
      </c>
      <c r="F524">
        <f t="shared" si="1"/>
        <v>-1.7997895614244044</v>
      </c>
      <c r="G524">
        <v>1.3902327517668407</v>
      </c>
      <c r="I524">
        <v>106.51970115074752</v>
      </c>
      <c r="J524" s="12">
        <v>105.87896163375278</v>
      </c>
    </row>
    <row r="525" spans="1:10" x14ac:dyDescent="0.3">
      <c r="A525" t="s">
        <v>172</v>
      </c>
      <c r="B525" t="e">
        <f>DONNEES!J291-DONNEES!M71</f>
        <v>#VALUE!</v>
      </c>
      <c r="D525" s="12" t="s">
        <v>37</v>
      </c>
      <c r="E525">
        <v>-0.26453998545184748</v>
      </c>
      <c r="F525" t="e">
        <f t="shared" si="1"/>
        <v>#VALUE!</v>
      </c>
      <c r="G525" t="s">
        <v>37</v>
      </c>
      <c r="I525">
        <v>96.808917999267521</v>
      </c>
      <c r="J525" s="12" t="s">
        <v>37</v>
      </c>
    </row>
    <row r="526" spans="1:10" x14ac:dyDescent="0.3">
      <c r="A526" t="s">
        <v>174</v>
      </c>
      <c r="B526">
        <f>DONNEES!J292-DONNEES!M72</f>
        <v>0</v>
      </c>
      <c r="D526" s="12">
        <v>-0.55036712748308969</v>
      </c>
      <c r="E526">
        <v>1.6427566111087792</v>
      </c>
      <c r="F526">
        <f t="shared" si="1"/>
        <v>2.1931237385918689</v>
      </c>
      <c r="G526">
        <v>-0.55036712748308969</v>
      </c>
      <c r="I526">
        <v>50.975727164227031</v>
      </c>
      <c r="J526" s="12">
        <v>48.596689496721531</v>
      </c>
    </row>
    <row r="527" spans="1:10" x14ac:dyDescent="0.3">
      <c r="A527" t="s">
        <v>176</v>
      </c>
      <c r="B527">
        <f>DONNEES!J293-DONNEES!M73</f>
        <v>0</v>
      </c>
      <c r="D527" s="12">
        <v>-0.40955680965756375</v>
      </c>
      <c r="E527">
        <v>-2.3500415273398786E-2</v>
      </c>
      <c r="F527">
        <f t="shared" si="1"/>
        <v>0.38605639438416495</v>
      </c>
      <c r="G527">
        <v>-0.40955680965756375</v>
      </c>
      <c r="I527">
        <v>114.57732946222478</v>
      </c>
      <c r="J527" s="12">
        <v>47.910783131917384</v>
      </c>
    </row>
    <row r="528" spans="1:10" x14ac:dyDescent="0.3">
      <c r="A528" t="s">
        <v>178</v>
      </c>
      <c r="B528">
        <f>DONNEES!J294-DONNEES!M74</f>
        <v>0</v>
      </c>
      <c r="D528" s="12">
        <v>-0.26453998545184748</v>
      </c>
      <c r="E528">
        <v>0.5449167136102917</v>
      </c>
      <c r="F528">
        <f t="shared" si="1"/>
        <v>0.80945669906213924</v>
      </c>
      <c r="G528">
        <v>-0.26453998545184748</v>
      </c>
      <c r="I528">
        <v>30.705295713324297</v>
      </c>
      <c r="J528" s="12">
        <v>96.808917999267521</v>
      </c>
    </row>
    <row r="529" spans="1:10" x14ac:dyDescent="0.3">
      <c r="A529" t="s">
        <v>180</v>
      </c>
      <c r="B529">
        <f>DONNEES!J295-DONNEES!M75</f>
        <v>0</v>
      </c>
      <c r="D529" s="12">
        <v>1.6427566111087792</v>
      </c>
      <c r="E529">
        <v>1.7039507627487185</v>
      </c>
      <c r="F529">
        <f t="shared" si="1"/>
        <v>6.1194151639939243E-2</v>
      </c>
      <c r="G529">
        <v>1.6427566111087792</v>
      </c>
      <c r="I529">
        <v>47.910783131917384</v>
      </c>
      <c r="J529" s="12">
        <v>102.06227535671663</v>
      </c>
    </row>
    <row r="530" spans="1:10" x14ac:dyDescent="0.3">
      <c r="A530" t="s">
        <v>182</v>
      </c>
      <c r="B530">
        <f>DONNEES!J296-DONNEES!M76</f>
        <v>0</v>
      </c>
      <c r="D530" s="12">
        <v>-2.3500415273398786E-2</v>
      </c>
      <c r="E530">
        <v>0.28669530960420769</v>
      </c>
      <c r="F530">
        <f t="shared" si="1"/>
        <v>0.31019572487760649</v>
      </c>
      <c r="G530">
        <v>-2.3500415273398786E-2</v>
      </c>
      <c r="I530" t="s">
        <v>37</v>
      </c>
      <c r="J530" s="12">
        <v>50.975727164227031</v>
      </c>
    </row>
    <row r="531" spans="1:10" x14ac:dyDescent="0.3">
      <c r="A531" t="s">
        <v>184</v>
      </c>
      <c r="B531" t="e">
        <f>DONNEES!J297-DONNEES!M77</f>
        <v>#VALUE!</v>
      </c>
      <c r="D531" s="12" t="s">
        <v>37</v>
      </c>
      <c r="E531">
        <v>1.1569211828081229</v>
      </c>
      <c r="F531" t="e">
        <f t="shared" si="1"/>
        <v>#VALUE!</v>
      </c>
      <c r="G531" t="s">
        <v>37</v>
      </c>
      <c r="I531" t="s">
        <v>37</v>
      </c>
      <c r="J531" s="12">
        <v>114.57732946222478</v>
      </c>
    </row>
    <row r="532" spans="1:10" x14ac:dyDescent="0.3">
      <c r="A532" t="s">
        <v>186</v>
      </c>
      <c r="B532">
        <f>DONNEES!J298-DONNEES!M78</f>
        <v>0</v>
      </c>
      <c r="D532" s="12">
        <v>0.5449167136102917</v>
      </c>
      <c r="E532">
        <v>-1.0538753569126125</v>
      </c>
      <c r="F532">
        <f t="shared" si="1"/>
        <v>-1.5987920705229042</v>
      </c>
      <c r="G532">
        <v>0.5449167136102917</v>
      </c>
      <c r="I532">
        <v>101.49036041259765</v>
      </c>
      <c r="J532" s="12">
        <v>101.49036041259765</v>
      </c>
    </row>
    <row r="533" spans="1:10" x14ac:dyDescent="0.3">
      <c r="A533" t="s">
        <v>188</v>
      </c>
      <c r="B533">
        <f>DONNEES!J299-DONNEES!M79</f>
        <v>0</v>
      </c>
      <c r="D533" s="12">
        <v>1.7039507627487185</v>
      </c>
      <c r="E533">
        <v>-1.3315532555182774</v>
      </c>
      <c r="F533">
        <f t="shared" si="1"/>
        <v>-3.0355040182669959</v>
      </c>
      <c r="G533">
        <v>1.7039507627487185</v>
      </c>
      <c r="I533">
        <v>105.83004557291677</v>
      </c>
      <c r="J533" s="12" t="s">
        <v>37</v>
      </c>
    </row>
    <row r="534" spans="1:10" x14ac:dyDescent="0.3">
      <c r="A534" t="s">
        <v>190</v>
      </c>
      <c r="B534">
        <f>DONNEES!J300-DONNEES!M80</f>
        <v>0</v>
      </c>
      <c r="D534" s="12">
        <v>0.28669530960420769</v>
      </c>
      <c r="E534">
        <v>-1.389901250600815</v>
      </c>
      <c r="F534">
        <f t="shared" si="1"/>
        <v>-1.6765965602050228</v>
      </c>
      <c r="G534">
        <v>0.28669530960420769</v>
      </c>
      <c r="I534" t="e">
        <v>#DIV/0!</v>
      </c>
      <c r="J534" s="12">
        <v>105.83004557291677</v>
      </c>
    </row>
    <row r="535" spans="1:10" x14ac:dyDescent="0.3">
      <c r="A535" t="s">
        <v>192</v>
      </c>
      <c r="B535">
        <f>DONNEES!J301-DONNEES!M81</f>
        <v>0</v>
      </c>
      <c r="D535" s="12">
        <v>1.1569211828081229</v>
      </c>
      <c r="E535">
        <v>-0.47173477585117024</v>
      </c>
      <c r="F535">
        <f t="shared" si="1"/>
        <v>-1.6286559586592932</v>
      </c>
      <c r="G535">
        <v>1.1569211828081229</v>
      </c>
      <c r="I535">
        <v>43.333500191017436</v>
      </c>
      <c r="J535" s="12" t="s">
        <v>37</v>
      </c>
    </row>
    <row r="536" spans="1:10" x14ac:dyDescent="0.3">
      <c r="A536" t="s">
        <v>194</v>
      </c>
      <c r="B536">
        <f>DONNEES!J302-DONNEES!M82</f>
        <v>0</v>
      </c>
      <c r="D536" s="12">
        <v>-1.0538753569126125</v>
      </c>
      <c r="E536">
        <v>-1.3385115737716353</v>
      </c>
      <c r="F536">
        <f t="shared" si="1"/>
        <v>-0.28463621685902285</v>
      </c>
      <c r="G536">
        <v>-1.0538753569126125</v>
      </c>
      <c r="I536" t="s">
        <v>37</v>
      </c>
      <c r="J536" s="12">
        <v>43.333500191017436</v>
      </c>
    </row>
    <row r="537" spans="1:10" x14ac:dyDescent="0.3">
      <c r="A537" t="s">
        <v>196</v>
      </c>
      <c r="B537">
        <f>DONNEES!J303-DONNEES!M83</f>
        <v>0</v>
      </c>
      <c r="D537" s="12">
        <v>-1.3315532555182774</v>
      </c>
      <c r="E537">
        <v>-0.97633992632230104</v>
      </c>
      <c r="F537">
        <f t="shared" si="1"/>
        <v>0.35521332919597637</v>
      </c>
      <c r="G537">
        <v>-1.3315532555182774</v>
      </c>
      <c r="I537">
        <v>91.148395538330078</v>
      </c>
      <c r="J537" s="12">
        <v>30.705295713324297</v>
      </c>
    </row>
    <row r="538" spans="1:10" x14ac:dyDescent="0.3">
      <c r="A538" t="s">
        <v>198</v>
      </c>
      <c r="B538">
        <f>DONNEES!J304-DONNEES!M84</f>
        <v>0</v>
      </c>
      <c r="D538" s="12">
        <v>-1.389901250600815</v>
      </c>
      <c r="E538">
        <v>1.4703807656963666</v>
      </c>
      <c r="F538">
        <f t="shared" si="1"/>
        <v>2.8602820162971816</v>
      </c>
      <c r="G538">
        <v>-1.389901250600815</v>
      </c>
      <c r="I538">
        <v>95.491665384043856</v>
      </c>
      <c r="J538" s="12">
        <v>28.035727183024097</v>
      </c>
    </row>
    <row r="539" spans="1:10" x14ac:dyDescent="0.3">
      <c r="A539" t="s">
        <v>200</v>
      </c>
      <c r="B539">
        <f>DONNEES!J305-DONNEES!M85</f>
        <v>0</v>
      </c>
      <c r="D539" s="12">
        <v>-0.47173477585117024</v>
      </c>
      <c r="E539">
        <v>0.68975365782777465</v>
      </c>
      <c r="F539">
        <f t="shared" si="1"/>
        <v>1.1614884336789448</v>
      </c>
      <c r="G539">
        <v>-0.47173477585117024</v>
      </c>
      <c r="I539">
        <v>61.990224202473968</v>
      </c>
      <c r="J539" s="12">
        <v>91.148395538330078</v>
      </c>
    </row>
    <row r="540" spans="1:10" x14ac:dyDescent="0.3">
      <c r="A540" t="s">
        <v>202</v>
      </c>
      <c r="B540">
        <f>DONNEES!J306-DONNEES!M86</f>
        <v>0</v>
      </c>
      <c r="D540" s="12">
        <v>-1.3385115737716353</v>
      </c>
      <c r="E540">
        <v>1.7351359973351166</v>
      </c>
      <c r="F540">
        <f t="shared" si="1"/>
        <v>3.0736475711067519</v>
      </c>
      <c r="G540">
        <v>-1.3385115737716353</v>
      </c>
      <c r="I540">
        <v>95.919323120117156</v>
      </c>
      <c r="J540" s="12" t="s">
        <v>37</v>
      </c>
    </row>
    <row r="541" spans="1:10" x14ac:dyDescent="0.3">
      <c r="A541" t="s">
        <v>204</v>
      </c>
      <c r="B541">
        <f>DONNEES!J307-DONNEES!M87</f>
        <v>0</v>
      </c>
      <c r="D541" s="12">
        <v>-0.97633992632230104</v>
      </c>
      <c r="E541">
        <v>4.5935207822670458E-2</v>
      </c>
      <c r="F541">
        <f t="shared" si="1"/>
        <v>1.0222751341449714</v>
      </c>
      <c r="G541">
        <v>-0.97633992632230104</v>
      </c>
      <c r="I541" t="s">
        <v>37</v>
      </c>
      <c r="J541" s="12">
        <v>61.990224202473968</v>
      </c>
    </row>
    <row r="542" spans="1:10" x14ac:dyDescent="0.3">
      <c r="A542" t="s">
        <v>206</v>
      </c>
      <c r="B542">
        <f>DONNEES!J308-DONNEES!M88</f>
        <v>0</v>
      </c>
      <c r="D542" s="12">
        <v>1.4703807656963666</v>
      </c>
      <c r="E542">
        <v>-0.54905375465750694</v>
      </c>
      <c r="F542">
        <f t="shared" si="1"/>
        <v>-2.0194345203538733</v>
      </c>
      <c r="G542">
        <v>1.4703807656963666</v>
      </c>
      <c r="I542">
        <v>99.910359983090999</v>
      </c>
      <c r="J542" s="12">
        <v>95.491665384043856</v>
      </c>
    </row>
    <row r="543" spans="1:10" x14ac:dyDescent="0.3">
      <c r="A543" t="s">
        <v>208</v>
      </c>
      <c r="B543">
        <f>DONNEES!J309-DONNEES!M89</f>
        <v>0</v>
      </c>
      <c r="D543" s="12">
        <v>0.68975365782777465</v>
      </c>
      <c r="E543">
        <v>-0.87047863254944502</v>
      </c>
      <c r="F543">
        <f t="shared" si="1"/>
        <v>-1.5602322903772197</v>
      </c>
      <c r="G543">
        <v>0.68975365782777465</v>
      </c>
      <c r="I543">
        <v>74.046388353620259</v>
      </c>
      <c r="J543" s="12">
        <v>99.910359983090999</v>
      </c>
    </row>
    <row r="544" spans="1:10" x14ac:dyDescent="0.3">
      <c r="A544" t="s">
        <v>210</v>
      </c>
      <c r="B544">
        <f>DONNEES!J310-DONNEES!M90</f>
        <v>0</v>
      </c>
      <c r="D544" s="12">
        <v>1.7351359973351166</v>
      </c>
      <c r="E544">
        <v>-1.6661777198314658</v>
      </c>
      <c r="F544">
        <f t="shared" si="1"/>
        <v>-3.4013137171665822</v>
      </c>
      <c r="G544">
        <v>1.7351359973351166</v>
      </c>
      <c r="I544" t="s">
        <v>37</v>
      </c>
      <c r="J544" s="12">
        <v>111.34197968703052</v>
      </c>
    </row>
    <row r="545" spans="1:10" x14ac:dyDescent="0.3">
      <c r="A545" t="s">
        <v>212</v>
      </c>
      <c r="B545">
        <f>DONNEES!J311-DONNEES!M91</f>
        <v>0</v>
      </c>
      <c r="D545" s="12">
        <v>4.5935207822670458E-2</v>
      </c>
      <c r="E545">
        <v>1.5919355303049081</v>
      </c>
      <c r="F545">
        <f t="shared" si="1"/>
        <v>1.5460003224822376</v>
      </c>
      <c r="G545">
        <v>4.5935207822670458E-2</v>
      </c>
      <c r="I545">
        <v>60.205391495316114</v>
      </c>
      <c r="J545" s="12">
        <v>60.205391495316114</v>
      </c>
    </row>
    <row r="546" spans="1:10" x14ac:dyDescent="0.3">
      <c r="A546" t="s">
        <v>214</v>
      </c>
      <c r="B546">
        <f>DONNEES!J312-DONNEES!M92</f>
        <v>0</v>
      </c>
      <c r="D546" s="12">
        <v>-0.54905375465750694</v>
      </c>
      <c r="E546">
        <v>0.9639192720254256</v>
      </c>
      <c r="F546">
        <f t="shared" si="1"/>
        <v>1.5129730266829324</v>
      </c>
      <c r="G546">
        <v>-0.54905375465750694</v>
      </c>
      <c r="I546">
        <v>114.8838625456157</v>
      </c>
      <c r="J546" s="12">
        <v>74.046388353620259</v>
      </c>
    </row>
    <row r="547" spans="1:10" x14ac:dyDescent="0.3">
      <c r="A547" t="s">
        <v>216</v>
      </c>
      <c r="B547">
        <f>DONNEES!J313-DONNEES!M93</f>
        <v>0</v>
      </c>
      <c r="D547" s="12">
        <v>-0.87047863254944502</v>
      </c>
      <c r="E547">
        <v>0.47399610280990617</v>
      </c>
      <c r="F547">
        <f t="shared" si="1"/>
        <v>1.3444747353593511</v>
      </c>
      <c r="G547">
        <v>-0.87047863254944502</v>
      </c>
      <c r="I547">
        <v>82.445783094926313</v>
      </c>
      <c r="J547" s="12">
        <v>82.445783094926313</v>
      </c>
    </row>
    <row r="548" spans="1:10" x14ac:dyDescent="0.3">
      <c r="A548" t="s">
        <v>218</v>
      </c>
      <c r="B548">
        <f>DONNEES!J314-DONNEES!M94</f>
        <v>0</v>
      </c>
      <c r="D548" s="12">
        <v>-1.6661777198314658</v>
      </c>
      <c r="E548">
        <v>-0.30908841701845341</v>
      </c>
      <c r="F548">
        <f t="shared" si="1"/>
        <v>1.3570893028130124</v>
      </c>
      <c r="G548">
        <v>-1.6661777198314658</v>
      </c>
      <c r="I548" t="s">
        <v>37</v>
      </c>
      <c r="J548" s="12">
        <v>40.383416312081465</v>
      </c>
    </row>
    <row r="549" spans="1:10" x14ac:dyDescent="0.3">
      <c r="A549" t="s">
        <v>220</v>
      </c>
      <c r="B549">
        <f>DONNEES!J315-DONNEES!M95</f>
        <v>0</v>
      </c>
      <c r="D549" s="12">
        <v>1.5919355303049081</v>
      </c>
      <c r="E549">
        <v>1.375499198834101</v>
      </c>
      <c r="F549">
        <f t="shared" si="1"/>
        <v>-0.2164363314708071</v>
      </c>
      <c r="G549">
        <v>1.5919355303049081</v>
      </c>
      <c r="I549">
        <v>111.34197968703052</v>
      </c>
      <c r="J549" s="12">
        <v>114.8838625456157</v>
      </c>
    </row>
    <row r="550" spans="1:10" x14ac:dyDescent="0.3">
      <c r="A550" t="s">
        <v>222</v>
      </c>
      <c r="B550" t="e">
        <f>DONNEES!J316-DONNEES!M96</f>
        <v>#VALUE!</v>
      </c>
      <c r="D550" s="12" t="s">
        <v>37</v>
      </c>
      <c r="E550">
        <v>1.7008765538533535</v>
      </c>
      <c r="F550" t="e">
        <f t="shared" si="1"/>
        <v>#VALUE!</v>
      </c>
      <c r="G550" t="s">
        <v>37</v>
      </c>
      <c r="I550">
        <v>96.115532531738282</v>
      </c>
      <c r="J550" s="12" t="s">
        <v>37</v>
      </c>
    </row>
    <row r="551" spans="1:10" x14ac:dyDescent="0.3">
      <c r="A551" t="s">
        <v>224</v>
      </c>
      <c r="B551">
        <f>DONNEES!J317-DONNEES!M97</f>
        <v>0</v>
      </c>
      <c r="D551" s="12">
        <v>0.9639192720254256</v>
      </c>
      <c r="E551">
        <v>0.27459503943100566</v>
      </c>
      <c r="F551">
        <f t="shared" si="1"/>
        <v>-0.68932423259441999</v>
      </c>
      <c r="G551">
        <v>0.9639192720254256</v>
      </c>
      <c r="I551">
        <v>98.866626315646698</v>
      </c>
      <c r="J551" s="12">
        <v>96.115532531738282</v>
      </c>
    </row>
    <row r="552" spans="1:10" x14ac:dyDescent="0.3">
      <c r="A552" t="s">
        <v>226</v>
      </c>
      <c r="B552">
        <f>DONNEES!J318-DONNEES!M98</f>
        <v>0</v>
      </c>
      <c r="D552" s="12">
        <v>0.47399610280990617</v>
      </c>
      <c r="E552">
        <v>-0.79283448060353623</v>
      </c>
      <c r="F552">
        <f t="shared" si="1"/>
        <v>-1.2668305834134423</v>
      </c>
      <c r="G552">
        <v>0.47399610280990617</v>
      </c>
      <c r="I552">
        <v>85.414653084494844</v>
      </c>
      <c r="J552" s="12">
        <v>98.866626315646698</v>
      </c>
    </row>
    <row r="553" spans="1:10" x14ac:dyDescent="0.3">
      <c r="A553" t="s">
        <v>228</v>
      </c>
      <c r="B553">
        <f>DONNEES!J319-DONNEES!M99</f>
        <v>0</v>
      </c>
      <c r="D553" s="12">
        <v>-0.30908841701845341</v>
      </c>
      <c r="E553">
        <v>-0.74646310756603851</v>
      </c>
      <c r="F553">
        <f t="shared" si="1"/>
        <v>-0.4373746905475851</v>
      </c>
      <c r="G553">
        <v>-0.30908841701845341</v>
      </c>
      <c r="I553">
        <v>76.981012435186472</v>
      </c>
      <c r="J553" s="12">
        <v>85.414653084494844</v>
      </c>
    </row>
    <row r="554" spans="1:10" x14ac:dyDescent="0.3">
      <c r="A554" t="s">
        <v>230</v>
      </c>
      <c r="B554">
        <f>DONNEES!J320-DONNEES!M100</f>
        <v>0</v>
      </c>
      <c r="D554" s="12">
        <v>1.375499198834101</v>
      </c>
      <c r="E554">
        <v>0.53873815728972374</v>
      </c>
      <c r="F554">
        <f t="shared" si="1"/>
        <v>-0.83676104154437725</v>
      </c>
      <c r="G554">
        <v>1.375499198834101</v>
      </c>
      <c r="I554">
        <v>103.20987892150875</v>
      </c>
      <c r="J554" s="12">
        <v>103.20987892150875</v>
      </c>
    </row>
    <row r="555" spans="1:10" x14ac:dyDescent="0.3">
      <c r="A555" t="s">
        <v>232</v>
      </c>
      <c r="B555">
        <f>DONNEES!J321-DONNEES!M101</f>
        <v>0</v>
      </c>
      <c r="D555" s="12">
        <v>0.27459503943100566</v>
      </c>
      <c r="E555">
        <v>-1.4122572988271711</v>
      </c>
      <c r="F555">
        <f t="shared" si="1"/>
        <v>-1.6868523382581768</v>
      </c>
      <c r="G555">
        <v>0.27459503943100566</v>
      </c>
      <c r="I555">
        <v>98.174373626708984</v>
      </c>
      <c r="J555" s="12">
        <v>76.981012435186472</v>
      </c>
    </row>
    <row r="556" spans="1:10" x14ac:dyDescent="0.3">
      <c r="A556" t="s">
        <v>234</v>
      </c>
      <c r="B556">
        <f>DONNEES!J322-DONNEES!M102</f>
        <v>0</v>
      </c>
      <c r="D556" s="12">
        <v>-0.79283448060353623</v>
      </c>
      <c r="E556">
        <v>0.9835470591982215</v>
      </c>
      <c r="F556">
        <f t="shared" si="1"/>
        <v>1.7763815398017577</v>
      </c>
      <c r="G556">
        <v>-0.79283448060353623</v>
      </c>
      <c r="I556" t="s">
        <v>37</v>
      </c>
      <c r="J556" s="12">
        <v>98.174373626708984</v>
      </c>
    </row>
    <row r="557" spans="1:10" x14ac:dyDescent="0.3">
      <c r="A557" t="s">
        <v>236</v>
      </c>
      <c r="B557">
        <f>DONNEES!J323-DONNEES!M103</f>
        <v>0</v>
      </c>
      <c r="D557" s="12">
        <v>-0.74646310756603851</v>
      </c>
      <c r="E557">
        <v>-0.50787907923487097</v>
      </c>
      <c r="F557">
        <f t="shared" si="1"/>
        <v>0.23858402833116754</v>
      </c>
      <c r="G557">
        <v>-0.74646310756603851</v>
      </c>
      <c r="I557">
        <v>86.809117126464841</v>
      </c>
      <c r="J557" s="12">
        <v>46.78774955055929</v>
      </c>
    </row>
    <row r="558" spans="1:10" x14ac:dyDescent="0.3">
      <c r="A558" t="s">
        <v>238</v>
      </c>
      <c r="B558">
        <f>DONNEES!J324-DONNEES!M104</f>
        <v>0</v>
      </c>
      <c r="D558" s="12">
        <v>0.53873815728972374</v>
      </c>
      <c r="E558">
        <v>0.39026931991490216</v>
      </c>
      <c r="F558">
        <f t="shared" si="1"/>
        <v>-0.14846883737482158</v>
      </c>
      <c r="G558">
        <v>0.53873815728972374</v>
      </c>
      <c r="I558">
        <v>37.273588053385417</v>
      </c>
      <c r="J558" s="12">
        <v>69.11802115807167</v>
      </c>
    </row>
    <row r="559" spans="1:10" x14ac:dyDescent="0.3">
      <c r="A559" t="s">
        <v>240</v>
      </c>
      <c r="B559">
        <f>DONNEES!J325-DONNEES!M105</f>
        <v>0</v>
      </c>
      <c r="D559" s="12">
        <v>-1.4122572988271711</v>
      </c>
      <c r="E559">
        <v>-1.0422014221549032</v>
      </c>
      <c r="F559">
        <f t="shared" si="1"/>
        <v>0.37005587667226791</v>
      </c>
      <c r="G559">
        <v>-1.4122572988271711</v>
      </c>
      <c r="I559" t="s">
        <v>37</v>
      </c>
      <c r="J559" s="12">
        <v>95.956962585449205</v>
      </c>
    </row>
    <row r="560" spans="1:10" x14ac:dyDescent="0.3">
      <c r="A560" t="s">
        <v>242</v>
      </c>
      <c r="B560">
        <f>DONNEES!J326-DONNEES!M106</f>
        <v>0</v>
      </c>
      <c r="D560" s="12">
        <v>0.9835470591982215</v>
      </c>
      <c r="E560">
        <v>-0.96538259834051132</v>
      </c>
      <c r="F560">
        <f t="shared" si="1"/>
        <v>-1.9489296575387329</v>
      </c>
      <c r="G560">
        <v>0.9835470591982215</v>
      </c>
      <c r="I560">
        <v>103.84238344080312</v>
      </c>
      <c r="J560" s="12">
        <v>97.351785447862426</v>
      </c>
    </row>
    <row r="561" spans="1:10" x14ac:dyDescent="0.3">
      <c r="A561" t="s">
        <v>244</v>
      </c>
      <c r="B561">
        <f>DONNEES!J327-DONNEES!M107</f>
        <v>0</v>
      </c>
      <c r="D561" s="12">
        <v>-0.50787907923487097</v>
      </c>
      <c r="E561">
        <v>0.69246972538530827</v>
      </c>
      <c r="F561">
        <f t="shared" si="1"/>
        <v>1.2003488046201793</v>
      </c>
      <c r="G561">
        <v>-0.50787907923487097</v>
      </c>
      <c r="I561">
        <v>97.351785447862426</v>
      </c>
      <c r="J561" s="12" t="s">
        <v>37</v>
      </c>
    </row>
    <row r="562" spans="1:10" x14ac:dyDescent="0.3">
      <c r="A562" t="s">
        <v>246</v>
      </c>
      <c r="B562">
        <f>DONNEES!J328-DONNEES!M108</f>
        <v>0</v>
      </c>
      <c r="D562" s="12">
        <v>0.39026931991490216</v>
      </c>
      <c r="E562">
        <v>-0.62471440682808554</v>
      </c>
      <c r="F562">
        <f t="shared" si="1"/>
        <v>-1.0149837267429878</v>
      </c>
      <c r="G562">
        <v>0.39026931991490216</v>
      </c>
      <c r="I562">
        <v>94.740741729736342</v>
      </c>
      <c r="J562" s="12">
        <v>94.740741729736342</v>
      </c>
    </row>
    <row r="563" spans="1:10" x14ac:dyDescent="0.3">
      <c r="A563" t="s">
        <v>248</v>
      </c>
      <c r="B563">
        <f>DONNEES!J329-DONNEES!M109</f>
        <v>0</v>
      </c>
      <c r="D563" s="12">
        <v>-1.0422014221549032</v>
      </c>
      <c r="E563">
        <v>-0.2049647131934762</v>
      </c>
      <c r="F563">
        <f t="shared" si="1"/>
        <v>0.83723670896142699</v>
      </c>
      <c r="G563">
        <v>-1.0422014221549032</v>
      </c>
      <c r="I563">
        <v>46.881615434374133</v>
      </c>
      <c r="J563" s="12">
        <v>86.809117126464841</v>
      </c>
    </row>
    <row r="564" spans="1:10" x14ac:dyDescent="0.3">
      <c r="A564" t="s">
        <v>250</v>
      </c>
      <c r="B564">
        <f>DONNEES!J330-DONNEES!M110</f>
        <v>0</v>
      </c>
      <c r="D564" s="12">
        <v>-0.96538259834051132</v>
      </c>
      <c r="E564">
        <v>-1.1574315552910168</v>
      </c>
      <c r="F564">
        <f t="shared" si="1"/>
        <v>-0.1920489569505055</v>
      </c>
      <c r="G564">
        <v>-0.96538259834051132</v>
      </c>
      <c r="I564">
        <v>57.516007423400879</v>
      </c>
      <c r="J564" s="12">
        <v>46.881615434374133</v>
      </c>
    </row>
    <row r="565" spans="1:10" x14ac:dyDescent="0.3">
      <c r="A565" t="s">
        <v>252</v>
      </c>
      <c r="B565">
        <f>DONNEES!J331-DONNEES!M111</f>
        <v>0</v>
      </c>
      <c r="D565" s="12">
        <v>0.69246972538530827</v>
      </c>
      <c r="E565">
        <v>-1.2751628458499904</v>
      </c>
      <c r="F565">
        <f t="shared" si="1"/>
        <v>-1.9676325712352987</v>
      </c>
      <c r="G565">
        <v>0.69246972538530827</v>
      </c>
      <c r="I565">
        <v>36.9367322921753</v>
      </c>
      <c r="J565" s="12">
        <v>100.78542808250147</v>
      </c>
    </row>
    <row r="566" spans="1:10" x14ac:dyDescent="0.3">
      <c r="A566" t="s">
        <v>254</v>
      </c>
      <c r="B566">
        <f>DONNEES!J332-DONNEES!M112</f>
        <v>0</v>
      </c>
      <c r="D566" s="12">
        <v>-0.62471440682808554</v>
      </c>
      <c r="E566">
        <v>1.5087001025676718</v>
      </c>
      <c r="F566">
        <f t="shared" si="1"/>
        <v>2.1334145093957573</v>
      </c>
      <c r="G566">
        <v>-0.62471440682808554</v>
      </c>
      <c r="I566" t="s">
        <v>37</v>
      </c>
      <c r="J566" s="12">
        <v>57.516007423400879</v>
      </c>
    </row>
    <row r="567" spans="1:10" x14ac:dyDescent="0.3">
      <c r="A567" t="s">
        <v>256</v>
      </c>
      <c r="B567">
        <f>DONNEES!J333-DONNEES!M113</f>
        <v>0</v>
      </c>
      <c r="D567" s="12">
        <v>-0.2049647131934762</v>
      </c>
      <c r="E567">
        <v>0.75536558032035817</v>
      </c>
      <c r="F567">
        <f t="shared" si="1"/>
        <v>0.96033029351383437</v>
      </c>
      <c r="G567">
        <v>-0.2049647131934762</v>
      </c>
      <c r="I567">
        <v>85.980073293050125</v>
      </c>
      <c r="J567" s="12">
        <v>42.414205385291041</v>
      </c>
    </row>
    <row r="568" spans="1:10" x14ac:dyDescent="0.3">
      <c r="A568" t="s">
        <v>258</v>
      </c>
      <c r="B568">
        <f>DONNEES!J334-DONNEES!M114</f>
        <v>0</v>
      </c>
      <c r="D568" s="12">
        <v>-1.1574315552910168</v>
      </c>
      <c r="E568">
        <v>1.787353500723839</v>
      </c>
      <c r="F568">
        <f t="shared" si="1"/>
        <v>2.9447850560148559</v>
      </c>
      <c r="G568">
        <v>-1.1574315552910168</v>
      </c>
      <c r="I568">
        <v>112.66862954033732</v>
      </c>
      <c r="J568" s="12">
        <v>36.9367322921753</v>
      </c>
    </row>
    <row r="569" spans="1:10" x14ac:dyDescent="0.3">
      <c r="A569" t="s">
        <v>260</v>
      </c>
      <c r="B569">
        <f>DONNEES!J335-DONNEES!M115</f>
        <v>0</v>
      </c>
      <c r="D569" s="12">
        <v>-1.2751628458499904</v>
      </c>
      <c r="E569">
        <v>0.70516205579042446</v>
      </c>
      <c r="F569">
        <f t="shared" si="1"/>
        <v>1.9803249016404147</v>
      </c>
      <c r="G569">
        <v>-1.2751628458499904</v>
      </c>
      <c r="I569">
        <v>93.688332297585234</v>
      </c>
      <c r="J569" s="12">
        <v>102.10865783691406</v>
      </c>
    </row>
    <row r="570" spans="1:10" x14ac:dyDescent="0.3">
      <c r="A570" t="s">
        <v>262</v>
      </c>
      <c r="B570">
        <f>DONNEES!J336-DONNEES!M116</f>
        <v>0</v>
      </c>
      <c r="D570" s="12">
        <v>1.5087001025676718</v>
      </c>
      <c r="E570">
        <v>-0.64203310757875409</v>
      </c>
      <c r="F570">
        <f t="shared" si="1"/>
        <v>-2.1507332101464258</v>
      </c>
      <c r="G570">
        <v>1.5087001025676718</v>
      </c>
      <c r="I570">
        <v>42.414205385291041</v>
      </c>
      <c r="J570" s="12">
        <v>112.66862954033732</v>
      </c>
    </row>
    <row r="571" spans="1:10" x14ac:dyDescent="0.3">
      <c r="A571" t="s">
        <v>264</v>
      </c>
      <c r="B571">
        <f>DONNEES!J337-DONNEES!M117</f>
        <v>0</v>
      </c>
      <c r="D571" s="12">
        <v>0.75536558032035817</v>
      </c>
      <c r="E571">
        <v>-0.2661602223912875</v>
      </c>
      <c r="F571">
        <f t="shared" si="1"/>
        <v>-1.0215258027116456</v>
      </c>
      <c r="G571">
        <v>0.75536558032035817</v>
      </c>
      <c r="I571">
        <v>102.23723234953705</v>
      </c>
      <c r="J571" s="12">
        <v>102.23723234953705</v>
      </c>
    </row>
    <row r="572" spans="1:10" x14ac:dyDescent="0.3">
      <c r="A572" t="s">
        <v>266</v>
      </c>
      <c r="B572">
        <f>DONNEES!J338-DONNEES!M118</f>
        <v>0</v>
      </c>
      <c r="D572" s="12">
        <v>1.787353500723839</v>
      </c>
      <c r="E572">
        <v>0.42058698895076901</v>
      </c>
      <c r="F572">
        <f t="shared" si="1"/>
        <v>-1.3667665117730701</v>
      </c>
      <c r="G572">
        <v>1.787353500723839</v>
      </c>
      <c r="I572">
        <v>98.354341066800615</v>
      </c>
      <c r="J572" s="12">
        <v>98.354341066800615</v>
      </c>
    </row>
    <row r="573" spans="1:10" x14ac:dyDescent="0.3">
      <c r="A573" t="s">
        <v>268</v>
      </c>
      <c r="B573">
        <f>DONNEES!J339-DONNEES!M119</f>
        <v>0</v>
      </c>
      <c r="D573" s="12">
        <v>0.70516205579042446</v>
      </c>
      <c r="E573">
        <v>-0.26555620273575192</v>
      </c>
      <c r="F573">
        <f t="shared" si="1"/>
        <v>-0.97071825852617644</v>
      </c>
      <c r="G573">
        <v>0.70516205579042446</v>
      </c>
      <c r="I573">
        <v>100.78542808250147</v>
      </c>
      <c r="J573" s="12">
        <v>92.75400002797447</v>
      </c>
    </row>
    <row r="574" spans="1:10" x14ac:dyDescent="0.3">
      <c r="A574" t="s">
        <v>270</v>
      </c>
      <c r="B574">
        <f>DONNEES!J340-DONNEES!M120</f>
        <v>0</v>
      </c>
      <c r="D574" s="12">
        <v>-0.64203310757875409</v>
      </c>
      <c r="E574">
        <v>-0.51561841461807489</v>
      </c>
      <c r="F574">
        <f t="shared" si="1"/>
        <v>0.1264146929606792</v>
      </c>
      <c r="G574">
        <v>-0.64203310757875409</v>
      </c>
      <c r="I574">
        <v>92.75400002797447</v>
      </c>
      <c r="J574" s="12">
        <v>32.338012014116565</v>
      </c>
    </row>
    <row r="575" spans="1:10" x14ac:dyDescent="0.3">
      <c r="A575" t="s">
        <v>272</v>
      </c>
      <c r="B575">
        <f>DONNEES!J341-DONNEES!M121</f>
        <v>0</v>
      </c>
      <c r="D575" s="12">
        <v>-0.2661602223912875</v>
      </c>
      <c r="E575">
        <v>1.2440032263596852</v>
      </c>
      <c r="F575">
        <f t="shared" si="1"/>
        <v>1.5101634487509727</v>
      </c>
      <c r="G575">
        <v>-0.2661602223912875</v>
      </c>
      <c r="I575" t="s">
        <v>37</v>
      </c>
      <c r="J575" s="12">
        <v>33.907310867309569</v>
      </c>
    </row>
    <row r="576" spans="1:10" x14ac:dyDescent="0.3">
      <c r="A576" t="s">
        <v>274</v>
      </c>
      <c r="B576">
        <f>DONNEES!J342-DONNEES!M122</f>
        <v>0</v>
      </c>
      <c r="D576" s="12">
        <v>0.42058698895076901</v>
      </c>
      <c r="E576">
        <v>0.41434115051621728</v>
      </c>
      <c r="F576">
        <f t="shared" si="1"/>
        <v>-6.2458384345517315E-3</v>
      </c>
      <c r="G576">
        <v>0.42058698895076901</v>
      </c>
      <c r="I576">
        <v>56.863376935323082</v>
      </c>
      <c r="J576" s="12">
        <v>79.354470661708291</v>
      </c>
    </row>
    <row r="577" spans="1:10" x14ac:dyDescent="0.3">
      <c r="A577" t="s">
        <v>276</v>
      </c>
      <c r="B577">
        <f>DONNEES!J343-DONNEES!M123</f>
        <v>0</v>
      </c>
      <c r="D577" s="12">
        <v>-0.26555620273575192</v>
      </c>
      <c r="E577">
        <v>0.80038904732403637</v>
      </c>
      <c r="F577">
        <f t="shared" si="1"/>
        <v>1.0659452500597884</v>
      </c>
      <c r="G577">
        <v>-0.26555620273575192</v>
      </c>
      <c r="I577">
        <v>149.70509147644023</v>
      </c>
      <c r="J577" s="12">
        <v>58.883617083231606</v>
      </c>
    </row>
    <row r="578" spans="1:10" x14ac:dyDescent="0.3">
      <c r="A578" t="s">
        <v>278</v>
      </c>
      <c r="B578">
        <f>DONNEES!J344-DONNEES!M124</f>
        <v>0</v>
      </c>
      <c r="D578" s="12">
        <v>-0.51561841461807489</v>
      </c>
      <c r="E578">
        <v>-0.73299504692355777</v>
      </c>
      <c r="F578">
        <f t="shared" si="1"/>
        <v>-0.21737663230548288</v>
      </c>
      <c r="G578">
        <v>-0.51561841461807489</v>
      </c>
      <c r="I578">
        <v>91.49601015837294</v>
      </c>
      <c r="J578" s="12">
        <v>28.095628218217314</v>
      </c>
    </row>
    <row r="579" spans="1:10" x14ac:dyDescent="0.3">
      <c r="A579" t="s">
        <v>280</v>
      </c>
      <c r="B579">
        <f>DONNEES!J345-DONNEES!M125</f>
        <v>0</v>
      </c>
      <c r="D579" s="12">
        <v>1.2440032263596852</v>
      </c>
      <c r="E579">
        <v>0.87686134129762661</v>
      </c>
      <c r="F579">
        <f t="shared" si="1"/>
        <v>-0.36714188506205858</v>
      </c>
      <c r="G579">
        <v>1.2440032263596852</v>
      </c>
      <c r="I579">
        <v>32.338012014116565</v>
      </c>
      <c r="J579" s="12">
        <v>96.308841705322266</v>
      </c>
    </row>
    <row r="580" spans="1:10" x14ac:dyDescent="0.3">
      <c r="A580" t="s">
        <v>282</v>
      </c>
      <c r="B580">
        <f>DONNEES!J346-DONNEES!M126</f>
        <v>0</v>
      </c>
      <c r="D580" s="12">
        <v>0.41434115051621728</v>
      </c>
      <c r="E580">
        <v>-0.55441980933149659</v>
      </c>
      <c r="F580">
        <f t="shared" si="1"/>
        <v>-0.96876095984771382</v>
      </c>
      <c r="G580">
        <v>0.41434115051621728</v>
      </c>
      <c r="I580">
        <v>58.883617083231606</v>
      </c>
      <c r="J580" s="12">
        <v>85.967757161458309</v>
      </c>
    </row>
    <row r="581" spans="1:10" x14ac:dyDescent="0.3">
      <c r="A581" t="s">
        <v>284</v>
      </c>
      <c r="B581">
        <f>DONNEES!J347-DONNEES!M127</f>
        <v>0</v>
      </c>
      <c r="D581" s="12">
        <v>-0.73299504692355777</v>
      </c>
      <c r="E581">
        <v>0.44988407633112137</v>
      </c>
      <c r="F581">
        <f t="shared" si="1"/>
        <v>1.1828791232546791</v>
      </c>
      <c r="G581">
        <v>-0.73299504692355777</v>
      </c>
      <c r="I581">
        <v>85.209613800048814</v>
      </c>
      <c r="J581" s="12">
        <v>23.798520927429209</v>
      </c>
    </row>
    <row r="582" spans="1:10" x14ac:dyDescent="0.3">
      <c r="A582" t="s">
        <v>286</v>
      </c>
      <c r="B582">
        <f>DONNEES!J348-DONNEES!M128</f>
        <v>0</v>
      </c>
      <c r="D582" s="12">
        <v>0.87686134129762661</v>
      </c>
      <c r="E582">
        <v>-0.39122872178753215</v>
      </c>
      <c r="F582">
        <f t="shared" si="1"/>
        <v>-1.2680900630851588</v>
      </c>
      <c r="G582">
        <v>0.87686134129762661</v>
      </c>
      <c r="I582">
        <v>85.967757161458309</v>
      </c>
      <c r="J582" s="12">
        <v>85.46284164428711</v>
      </c>
    </row>
    <row r="583" spans="1:10" x14ac:dyDescent="0.3">
      <c r="A583" t="s">
        <v>288</v>
      </c>
      <c r="B583">
        <f>DONNEES!J349-DONNEES!M129</f>
        <v>0</v>
      </c>
      <c r="D583" s="12">
        <v>-0.55441980933149659</v>
      </c>
      <c r="E583">
        <v>1.0883759648903555</v>
      </c>
      <c r="F583">
        <f t="shared" si="1"/>
        <v>1.642795774221852</v>
      </c>
      <c r="G583">
        <v>-0.55441980933149659</v>
      </c>
      <c r="I583">
        <v>79.245432535807296</v>
      </c>
      <c r="J583" s="12">
        <v>85.209613800048814</v>
      </c>
    </row>
    <row r="584" spans="1:10" x14ac:dyDescent="0.3">
      <c r="A584" t="s">
        <v>290</v>
      </c>
      <c r="B584">
        <f>DONNEES!J350-DONNEES!M130</f>
        <v>0</v>
      </c>
      <c r="D584" s="12">
        <v>0.44988407633112137</v>
      </c>
      <c r="E584">
        <v>-0.1738347883462362</v>
      </c>
      <c r="F584">
        <f t="shared" si="1"/>
        <v>-0.6237188646773576</v>
      </c>
      <c r="G584">
        <v>0.44988407633112137</v>
      </c>
      <c r="I584">
        <v>28.095628218217314</v>
      </c>
      <c r="J584" s="12">
        <v>86.345623016357393</v>
      </c>
    </row>
    <row r="585" spans="1:10" x14ac:dyDescent="0.3">
      <c r="A585" t="s">
        <v>292</v>
      </c>
      <c r="B585">
        <f>DONNEES!J351-DONNEES!M131</f>
        <v>0</v>
      </c>
      <c r="D585" s="12">
        <v>-0.39122872178753215</v>
      </c>
      <c r="E585">
        <v>-8.6354913048284201E-2</v>
      </c>
      <c r="F585">
        <f t="shared" ref="F585:F648" si="2">E585-D585</f>
        <v>0.30487380873924796</v>
      </c>
      <c r="G585">
        <v>-0.39122872178753215</v>
      </c>
      <c r="I585">
        <v>96.308841705322266</v>
      </c>
      <c r="J585" s="12">
        <v>91.49601015837294</v>
      </c>
    </row>
    <row r="586" spans="1:10" x14ac:dyDescent="0.3">
      <c r="A586" t="s">
        <v>294</v>
      </c>
      <c r="B586">
        <f>DONNEES!J352-DONNEES!M132</f>
        <v>0</v>
      </c>
      <c r="D586" s="12">
        <v>1.0883759648903555</v>
      </c>
      <c r="E586">
        <v>-0.18476045178249481</v>
      </c>
      <c r="F586">
        <f t="shared" si="2"/>
        <v>-1.2731364166728503</v>
      </c>
      <c r="G586">
        <v>1.0883759648903555</v>
      </c>
      <c r="I586">
        <v>48.997181948493505</v>
      </c>
      <c r="J586" s="12">
        <v>149.70509147644023</v>
      </c>
    </row>
    <row r="587" spans="1:10" x14ac:dyDescent="0.3">
      <c r="A587" t="s">
        <v>296</v>
      </c>
      <c r="B587">
        <f>DONNEES!J353-DONNEES!M133</f>
        <v>0</v>
      </c>
      <c r="D587" s="12">
        <v>-0.1738347883462362</v>
      </c>
      <c r="E587">
        <v>-0.79701083774367942</v>
      </c>
      <c r="F587">
        <f t="shared" si="2"/>
        <v>-0.6231760493974432</v>
      </c>
      <c r="G587">
        <v>-0.1738347883462362</v>
      </c>
      <c r="I587">
        <v>91.955124325222442</v>
      </c>
      <c r="J587" s="12">
        <v>80.556658493845092</v>
      </c>
    </row>
    <row r="588" spans="1:10" x14ac:dyDescent="0.3">
      <c r="A588" t="s">
        <v>298</v>
      </c>
      <c r="B588">
        <f>DONNEES!J354-DONNEES!M134</f>
        <v>0</v>
      </c>
      <c r="D588" s="12">
        <v>-8.6354913048284201E-2</v>
      </c>
      <c r="E588">
        <v>-1.4089782784382499</v>
      </c>
      <c r="F588">
        <f t="shared" si="2"/>
        <v>-1.3226233653899657</v>
      </c>
      <c r="G588">
        <v>-8.6354913048284201E-2</v>
      </c>
      <c r="I588">
        <v>80.556658493845092</v>
      </c>
      <c r="J588" s="12">
        <v>91.955124325222442</v>
      </c>
    </row>
    <row r="589" spans="1:10" x14ac:dyDescent="0.3">
      <c r="A589" t="s">
        <v>300</v>
      </c>
      <c r="B589">
        <f>DONNEES!J355-DONNEES!M135</f>
        <v>0</v>
      </c>
      <c r="D589" s="12">
        <v>-0.18476045178249481</v>
      </c>
      <c r="E589">
        <v>0.25086792162619531</v>
      </c>
      <c r="F589">
        <f t="shared" si="2"/>
        <v>0.43562837340869009</v>
      </c>
      <c r="G589">
        <v>-0.18476045178249481</v>
      </c>
      <c r="I589" t="s">
        <v>37</v>
      </c>
      <c r="J589" s="12">
        <v>56.863376935323082</v>
      </c>
    </row>
    <row r="590" spans="1:10" x14ac:dyDescent="0.3">
      <c r="A590" t="s">
        <v>302</v>
      </c>
      <c r="B590">
        <f>DONNEES!J356-DONNEES!M136</f>
        <v>0</v>
      </c>
      <c r="D590" s="12">
        <v>-0.79701083774367942</v>
      </c>
      <c r="E590">
        <v>0.32760321659346431</v>
      </c>
      <c r="F590">
        <f t="shared" si="2"/>
        <v>1.1246140543371437</v>
      </c>
      <c r="G590">
        <v>-0.79701083774367942</v>
      </c>
      <c r="I590">
        <v>23.410772105058033</v>
      </c>
      <c r="J590" s="12">
        <v>23.410772105058033</v>
      </c>
    </row>
    <row r="591" spans="1:10" x14ac:dyDescent="0.3">
      <c r="A591" t="s">
        <v>304</v>
      </c>
      <c r="B591">
        <f>DONNEES!J357-DONNEES!M137</f>
        <v>0</v>
      </c>
      <c r="D591" s="12">
        <v>-1.4089782784382499</v>
      </c>
      <c r="E591">
        <v>-0.59626196256916353</v>
      </c>
      <c r="F591">
        <f t="shared" si="2"/>
        <v>0.81271631586908633</v>
      </c>
      <c r="G591">
        <v>-1.4089782784382499</v>
      </c>
      <c r="I591">
        <v>23.798520927429209</v>
      </c>
      <c r="J591" s="12">
        <v>48.997181948493505</v>
      </c>
    </row>
    <row r="592" spans="1:10" x14ac:dyDescent="0.3">
      <c r="A592" t="s">
        <v>306</v>
      </c>
      <c r="B592">
        <f>DONNEES!J358-DONNEES!M138</f>
        <v>0</v>
      </c>
      <c r="D592" s="12">
        <v>0.25086792162619531</v>
      </c>
      <c r="E592">
        <v>1.7715782572825745</v>
      </c>
      <c r="F592">
        <f t="shared" si="2"/>
        <v>1.5207103356563791</v>
      </c>
      <c r="G592">
        <v>0.25086792162619531</v>
      </c>
      <c r="I592">
        <v>85.46284164428711</v>
      </c>
      <c r="J592" s="12">
        <v>62.701430394099312</v>
      </c>
    </row>
    <row r="593" spans="1:10" x14ac:dyDescent="0.3">
      <c r="A593" t="s">
        <v>308</v>
      </c>
      <c r="B593">
        <f>DONNEES!J359-DONNEES!M139</f>
        <v>0</v>
      </c>
      <c r="D593" s="12">
        <v>0.32760321659346431</v>
      </c>
      <c r="E593">
        <v>0.83149058222770711</v>
      </c>
      <c r="F593">
        <f t="shared" si="2"/>
        <v>0.50388736563424286</v>
      </c>
      <c r="G593">
        <v>0.32760321659346431</v>
      </c>
      <c r="I593">
        <v>33.907310867309569</v>
      </c>
      <c r="J593" s="12">
        <v>57.790940798245934</v>
      </c>
    </row>
    <row r="594" spans="1:10" x14ac:dyDescent="0.3">
      <c r="A594" t="s">
        <v>310</v>
      </c>
      <c r="B594">
        <f>DONNEES!J360-DONNEES!M140</f>
        <v>0</v>
      </c>
      <c r="D594" s="12">
        <v>-0.59626196256916353</v>
      </c>
      <c r="E594">
        <v>1.8558569451173141</v>
      </c>
      <c r="F594">
        <f t="shared" si="2"/>
        <v>2.4521189076864776</v>
      </c>
      <c r="G594">
        <v>-0.59626196256916353</v>
      </c>
      <c r="I594">
        <v>79.354470661708291</v>
      </c>
      <c r="J594" s="12">
        <v>56.742110411326088</v>
      </c>
    </row>
    <row r="595" spans="1:10" x14ac:dyDescent="0.3">
      <c r="A595" t="s">
        <v>312</v>
      </c>
      <c r="B595">
        <f>DONNEES!J361-DONNEES!M141</f>
        <v>0</v>
      </c>
      <c r="D595" s="12">
        <v>1.7715782572825745</v>
      </c>
      <c r="E595">
        <v>-0.81979748855034451</v>
      </c>
      <c r="F595">
        <f t="shared" si="2"/>
        <v>-2.5913757458329192</v>
      </c>
      <c r="G595">
        <v>1.7715782572825745</v>
      </c>
      <c r="I595" t="s">
        <v>37</v>
      </c>
      <c r="J595" s="12">
        <v>120.99095916748047</v>
      </c>
    </row>
    <row r="596" spans="1:10" x14ac:dyDescent="0.3">
      <c r="A596" t="s">
        <v>314</v>
      </c>
      <c r="B596" t="str">
        <f>IFERROR(DONNEES!J362-DONNEES!M142,"NA")</f>
        <v>NA</v>
      </c>
      <c r="D596" s="12" t="s">
        <v>37</v>
      </c>
      <c r="E596">
        <v>-0.60649732376138366</v>
      </c>
      <c r="F596" t="e">
        <f t="shared" si="2"/>
        <v>#VALUE!</v>
      </c>
      <c r="G596" t="s">
        <v>37</v>
      </c>
      <c r="I596" t="s">
        <v>37</v>
      </c>
      <c r="J596" s="12">
        <v>98.497108459472699</v>
      </c>
    </row>
    <row r="597" spans="1:10" x14ac:dyDescent="0.3">
      <c r="A597" t="s">
        <v>316</v>
      </c>
      <c r="B597">
        <f>IFERROR(DONNEES!J363-DONNEES!M143,"NA")</f>
        <v>0</v>
      </c>
      <c r="D597" s="12">
        <v>1.8558569451173141</v>
      </c>
      <c r="E597">
        <v>-1.1173807208736737</v>
      </c>
      <c r="F597">
        <f t="shared" si="2"/>
        <v>-2.9732376659909878</v>
      </c>
      <c r="G597">
        <v>1.8558569451173141</v>
      </c>
      <c r="I597">
        <v>11.378821806474162</v>
      </c>
      <c r="J597" s="12">
        <v>116.20500211362486</v>
      </c>
    </row>
    <row r="598" spans="1:10" x14ac:dyDescent="0.3">
      <c r="A598" t="s">
        <v>318</v>
      </c>
      <c r="B598">
        <f>IFERROR(DONNEES!J364-DONNEES!M144,"NA")</f>
        <v>0</v>
      </c>
      <c r="D598" s="12">
        <v>-0.81979748855034451</v>
      </c>
      <c r="E598">
        <v>-0.73162819941838586</v>
      </c>
      <c r="F598">
        <f t="shared" si="2"/>
        <v>8.816928913195865E-2</v>
      </c>
      <c r="G598">
        <v>-0.81979748855034451</v>
      </c>
      <c r="I598">
        <v>38.528485298156745</v>
      </c>
      <c r="J598" s="12">
        <v>59.357054392496742</v>
      </c>
    </row>
    <row r="599" spans="1:10" x14ac:dyDescent="0.3">
      <c r="A599" t="s">
        <v>320</v>
      </c>
      <c r="B599">
        <f>IFERROR(DONNEES!J365-DONNEES!M145,"NA")</f>
        <v>0</v>
      </c>
      <c r="D599" s="12">
        <v>-0.60649732376138366</v>
      </c>
      <c r="E599">
        <v>-0.30389347501720004</v>
      </c>
      <c r="F599">
        <f t="shared" si="2"/>
        <v>0.30260384874418361</v>
      </c>
      <c r="G599">
        <v>-0.60649732376138366</v>
      </c>
      <c r="I599">
        <v>59.357054392496742</v>
      </c>
      <c r="J599" s="12">
        <v>11.378821806474162</v>
      </c>
    </row>
    <row r="600" spans="1:10" x14ac:dyDescent="0.3">
      <c r="A600" t="s">
        <v>322</v>
      </c>
      <c r="B600">
        <f>IFERROR(DONNEES!J366-DONNEES!M146,"NA")</f>
        <v>0</v>
      </c>
      <c r="D600" s="12">
        <v>-1.1173807208736737</v>
      </c>
      <c r="E600">
        <v>1.9229007711013153</v>
      </c>
      <c r="F600">
        <f t="shared" si="2"/>
        <v>3.040281491974989</v>
      </c>
      <c r="G600">
        <v>-1.1173807208736737</v>
      </c>
      <c r="I600">
        <v>120.99095916748047</v>
      </c>
      <c r="J600" s="12">
        <v>38.528485298156745</v>
      </c>
    </row>
    <row r="601" spans="1:10" x14ac:dyDescent="0.3">
      <c r="A601" t="s">
        <v>324</v>
      </c>
      <c r="B601">
        <f>IFERROR(DONNEES!J367-DONNEES!M147,"NA")</f>
        <v>0</v>
      </c>
      <c r="D601" s="12">
        <v>-0.30389347501720004</v>
      </c>
      <c r="E601">
        <v>0.46415914470950764</v>
      </c>
      <c r="F601">
        <f t="shared" si="2"/>
        <v>0.76805261972670769</v>
      </c>
      <c r="G601">
        <v>-0.30389347501720004</v>
      </c>
      <c r="I601">
        <v>115.01374534324371</v>
      </c>
      <c r="J601" s="12">
        <v>79.245432535807296</v>
      </c>
    </row>
    <row r="602" spans="1:10" x14ac:dyDescent="0.3">
      <c r="A602" t="s">
        <v>326</v>
      </c>
      <c r="B602" t="str">
        <f>IFERROR(DONNEES!J368-DONNEES!M148,"NA")</f>
        <v>NA</v>
      </c>
      <c r="D602" s="12" t="s">
        <v>37</v>
      </c>
      <c r="E602">
        <v>-0.81618610521157564</v>
      </c>
      <c r="F602" t="e">
        <f t="shared" si="2"/>
        <v>#VALUE!</v>
      </c>
      <c r="G602" t="s">
        <v>37</v>
      </c>
      <c r="I602">
        <v>56.742110411326088</v>
      </c>
      <c r="J602" s="12" t="s">
        <v>37</v>
      </c>
    </row>
    <row r="603" spans="1:10" x14ac:dyDescent="0.3">
      <c r="A603" t="s">
        <v>328</v>
      </c>
      <c r="B603">
        <f>IFERROR(DONNEES!J369-DONNEES!M149,"NA")</f>
        <v>0</v>
      </c>
      <c r="D603" s="12">
        <v>1.9229007711013153</v>
      </c>
      <c r="E603">
        <v>0.82853340605894743</v>
      </c>
      <c r="F603">
        <f t="shared" si="2"/>
        <v>-1.094367365042368</v>
      </c>
      <c r="G603">
        <v>1.9229007711013153</v>
      </c>
      <c r="I603">
        <v>57.790940798245934</v>
      </c>
      <c r="J603" s="12">
        <v>115.01374534324371</v>
      </c>
    </row>
    <row r="604" spans="1:10" x14ac:dyDescent="0.3">
      <c r="A604" t="s">
        <v>330</v>
      </c>
      <c r="B604">
        <f>IFERROR(DONNEES!J370-DONNEES!M150,"NA")</f>
        <v>0</v>
      </c>
      <c r="D604" s="12">
        <v>0.46415914470950764</v>
      </c>
      <c r="E604">
        <v>-0.14640811956875649</v>
      </c>
      <c r="F604">
        <f t="shared" si="2"/>
        <v>-0.61056726427826413</v>
      </c>
      <c r="G604">
        <v>0.46415914470950764</v>
      </c>
      <c r="I604">
        <v>116.20500211362486</v>
      </c>
      <c r="J604" s="12">
        <v>89.731719818115195</v>
      </c>
    </row>
    <row r="605" spans="1:10" x14ac:dyDescent="0.3">
      <c r="A605" t="s">
        <v>332</v>
      </c>
      <c r="B605">
        <f>IFERROR(DONNEES!J371-DONNEES!M151,"NA")</f>
        <v>0</v>
      </c>
      <c r="D605" s="12">
        <v>-0.81618610521157564</v>
      </c>
      <c r="E605">
        <v>-0.80393451700607954</v>
      </c>
      <c r="F605">
        <f t="shared" si="2"/>
        <v>1.22515882054961E-2</v>
      </c>
      <c r="G605">
        <v>-0.81618610521157564</v>
      </c>
      <c r="I605">
        <v>89.731719818115195</v>
      </c>
      <c r="J605" s="12">
        <v>31.355923016866043</v>
      </c>
    </row>
    <row r="606" spans="1:10" x14ac:dyDescent="0.3">
      <c r="A606" t="s">
        <v>334</v>
      </c>
      <c r="B606">
        <f>IFERROR(DONNEES!J372-DONNEES!M152,"NA")</f>
        <v>0</v>
      </c>
      <c r="D606" s="12">
        <v>0.82853340605894743</v>
      </c>
      <c r="E606">
        <v>-0.78724943970640515</v>
      </c>
      <c r="F606">
        <f t="shared" si="2"/>
        <v>-1.6157828457653527</v>
      </c>
      <c r="G606">
        <v>0.82853340605894743</v>
      </c>
      <c r="I606">
        <v>31.355923016866043</v>
      </c>
      <c r="J606" s="12">
        <v>105.07082089510835</v>
      </c>
    </row>
    <row r="607" spans="1:10" x14ac:dyDescent="0.3">
      <c r="A607" t="s">
        <v>336</v>
      </c>
      <c r="B607">
        <f>IFERROR(DONNEES!J373-DONNEES!M153,"NA")</f>
        <v>0</v>
      </c>
      <c r="D607" s="12">
        <v>-0.14640811956875649</v>
      </c>
      <c r="E607">
        <v>-0.59402179718017578</v>
      </c>
      <c r="F607">
        <f t="shared" si="2"/>
        <v>-0.44761367761141929</v>
      </c>
      <c r="G607">
        <v>-0.14640811956875649</v>
      </c>
      <c r="I607">
        <v>70.982598114013669</v>
      </c>
      <c r="J607" s="12">
        <v>70.982598114013669</v>
      </c>
    </row>
    <row r="608" spans="1:10" x14ac:dyDescent="0.3">
      <c r="A608" t="s">
        <v>338</v>
      </c>
      <c r="B608">
        <f>IFERROR(DONNEES!J374-DONNEES!M154,"NA")</f>
        <v>0</v>
      </c>
      <c r="D608" s="12">
        <v>-0.80393451700607954</v>
      </c>
      <c r="E608">
        <v>-0.45516228792257607</v>
      </c>
      <c r="F608">
        <f t="shared" si="2"/>
        <v>0.34877222908350347</v>
      </c>
      <c r="G608">
        <v>-0.80393451700607954</v>
      </c>
      <c r="I608">
        <v>89.031561170305523</v>
      </c>
      <c r="J608" s="12">
        <v>28.598367929458625</v>
      </c>
    </row>
    <row r="609" spans="1:10" x14ac:dyDescent="0.3">
      <c r="A609" t="s">
        <v>340</v>
      </c>
      <c r="B609">
        <f>IFERROR(DONNEES!J375-DONNEES!M155,"NA")</f>
        <v>0</v>
      </c>
      <c r="D609" s="12">
        <v>-0.78724943970640515</v>
      </c>
      <c r="E609">
        <v>0.59308206165830291</v>
      </c>
      <c r="F609">
        <f t="shared" si="2"/>
        <v>1.3803315013647079</v>
      </c>
      <c r="G609">
        <v>-0.78724943970640515</v>
      </c>
      <c r="I609">
        <v>82.557346509850547</v>
      </c>
      <c r="J609" s="12">
        <v>69.2754807472229</v>
      </c>
    </row>
    <row r="610" spans="1:10" x14ac:dyDescent="0.3">
      <c r="A610" t="s">
        <v>342</v>
      </c>
      <c r="B610">
        <f>IFERROR(DONNEES!J376-DONNEES!M156,"NA")</f>
        <v>0</v>
      </c>
      <c r="D610" s="12">
        <v>-0.59402179718017578</v>
      </c>
      <c r="E610">
        <v>1.1195836290717123</v>
      </c>
      <c r="F610">
        <f t="shared" si="2"/>
        <v>1.7136054262518881</v>
      </c>
      <c r="G610">
        <v>-0.59402179718017578</v>
      </c>
      <c r="I610">
        <v>105.07082089510835</v>
      </c>
      <c r="J610" s="12">
        <v>89.031561170305523</v>
      </c>
    </row>
    <row r="611" spans="1:10" x14ac:dyDescent="0.3">
      <c r="A611" t="s">
        <v>344</v>
      </c>
      <c r="B611">
        <f>IFERROR(DONNEES!J377-DONNEES!M157,"NA")</f>
        <v>0</v>
      </c>
      <c r="D611" s="12">
        <v>-0.45516228792257607</v>
      </c>
      <c r="E611">
        <v>0.69953271001577377</v>
      </c>
      <c r="F611">
        <f t="shared" si="2"/>
        <v>1.1546949979383498</v>
      </c>
      <c r="G611">
        <v>-0.45516228792257607</v>
      </c>
      <c r="I611">
        <v>28.598367929458625</v>
      </c>
      <c r="J611" s="12">
        <v>82.557346509850547</v>
      </c>
    </row>
    <row r="612" spans="1:10" x14ac:dyDescent="0.3">
      <c r="A612" t="s">
        <v>346</v>
      </c>
      <c r="B612">
        <f>IFERROR(DONNEES!J378-DONNEES!M158,"NA")</f>
        <v>0</v>
      </c>
      <c r="D612" s="12">
        <v>0.59308206165830291</v>
      </c>
      <c r="E612">
        <v>0.66620292576650775</v>
      </c>
      <c r="F612">
        <f t="shared" si="2"/>
        <v>7.3120864108204842E-2</v>
      </c>
      <c r="G612">
        <v>0.59308206165830291</v>
      </c>
      <c r="I612">
        <v>103.26630881980601</v>
      </c>
      <c r="J612" s="12">
        <v>103.26630881980601</v>
      </c>
    </row>
    <row r="613" spans="1:10" x14ac:dyDescent="0.3">
      <c r="A613" t="s">
        <v>348</v>
      </c>
      <c r="B613">
        <f>IFERROR(DONNEES!J379-DONNEES!M159,"NA")</f>
        <v>0</v>
      </c>
      <c r="D613" s="12">
        <v>1.1195836290717123</v>
      </c>
      <c r="E613">
        <v>0.92214854453739326</v>
      </c>
      <c r="F613">
        <f t="shared" si="2"/>
        <v>-0.19743508453431902</v>
      </c>
      <c r="G613">
        <v>1.1195836290717123</v>
      </c>
      <c r="I613">
        <v>89.305031670464416</v>
      </c>
      <c r="J613" s="12">
        <v>109.49672933725212</v>
      </c>
    </row>
    <row r="614" spans="1:10" x14ac:dyDescent="0.3">
      <c r="A614" t="s">
        <v>350</v>
      </c>
      <c r="B614">
        <f>IFERROR(DONNEES!J380-DONNEES!M160,"NA")</f>
        <v>0</v>
      </c>
      <c r="D614" s="12">
        <v>0.69953271001577377</v>
      </c>
      <c r="E614">
        <v>0.10143100520751132</v>
      </c>
      <c r="F614">
        <f t="shared" si="2"/>
        <v>-0.59810170480826241</v>
      </c>
      <c r="G614">
        <v>0.69953271001577377</v>
      </c>
      <c r="I614">
        <v>95.956962585449205</v>
      </c>
      <c r="J614" s="12">
        <v>89.305031670464416</v>
      </c>
    </row>
    <row r="615" spans="1:10" x14ac:dyDescent="0.3">
      <c r="A615" t="s">
        <v>352</v>
      </c>
      <c r="B615">
        <f>IFERROR(DONNEES!J381-DONNEES!M161,"NA")</f>
        <v>0</v>
      </c>
      <c r="D615" s="12">
        <v>0.66620292576650775</v>
      </c>
      <c r="E615">
        <v>-0.88526584953069687</v>
      </c>
      <c r="F615">
        <f t="shared" si="2"/>
        <v>-1.5514687752972045</v>
      </c>
      <c r="G615">
        <v>0.66620292576650775</v>
      </c>
      <c r="I615">
        <v>109.49672933725212</v>
      </c>
      <c r="J615" s="12">
        <v>95.313741455078159</v>
      </c>
    </row>
    <row r="616" spans="1:10" x14ac:dyDescent="0.3">
      <c r="A616" t="s">
        <v>354</v>
      </c>
      <c r="B616">
        <f>IFERROR(DONNEES!J382-DONNEES!M162,"NA")</f>
        <v>0</v>
      </c>
      <c r="D616" s="12">
        <v>0.10143100520751132</v>
      </c>
      <c r="E616">
        <v>-0.43543397852530075</v>
      </c>
      <c r="F616">
        <f t="shared" si="2"/>
        <v>-0.53686498373281211</v>
      </c>
      <c r="G616">
        <v>0.10143100520751132</v>
      </c>
      <c r="I616">
        <v>69.2754807472229</v>
      </c>
      <c r="J616" s="12">
        <v>87.79650228994862</v>
      </c>
    </row>
    <row r="617" spans="1:10" x14ac:dyDescent="0.3">
      <c r="A617" t="s">
        <v>356</v>
      </c>
      <c r="B617">
        <f>IFERROR(DONNEES!J383-DONNEES!M163,"NA")</f>
        <v>0</v>
      </c>
      <c r="D617" s="12">
        <v>-0.88526584953069687</v>
      </c>
      <c r="E617">
        <v>0.92235015581051538</v>
      </c>
      <c r="F617">
        <f t="shared" si="2"/>
        <v>1.8076160053412123</v>
      </c>
      <c r="G617">
        <v>-0.88526584953069687</v>
      </c>
      <c r="I617">
        <v>84.301400078667541</v>
      </c>
      <c r="J617" s="12">
        <v>93.00761159261063</v>
      </c>
    </row>
    <row r="618" spans="1:10" x14ac:dyDescent="0.3">
      <c r="A618" t="s">
        <v>358</v>
      </c>
      <c r="B618">
        <f>IFERROR(DONNEES!J384-DONNEES!M164,"NA")</f>
        <v>0</v>
      </c>
      <c r="D618" s="12">
        <v>-0.43543397852530075</v>
      </c>
      <c r="E618">
        <v>1.121609436429065</v>
      </c>
      <c r="F618">
        <f t="shared" si="2"/>
        <v>1.5570434149543657</v>
      </c>
      <c r="G618">
        <v>-0.43543397852530075</v>
      </c>
      <c r="I618" t="s">
        <v>37</v>
      </c>
      <c r="J618" s="12">
        <v>27.452257653941277</v>
      </c>
    </row>
    <row r="619" spans="1:10" x14ac:dyDescent="0.3">
      <c r="A619" t="s">
        <v>360</v>
      </c>
      <c r="B619">
        <f>IFERROR(DONNEES!J385-DONNEES!M165,"NA")</f>
        <v>0</v>
      </c>
      <c r="D619" s="12">
        <v>0.92235015581051538</v>
      </c>
      <c r="E619">
        <v>-0.49616626588006812</v>
      </c>
      <c r="F619">
        <f t="shared" si="2"/>
        <v>-1.4185164216905835</v>
      </c>
      <c r="G619">
        <v>0.92235015581051538</v>
      </c>
      <c r="I619">
        <v>95.313741455078159</v>
      </c>
      <c r="J619" s="12">
        <v>79.391341018676755</v>
      </c>
    </row>
    <row r="620" spans="1:10" x14ac:dyDescent="0.3">
      <c r="A620" t="s">
        <v>362</v>
      </c>
      <c r="B620">
        <f>IFERROR(DONNEES!J386-DONNEES!M166,"NA")</f>
        <v>0</v>
      </c>
      <c r="D620" s="12">
        <v>1.121609436429065</v>
      </c>
      <c r="E620">
        <v>9.8165167379192994E-2</v>
      </c>
      <c r="F620">
        <f t="shared" si="2"/>
        <v>-1.023444269049872</v>
      </c>
      <c r="G620">
        <v>1.121609436429065</v>
      </c>
      <c r="I620">
        <v>87.79650228994862</v>
      </c>
      <c r="J620" s="12">
        <v>75.658456563949585</v>
      </c>
    </row>
    <row r="621" spans="1:10" x14ac:dyDescent="0.3">
      <c r="A621" t="s">
        <v>364</v>
      </c>
      <c r="B621">
        <f>IFERROR(DONNEES!J387-DONNEES!M167,"NA")</f>
        <v>0</v>
      </c>
      <c r="D621" s="12">
        <v>-0.49616626588006812</v>
      </c>
      <c r="E621">
        <v>-0.18309299162744239</v>
      </c>
      <c r="F621">
        <f t="shared" si="2"/>
        <v>0.31307327425262577</v>
      </c>
      <c r="G621">
        <v>-0.49616626588006812</v>
      </c>
      <c r="I621">
        <v>93.00761159261063</v>
      </c>
      <c r="J621" s="12">
        <v>57.645801544189467</v>
      </c>
    </row>
    <row r="622" spans="1:10" x14ac:dyDescent="0.3">
      <c r="A622" t="s">
        <v>366</v>
      </c>
      <c r="B622">
        <f>IFERROR(DONNEES!J388-DONNEES!M168,"NA")</f>
        <v>0</v>
      </c>
      <c r="D622" s="12">
        <v>9.8165167379192994E-2</v>
      </c>
      <c r="E622">
        <v>-0.49152272877593828</v>
      </c>
      <c r="F622">
        <f t="shared" si="2"/>
        <v>-0.58968789615513129</v>
      </c>
      <c r="G622">
        <v>9.8165167379192994E-2</v>
      </c>
      <c r="I622">
        <v>27.452257653941277</v>
      </c>
      <c r="J622" s="12">
        <v>92.838573455810547</v>
      </c>
    </row>
    <row r="623" spans="1:10" x14ac:dyDescent="0.3">
      <c r="A623" t="s">
        <v>368</v>
      </c>
      <c r="B623">
        <f>IFERROR(DONNEES!J389-DONNEES!M169,"NA")</f>
        <v>0</v>
      </c>
      <c r="D623" s="12">
        <v>-0.18309299162744239</v>
      </c>
      <c r="E623">
        <v>0.33847530873026699</v>
      </c>
      <c r="F623">
        <f t="shared" si="2"/>
        <v>0.5215683003577094</v>
      </c>
      <c r="G623">
        <v>-0.18309299162744239</v>
      </c>
      <c r="I623" t="s">
        <v>37</v>
      </c>
      <c r="J623" s="12">
        <v>31.784757977440254</v>
      </c>
    </row>
    <row r="624" spans="1:10" x14ac:dyDescent="0.3">
      <c r="A624" t="s">
        <v>370</v>
      </c>
      <c r="B624">
        <f>IFERROR(DONNEES!J390-DONNEES!M170,"NA")</f>
        <v>0</v>
      </c>
      <c r="D624" s="12">
        <v>-0.49152272877593828</v>
      </c>
      <c r="E624">
        <v>-0.98774503916501921</v>
      </c>
      <c r="F624">
        <f t="shared" si="2"/>
        <v>-0.49622231038908093</v>
      </c>
      <c r="G624">
        <v>-0.49152272877593828</v>
      </c>
      <c r="I624">
        <v>40.367302576700844</v>
      </c>
      <c r="J624" s="12">
        <v>91.105416339376703</v>
      </c>
    </row>
    <row r="625" spans="1:10" x14ac:dyDescent="0.3">
      <c r="A625" t="s">
        <v>372</v>
      </c>
      <c r="B625">
        <f>IFERROR(DONNEES!J391-DONNEES!M171,"NA")</f>
        <v>0</v>
      </c>
      <c r="D625" s="12">
        <v>0.33847530873026699</v>
      </c>
      <c r="E625">
        <v>1.6361315747102101</v>
      </c>
      <c r="F625">
        <f t="shared" si="2"/>
        <v>1.2976562659799431</v>
      </c>
      <c r="G625">
        <v>0.33847530873026699</v>
      </c>
      <c r="I625">
        <v>31.784757977440254</v>
      </c>
      <c r="J625" s="12">
        <v>79.549130475079551</v>
      </c>
    </row>
    <row r="626" spans="1:10" x14ac:dyDescent="0.3">
      <c r="A626" t="s">
        <v>374</v>
      </c>
      <c r="B626">
        <f>IFERROR(DONNEES!J392-DONNEES!M172,"NA")</f>
        <v>0</v>
      </c>
      <c r="D626" s="12">
        <v>-0.98774503916501921</v>
      </c>
      <c r="E626">
        <v>0.46998659521341324</v>
      </c>
      <c r="F626">
        <f t="shared" si="2"/>
        <v>1.4577316343784323</v>
      </c>
      <c r="G626">
        <v>-0.98774503916501921</v>
      </c>
      <c r="I626">
        <v>107.12529945373535</v>
      </c>
      <c r="J626" s="12">
        <v>37.742160797119141</v>
      </c>
    </row>
    <row r="627" spans="1:10" x14ac:dyDescent="0.3">
      <c r="A627" t="s">
        <v>376</v>
      </c>
      <c r="B627">
        <f>IFERROR(DONNEES!J393-DONNEES!M173,"NA")</f>
        <v>0</v>
      </c>
      <c r="D627" s="12">
        <v>1.6361315747102101</v>
      </c>
      <c r="E627">
        <v>0.9927286083499588</v>
      </c>
      <c r="F627">
        <f t="shared" si="2"/>
        <v>-0.64340296636025129</v>
      </c>
      <c r="G627">
        <v>1.6361315747102101</v>
      </c>
      <c r="I627" t="s">
        <v>37</v>
      </c>
      <c r="J627" s="12">
        <v>107.12529945373535</v>
      </c>
    </row>
    <row r="628" spans="1:10" x14ac:dyDescent="0.3">
      <c r="A628" t="s">
        <v>378</v>
      </c>
      <c r="B628" t="str">
        <f>IFERROR(DONNEES!J394-DONNEES!M174,"NA")</f>
        <v>NA</v>
      </c>
      <c r="D628" s="12" t="s">
        <v>37</v>
      </c>
      <c r="E628">
        <v>-0.27244938723742956</v>
      </c>
      <c r="F628" t="e">
        <f t="shared" si="2"/>
        <v>#VALUE!</v>
      </c>
      <c r="G628" t="s">
        <v>37</v>
      </c>
      <c r="I628">
        <v>37.742160797119141</v>
      </c>
      <c r="J628" s="12" t="s">
        <v>37</v>
      </c>
    </row>
    <row r="629" spans="1:10" x14ac:dyDescent="0.3">
      <c r="A629" t="s">
        <v>380</v>
      </c>
      <c r="B629">
        <f>IFERROR(DONNEES!J395-DONNEES!M175,"NA")</f>
        <v>0</v>
      </c>
      <c r="D629" s="12">
        <v>0.46998659521341324</v>
      </c>
      <c r="E629">
        <v>-2.2982054104407625</v>
      </c>
      <c r="F629">
        <f t="shared" si="2"/>
        <v>-2.7681920056541758</v>
      </c>
      <c r="G629">
        <v>0.46998659521341324</v>
      </c>
      <c r="I629">
        <v>64.792566208612357</v>
      </c>
      <c r="J629" s="12">
        <v>91.805547926161026</v>
      </c>
    </row>
    <row r="630" spans="1:10" x14ac:dyDescent="0.3">
      <c r="A630" t="s">
        <v>382</v>
      </c>
      <c r="B630">
        <f>IFERROR(DONNEES!J396-DONNEES!M176,"NA")</f>
        <v>0</v>
      </c>
      <c r="D630" s="12">
        <v>0.9927286083499588</v>
      </c>
      <c r="E630">
        <v>2.7635134676529564E-2</v>
      </c>
      <c r="F630">
        <f t="shared" si="2"/>
        <v>-0.96509347367342924</v>
      </c>
      <c r="G630">
        <v>0.9927286083499588</v>
      </c>
      <c r="I630">
        <v>75.658456563949585</v>
      </c>
      <c r="J630" s="12">
        <v>103.43875856752759</v>
      </c>
    </row>
    <row r="631" spans="1:10" x14ac:dyDescent="0.3">
      <c r="A631" t="s">
        <v>384</v>
      </c>
      <c r="B631">
        <f>IFERROR(DONNEES!J397-DONNEES!M177,"NA")</f>
        <v>0</v>
      </c>
      <c r="D631" s="12">
        <v>-0.27244938723742956</v>
      </c>
      <c r="E631">
        <v>-1.8343079487482699</v>
      </c>
      <c r="F631">
        <f t="shared" si="2"/>
        <v>-1.5618585615108402</v>
      </c>
      <c r="G631">
        <v>-0.27244938723742956</v>
      </c>
      <c r="I631">
        <v>5.7686972618103045</v>
      </c>
      <c r="J631" s="12">
        <v>34.40507507324218</v>
      </c>
    </row>
    <row r="632" spans="1:10" x14ac:dyDescent="0.3">
      <c r="A632" t="s">
        <v>386</v>
      </c>
      <c r="B632">
        <f>IFERROR(DONNEES!J398-DONNEES!M178,"NA")</f>
        <v>0</v>
      </c>
      <c r="D632" s="12">
        <v>-2.2982054104407625</v>
      </c>
      <c r="E632">
        <v>1.0912676031390827</v>
      </c>
      <c r="F632">
        <f t="shared" si="2"/>
        <v>3.3894730135798454</v>
      </c>
      <c r="G632">
        <v>-2.2982054104407625</v>
      </c>
      <c r="I632">
        <v>91.105416339376703</v>
      </c>
      <c r="J632" s="12">
        <v>5.7686972618103045</v>
      </c>
    </row>
    <row r="633" spans="1:10" x14ac:dyDescent="0.3">
      <c r="A633" t="s">
        <v>388</v>
      </c>
      <c r="B633">
        <f>IFERROR(DONNEES!J399-DONNEES!M179,"NA")</f>
        <v>0</v>
      </c>
      <c r="D633" s="12">
        <v>2.7635134676529564E-2</v>
      </c>
      <c r="E633">
        <v>3.9143593664145306E-2</v>
      </c>
      <c r="F633">
        <f t="shared" si="2"/>
        <v>1.1508458987615742E-2</v>
      </c>
      <c r="G633">
        <v>2.7635134676529564E-2</v>
      </c>
      <c r="I633">
        <v>10.889630317687999</v>
      </c>
      <c r="J633" s="12">
        <v>92.050065040588336</v>
      </c>
    </row>
    <row r="634" spans="1:10" x14ac:dyDescent="0.3">
      <c r="A634" t="s">
        <v>390</v>
      </c>
      <c r="B634">
        <f>IFERROR(DONNEES!J400-DONNEES!M180,"NA")</f>
        <v>0</v>
      </c>
      <c r="D634" s="12">
        <v>-1.8343079487482699</v>
      </c>
      <c r="E634">
        <v>0.69828848789135611</v>
      </c>
      <c r="F634">
        <f t="shared" si="2"/>
        <v>2.5325964366396261</v>
      </c>
      <c r="G634">
        <v>-1.8343079487482699</v>
      </c>
      <c r="I634">
        <v>57.645801544189467</v>
      </c>
      <c r="J634" s="12">
        <v>10.889630317687999</v>
      </c>
    </row>
    <row r="635" spans="1:10" x14ac:dyDescent="0.3">
      <c r="A635" t="s">
        <v>392</v>
      </c>
      <c r="B635">
        <f>IFERROR(DONNEES!J401-DONNEES!M181,"NA")</f>
        <v>0</v>
      </c>
      <c r="D635" s="12">
        <v>1.0912676031390827</v>
      </c>
      <c r="E635">
        <v>0.75617387394110358</v>
      </c>
      <c r="F635">
        <f t="shared" si="2"/>
        <v>-0.33509372919797908</v>
      </c>
      <c r="G635">
        <v>1.0912676031390827</v>
      </c>
      <c r="I635">
        <v>71.131617069244385</v>
      </c>
      <c r="J635" s="12">
        <v>118.67587675871681</v>
      </c>
    </row>
    <row r="636" spans="1:10" x14ac:dyDescent="0.3">
      <c r="A636" t="s">
        <v>394</v>
      </c>
      <c r="B636">
        <f>IFERROR(DONNEES!J402-DONNEES!M182,"NA")</f>
        <v>0</v>
      </c>
      <c r="D636" s="12">
        <v>3.9143593664145306E-2</v>
      </c>
      <c r="E636">
        <v>0.74801400428016984</v>
      </c>
      <c r="F636">
        <f t="shared" si="2"/>
        <v>0.70887041061602452</v>
      </c>
      <c r="G636">
        <v>3.9143593664145306E-2</v>
      </c>
      <c r="I636">
        <v>91.805547926161026</v>
      </c>
      <c r="J636" s="12">
        <v>93.688332297585234</v>
      </c>
    </row>
    <row r="637" spans="1:10" x14ac:dyDescent="0.3">
      <c r="A637" t="s">
        <v>396</v>
      </c>
      <c r="B637">
        <f>IFERROR(DONNEES!J403-DONNEES!M183,"NA")</f>
        <v>0</v>
      </c>
      <c r="D637" s="12">
        <v>0.69828848789135611</v>
      </c>
      <c r="E637">
        <v>-1.3520616342624028</v>
      </c>
      <c r="F637">
        <f t="shared" si="2"/>
        <v>-2.050350122153759</v>
      </c>
      <c r="G637">
        <v>0.69828848789135611</v>
      </c>
      <c r="I637">
        <v>103.43875856752759</v>
      </c>
      <c r="J637" s="12">
        <v>103.84238344080312</v>
      </c>
    </row>
    <row r="638" spans="1:10" x14ac:dyDescent="0.3">
      <c r="A638" t="s">
        <v>398</v>
      </c>
      <c r="B638">
        <f>IFERROR(DONNEES!J404-DONNEES!M184,"NA")</f>
        <v>0</v>
      </c>
      <c r="D638" s="12">
        <v>0.75617387394110358</v>
      </c>
      <c r="E638">
        <v>-0.12189672008389611</v>
      </c>
      <c r="F638">
        <f t="shared" si="2"/>
        <v>-0.87807059402499965</v>
      </c>
      <c r="G638">
        <v>0.75617387394110358</v>
      </c>
      <c r="I638">
        <v>127.8851971096462</v>
      </c>
      <c r="J638" s="12">
        <v>85.980073293050125</v>
      </c>
    </row>
    <row r="639" spans="1:10" x14ac:dyDescent="0.3">
      <c r="A639" t="s">
        <v>400</v>
      </c>
      <c r="B639" t="str">
        <f>IFERROR(DONNEES!J405-DONNEES!M185,"NA")</f>
        <v>NA</v>
      </c>
      <c r="D639" s="12" t="s">
        <v>37</v>
      </c>
      <c r="E639">
        <v>1.8568079372247059</v>
      </c>
      <c r="F639" t="e">
        <f t="shared" si="2"/>
        <v>#VALUE!</v>
      </c>
      <c r="G639" t="s">
        <v>37</v>
      </c>
      <c r="I639">
        <v>56.877847480773916</v>
      </c>
      <c r="J639" s="12" t="s">
        <v>37</v>
      </c>
    </row>
    <row r="640" spans="1:10" x14ac:dyDescent="0.3">
      <c r="A640" t="s">
        <v>402</v>
      </c>
      <c r="B640">
        <f>IFERROR(DONNEES!J406-DONNEES!M186,"NA")</f>
        <v>0</v>
      </c>
      <c r="D640" s="12">
        <v>0.74801400428016984</v>
      </c>
      <c r="E640">
        <v>1.850589071710905</v>
      </c>
      <c r="F640">
        <f t="shared" si="2"/>
        <v>1.1025750674307351</v>
      </c>
      <c r="G640">
        <v>0.74801400428016984</v>
      </c>
      <c r="I640" t="s">
        <v>37</v>
      </c>
      <c r="J640" s="12">
        <v>100.74340711321145</v>
      </c>
    </row>
    <row r="641" spans="1:10" x14ac:dyDescent="0.3">
      <c r="A641" t="s">
        <v>404</v>
      </c>
      <c r="B641">
        <f>IFERROR(DONNEES!J407-DONNEES!M187,"NA")</f>
        <v>0</v>
      </c>
      <c r="D641" s="12">
        <v>-1.3520616342624028</v>
      </c>
      <c r="E641">
        <v>-1.1640930076440175</v>
      </c>
      <c r="F641">
        <f t="shared" si="2"/>
        <v>0.18796862661838531</v>
      </c>
      <c r="G641">
        <v>-1.3520616342624028</v>
      </c>
      <c r="I641">
        <v>79.549130475079551</v>
      </c>
      <c r="J641" s="12">
        <v>40.367302576700844</v>
      </c>
    </row>
    <row r="642" spans="1:10" x14ac:dyDescent="0.3">
      <c r="A642" t="s">
        <v>406</v>
      </c>
      <c r="B642">
        <f>IFERROR(DONNEES!J408-DONNEES!M188,"NA")</f>
        <v>0</v>
      </c>
      <c r="D642" s="12">
        <v>-0.12189672008389611</v>
      </c>
      <c r="E642">
        <v>0.99801718691984764</v>
      </c>
      <c r="F642">
        <f t="shared" si="2"/>
        <v>1.1199139070037438</v>
      </c>
      <c r="G642">
        <v>-0.12189672008389611</v>
      </c>
      <c r="I642">
        <v>55.683652531016968</v>
      </c>
      <c r="J642" s="12">
        <v>71.131617069244385</v>
      </c>
    </row>
    <row r="643" spans="1:10" x14ac:dyDescent="0.3">
      <c r="A643" t="s">
        <v>408</v>
      </c>
      <c r="B643">
        <f>IFERROR(DONNEES!J409-DONNEES!M189,"NA")</f>
        <v>0</v>
      </c>
      <c r="D643" s="12">
        <v>1.8568079372247059</v>
      </c>
      <c r="E643">
        <v>-1.2439893384774519</v>
      </c>
      <c r="F643">
        <f t="shared" si="2"/>
        <v>-3.100797275702158</v>
      </c>
      <c r="G643">
        <v>1.8568079372247059</v>
      </c>
      <c r="I643">
        <v>88.655434672037742</v>
      </c>
      <c r="J643" s="12">
        <v>127.8851971096462</v>
      </c>
    </row>
    <row r="644" spans="1:10" x14ac:dyDescent="0.3">
      <c r="A644" t="s">
        <v>410</v>
      </c>
      <c r="B644">
        <f>IFERROR(DONNEES!J410-DONNEES!M190,"NA")</f>
        <v>0</v>
      </c>
      <c r="D644" s="12">
        <v>1.850589071710905</v>
      </c>
      <c r="E644">
        <v>-0.42136695173879457</v>
      </c>
      <c r="F644">
        <f t="shared" si="2"/>
        <v>-2.2719560234496994</v>
      </c>
      <c r="G644">
        <v>1.850589071710905</v>
      </c>
      <c r="I644">
        <v>17.841264981489918</v>
      </c>
      <c r="J644" s="12">
        <v>98.211111450195233</v>
      </c>
    </row>
    <row r="645" spans="1:10" x14ac:dyDescent="0.3">
      <c r="A645" t="s">
        <v>412</v>
      </c>
      <c r="B645">
        <f>IFERROR(DONNEES!J411-DONNEES!M191,"NA")</f>
        <v>0</v>
      </c>
      <c r="D645" s="12">
        <v>-1.1640930076440175</v>
      </c>
      <c r="E645">
        <v>3.1483575818128932E-2</v>
      </c>
      <c r="F645">
        <f t="shared" si="2"/>
        <v>1.1955765834621463</v>
      </c>
      <c r="G645">
        <v>-1.1640930076440175</v>
      </c>
      <c r="I645">
        <v>40.514259465535481</v>
      </c>
      <c r="J645" s="12">
        <v>55.683652531016968</v>
      </c>
    </row>
    <row r="646" spans="1:10" x14ac:dyDescent="0.3">
      <c r="A646" t="s">
        <v>414</v>
      </c>
      <c r="B646">
        <f>IFERROR(DONNEES!J412-DONNEES!M192,"NA")</f>
        <v>0</v>
      </c>
      <c r="D646" s="12">
        <v>-1.2439893384774519</v>
      </c>
      <c r="E646">
        <v>-1.0208057574927802</v>
      </c>
      <c r="F646">
        <f t="shared" si="2"/>
        <v>0.22318358098467161</v>
      </c>
      <c r="G646">
        <v>-1.2439893384774519</v>
      </c>
      <c r="I646">
        <v>90.818712310791</v>
      </c>
      <c r="J646" s="12">
        <v>80.430692195892334</v>
      </c>
    </row>
    <row r="647" spans="1:10" x14ac:dyDescent="0.3">
      <c r="A647" t="s">
        <v>416</v>
      </c>
      <c r="B647">
        <f>IFERROR(DONNEES!J413-DONNEES!M193,"NA")</f>
        <v>0</v>
      </c>
      <c r="D647" s="12">
        <v>-0.42136695173879457</v>
      </c>
      <c r="E647">
        <v>-0.81485468149185181</v>
      </c>
      <c r="F647">
        <f t="shared" si="2"/>
        <v>-0.39348772975305724</v>
      </c>
      <c r="G647">
        <v>-0.42136695173879457</v>
      </c>
      <c r="I647">
        <v>80.430692195892334</v>
      </c>
      <c r="J647" s="12">
        <v>23.172368248303741</v>
      </c>
    </row>
    <row r="648" spans="1:10" x14ac:dyDescent="0.3">
      <c r="A648" t="s">
        <v>418</v>
      </c>
      <c r="B648">
        <f>IFERROR(DONNEES!J414-DONNEES!M194,"NA")</f>
        <v>0</v>
      </c>
      <c r="D648" s="12">
        <v>3.1483575818128932E-2</v>
      </c>
      <c r="E648">
        <v>0.32072032332265121</v>
      </c>
      <c r="F648">
        <f t="shared" si="2"/>
        <v>0.28923674750452227</v>
      </c>
      <c r="G648">
        <v>3.1483575818128932E-2</v>
      </c>
      <c r="I648">
        <v>90.510412216186509</v>
      </c>
      <c r="J648" s="12">
        <v>90.818712310791</v>
      </c>
    </row>
    <row r="649" spans="1:10" x14ac:dyDescent="0.3">
      <c r="A649" t="s">
        <v>420</v>
      </c>
      <c r="B649">
        <f>IFERROR(DONNEES!J415-DONNEES!M195,"NA")</f>
        <v>0</v>
      </c>
      <c r="D649" s="12">
        <v>-1.0208057574927802</v>
      </c>
      <c r="E649">
        <v>-3.1685032959406619E-2</v>
      </c>
      <c r="F649">
        <f t="shared" ref="F649:F672" si="3">E649-D649</f>
        <v>0.98912072453337363</v>
      </c>
      <c r="G649">
        <v>-1.0208057574927802</v>
      </c>
      <c r="I649">
        <v>66.042871475219727</v>
      </c>
      <c r="J649" s="12">
        <v>66.042871475219727</v>
      </c>
    </row>
    <row r="650" spans="1:10" x14ac:dyDescent="0.3">
      <c r="A650" t="s">
        <v>422</v>
      </c>
      <c r="B650">
        <f>IFERROR(DONNEES!J416-DONNEES!M196,"NA")</f>
        <v>0</v>
      </c>
      <c r="D650" s="12">
        <v>-0.81485468149185181</v>
      </c>
      <c r="E650">
        <v>-4.5404820702970007E-2</v>
      </c>
      <c r="F650">
        <f t="shared" si="3"/>
        <v>0.76944986078888178</v>
      </c>
      <c r="G650">
        <v>-0.81485468149185181</v>
      </c>
      <c r="I650">
        <v>98.129552568708078</v>
      </c>
      <c r="J650" s="12">
        <v>40.514259465535481</v>
      </c>
    </row>
    <row r="651" spans="1:10" x14ac:dyDescent="0.3">
      <c r="A651" t="s">
        <v>424</v>
      </c>
      <c r="B651">
        <f>IFERROR(DONNEES!J417-DONNEES!M197,"NA")</f>
        <v>0</v>
      </c>
      <c r="D651" s="12">
        <v>0.32072032332265121</v>
      </c>
      <c r="E651">
        <v>-0.12696256220806398</v>
      </c>
      <c r="F651">
        <f t="shared" si="3"/>
        <v>-0.44768288553071522</v>
      </c>
      <c r="G651">
        <v>0.32072032332265121</v>
      </c>
      <c r="I651" t="s">
        <v>37</v>
      </c>
      <c r="J651" s="12">
        <v>98.129552568708078</v>
      </c>
    </row>
    <row r="652" spans="1:10" x14ac:dyDescent="0.3">
      <c r="A652" t="s">
        <v>426</v>
      </c>
      <c r="B652">
        <f>IFERROR(DONNEES!J418-DONNEES!M198,"NA")</f>
        <v>0</v>
      </c>
      <c r="D652" s="12">
        <v>-3.1685032959406619E-2</v>
      </c>
      <c r="E652">
        <v>-1.4572718838850658</v>
      </c>
      <c r="F652">
        <f t="shared" si="3"/>
        <v>-1.4255868509256591</v>
      </c>
      <c r="G652">
        <v>-3.1685032959406619E-2</v>
      </c>
      <c r="I652">
        <v>77.486852736700143</v>
      </c>
      <c r="J652" s="12">
        <v>84.273109436035199</v>
      </c>
    </row>
    <row r="653" spans="1:10" x14ac:dyDescent="0.3">
      <c r="A653" t="s">
        <v>428</v>
      </c>
      <c r="B653">
        <f>IFERROR(DONNEES!J419-DONNEES!M199,"NA")</f>
        <v>0</v>
      </c>
      <c r="D653" s="12">
        <v>-4.5404820702970007E-2</v>
      </c>
      <c r="E653">
        <v>0.78836465254426014</v>
      </c>
      <c r="F653">
        <f t="shared" si="3"/>
        <v>0.83376947324723016</v>
      </c>
      <c r="G653">
        <v>-4.5404820702970007E-2</v>
      </c>
      <c r="I653">
        <v>92.071235198974648</v>
      </c>
      <c r="J653" s="12">
        <v>77.486852736700143</v>
      </c>
    </row>
    <row r="654" spans="1:10" x14ac:dyDescent="0.3">
      <c r="A654" t="s">
        <v>430</v>
      </c>
      <c r="B654">
        <f>IFERROR(DONNEES!J420-DONNEES!M200,"NA")</f>
        <v>0</v>
      </c>
      <c r="D654" s="12">
        <v>-0.12696256220806398</v>
      </c>
      <c r="E654">
        <v>-0.44291973362366366</v>
      </c>
      <c r="F654">
        <f t="shared" si="3"/>
        <v>-0.31595717141559965</v>
      </c>
      <c r="G654">
        <v>-0.12696256220806398</v>
      </c>
      <c r="I654">
        <v>80.513568878173828</v>
      </c>
      <c r="J654" s="12">
        <v>92.071235198974648</v>
      </c>
    </row>
    <row r="655" spans="1:10" x14ac:dyDescent="0.3">
      <c r="A655" t="s">
        <v>432</v>
      </c>
      <c r="B655">
        <f>IFERROR(DONNEES!J421-DONNEES!M201,"NA")</f>
        <v>0</v>
      </c>
      <c r="D655" s="12">
        <v>-1.4572718838850658</v>
      </c>
      <c r="E655">
        <v>-0.81876017401615764</v>
      </c>
      <c r="F655">
        <f t="shared" si="3"/>
        <v>0.63851170986890815</v>
      </c>
      <c r="G655">
        <v>-1.4572718838850658</v>
      </c>
      <c r="I655">
        <v>23.172368248303741</v>
      </c>
      <c r="J655" s="12">
        <v>90.510412216186509</v>
      </c>
    </row>
    <row r="656" spans="1:10" x14ac:dyDescent="0.3">
      <c r="A656" t="s">
        <v>434</v>
      </c>
      <c r="B656" t="str">
        <f>IFERROR(DONNEES!J422-DONNEES!M202,"NA")</f>
        <v>NA</v>
      </c>
      <c r="D656" s="12" t="s">
        <v>37</v>
      </c>
      <c r="E656">
        <v>0.60185801610350598</v>
      </c>
      <c r="F656" t="e">
        <f t="shared" si="3"/>
        <v>#VALUE!</v>
      </c>
      <c r="G656" t="s">
        <v>37</v>
      </c>
      <c r="I656">
        <v>22.26985636624422</v>
      </c>
      <c r="J656" s="12">
        <v>88.655434672037742</v>
      </c>
    </row>
    <row r="657" spans="1:10" x14ac:dyDescent="0.3">
      <c r="A657" t="s">
        <v>436</v>
      </c>
      <c r="B657">
        <f>IFERROR(DONNEES!J423-DONNEES!M203,"NA")</f>
        <v>0</v>
      </c>
      <c r="D657" s="12">
        <v>0.78836465254426014</v>
      </c>
      <c r="E657">
        <v>1.6527150720357906</v>
      </c>
      <c r="F657">
        <f t="shared" si="3"/>
        <v>0.86435041949153046</v>
      </c>
      <c r="G657">
        <v>0.78836465254426014</v>
      </c>
      <c r="I657">
        <v>94.607727714206845</v>
      </c>
      <c r="J657" s="12">
        <v>80.513568878173828</v>
      </c>
    </row>
    <row r="658" spans="1:10" x14ac:dyDescent="0.3">
      <c r="A658" t="s">
        <v>438</v>
      </c>
      <c r="B658">
        <f>IFERROR(DONNEES!J424-DONNEES!M204,"NA")</f>
        <v>0</v>
      </c>
      <c r="D658" s="12">
        <v>-0.44291973362366366</v>
      </c>
      <c r="E658">
        <v>1.534177566568057</v>
      </c>
      <c r="F658">
        <f t="shared" si="3"/>
        <v>1.9770973001917207</v>
      </c>
      <c r="G658">
        <v>-0.44291973362366366</v>
      </c>
      <c r="I658">
        <v>102.95748226459204</v>
      </c>
      <c r="J658" s="12">
        <v>22.26985636624422</v>
      </c>
    </row>
    <row r="659" spans="1:10" x14ac:dyDescent="0.3">
      <c r="A659" t="s">
        <v>440</v>
      </c>
      <c r="B659">
        <f>IFERROR(DONNEES!J425-DONNEES!M205,"NA")</f>
        <v>0</v>
      </c>
      <c r="D659" s="12">
        <v>-0.81876017401615764</v>
      </c>
      <c r="E659">
        <v>0.63242913037538528</v>
      </c>
      <c r="F659">
        <f t="shared" si="3"/>
        <v>1.4511893043915429</v>
      </c>
      <c r="G659">
        <v>-0.81876017401615764</v>
      </c>
      <c r="I659">
        <v>97.262175968715127</v>
      </c>
      <c r="J659" s="12">
        <v>94.607727714206845</v>
      </c>
    </row>
    <row r="660" spans="1:10" x14ac:dyDescent="0.3">
      <c r="A660" t="s">
        <v>442</v>
      </c>
      <c r="B660">
        <f>IFERROR(DONNEES!J426-DONNEES!M206,"NA")</f>
        <v>0</v>
      </c>
      <c r="D660" s="12">
        <v>0.60185801610350598</v>
      </c>
      <c r="E660">
        <v>-1.2243566090861953</v>
      </c>
      <c r="F660">
        <f t="shared" si="3"/>
        <v>-1.8262146251897011</v>
      </c>
      <c r="G660">
        <v>0.60185801610350598</v>
      </c>
      <c r="I660">
        <v>91.555700550908625</v>
      </c>
      <c r="J660" s="12">
        <v>90.954864501953082</v>
      </c>
    </row>
    <row r="661" spans="1:10" x14ac:dyDescent="0.3">
      <c r="A661" t="s">
        <v>444</v>
      </c>
      <c r="B661">
        <f>IFERROR(DONNEES!J427-DONNEES!M207,"NA")</f>
        <v>0</v>
      </c>
      <c r="D661" s="12">
        <v>1.6527150720357906</v>
      </c>
      <c r="E661">
        <v>0.44376079210390657</v>
      </c>
      <c r="F661">
        <f t="shared" si="3"/>
        <v>-1.208954279931884</v>
      </c>
      <c r="G661">
        <v>1.6527150720357906</v>
      </c>
      <c r="I661">
        <v>100.74340711321145</v>
      </c>
      <c r="J661" s="12">
        <v>106.51970115074752</v>
      </c>
    </row>
    <row r="662" spans="1:10" x14ac:dyDescent="0.3">
      <c r="A662" t="s">
        <v>446</v>
      </c>
      <c r="B662">
        <f>IFERROR(DONNEES!J428-DONNEES!M208,"NA")</f>
        <v>0</v>
      </c>
      <c r="D662" s="12">
        <v>1.534177566568057</v>
      </c>
      <c r="E662">
        <v>-1.6780482729276029</v>
      </c>
      <c r="F662">
        <f t="shared" si="3"/>
        <v>-3.2122258394956598</v>
      </c>
      <c r="G662">
        <v>1.534177566568057</v>
      </c>
      <c r="I662">
        <v>77.28393072831004</v>
      </c>
      <c r="J662" s="12">
        <v>97.262175968715127</v>
      </c>
    </row>
    <row r="663" spans="1:10" x14ac:dyDescent="0.3">
      <c r="A663" t="s">
        <v>448</v>
      </c>
      <c r="B663">
        <f>IFERROR(DONNEES!J429-DONNEES!M209,"NA")</f>
        <v>0</v>
      </c>
      <c r="D663" s="12">
        <v>0.63242913037538528</v>
      </c>
      <c r="E663">
        <v>-0.37010269053280354</v>
      </c>
      <c r="F663">
        <f t="shared" si="3"/>
        <v>-1.0025318209081888</v>
      </c>
      <c r="G663">
        <v>0.63242913037538528</v>
      </c>
      <c r="I663">
        <v>98.07501029968266</v>
      </c>
      <c r="J663" s="12">
        <v>102.95748226459204</v>
      </c>
    </row>
    <row r="664" spans="1:10" x14ac:dyDescent="0.3">
      <c r="A664" t="s">
        <v>450</v>
      </c>
      <c r="B664">
        <f>IFERROR(DONNEES!J430-DONNEES!M210,"NA")</f>
        <v>0</v>
      </c>
      <c r="D664" s="12">
        <v>-1.2243566090861953</v>
      </c>
      <c r="E664">
        <v>0.84513628551442432</v>
      </c>
      <c r="F664">
        <f t="shared" si="3"/>
        <v>2.0694928946006197</v>
      </c>
      <c r="G664">
        <v>-1.2243566090861953</v>
      </c>
      <c r="I664" t="s">
        <v>37</v>
      </c>
      <c r="J664" s="12">
        <v>91.555700550908625</v>
      </c>
    </row>
    <row r="665" spans="1:10" x14ac:dyDescent="0.3">
      <c r="A665" t="s">
        <v>452</v>
      </c>
      <c r="B665">
        <f>IFERROR(DONNEES!J431-DONNEES!M211,"NA")</f>
        <v>0</v>
      </c>
      <c r="D665" s="12">
        <v>0.44376079210390657</v>
      </c>
      <c r="E665">
        <v>-0.37896779552102089</v>
      </c>
      <c r="F665">
        <f t="shared" si="3"/>
        <v>-0.82272858762492751</v>
      </c>
      <c r="G665">
        <v>0.44376079210390657</v>
      </c>
      <c r="I665">
        <v>88.073493533664291</v>
      </c>
      <c r="J665" s="12">
        <v>46.315955942327321</v>
      </c>
    </row>
    <row r="666" spans="1:10" x14ac:dyDescent="0.3">
      <c r="A666" t="s">
        <v>454</v>
      </c>
      <c r="B666">
        <f>IFERROR(DONNEES!J432-DONNEES!M212,"NA")</f>
        <v>0</v>
      </c>
      <c r="D666" s="12">
        <v>-1.6780482729276029</v>
      </c>
      <c r="E666">
        <v>-1.389489824573199</v>
      </c>
      <c r="F666">
        <f t="shared" si="3"/>
        <v>0.28855844835440392</v>
      </c>
      <c r="G666">
        <v>-1.6780482729276029</v>
      </c>
      <c r="I666">
        <v>46.315955942327321</v>
      </c>
      <c r="J666" s="12">
        <v>77.28393072831004</v>
      </c>
    </row>
    <row r="667" spans="1:10" x14ac:dyDescent="0.3">
      <c r="A667" t="s">
        <v>456</v>
      </c>
      <c r="B667">
        <f>IFERROR(DONNEES!J433-DONNEES!M213,"NA")</f>
        <v>0</v>
      </c>
      <c r="D667" s="12">
        <v>-0.37010269053280354</v>
      </c>
      <c r="E667">
        <v>-0.43862819050749141</v>
      </c>
      <c r="F667">
        <f t="shared" si="3"/>
        <v>-6.8525499974687876E-2</v>
      </c>
      <c r="G667">
        <v>-0.37010269053280354</v>
      </c>
      <c r="I667">
        <v>79.391341018676755</v>
      </c>
      <c r="J667" s="12">
        <v>88.073493533664291</v>
      </c>
    </row>
    <row r="668" spans="1:10" x14ac:dyDescent="0.3">
      <c r="A668" t="s">
        <v>458</v>
      </c>
      <c r="B668">
        <f>IFERROR(DONNEES!J434-DONNEES!M214,"NA")</f>
        <v>0</v>
      </c>
      <c r="D668" s="12">
        <v>0.84513628551442432</v>
      </c>
      <c r="E668">
        <v>-1.4905985469619434</v>
      </c>
      <c r="F668">
        <f t="shared" si="3"/>
        <v>-2.3357348324763678</v>
      </c>
      <c r="G668">
        <v>0.84513628551442432</v>
      </c>
      <c r="I668" t="s">
        <v>37</v>
      </c>
      <c r="J668" s="12">
        <v>122.97708511352499</v>
      </c>
    </row>
    <row r="669" spans="1:10" x14ac:dyDescent="0.3">
      <c r="A669" t="s">
        <v>460</v>
      </c>
      <c r="B669">
        <f>IFERROR(DONNEES!J435-DONNEES!M215,"NA")</f>
        <v>0</v>
      </c>
      <c r="D669" s="12">
        <v>-0.37896779552102089</v>
      </c>
      <c r="E669">
        <v>-1.4905985469619434</v>
      </c>
      <c r="F669">
        <f t="shared" si="3"/>
        <v>-1.1116307514409225</v>
      </c>
      <c r="G669">
        <v>-0.37896779552102089</v>
      </c>
      <c r="I669">
        <v>42.454604408957742</v>
      </c>
      <c r="J669" s="12">
        <v>84.301400078667541</v>
      </c>
    </row>
    <row r="670" spans="1:10" x14ac:dyDescent="0.3">
      <c r="A670" t="s">
        <v>462</v>
      </c>
      <c r="B670">
        <f>IFERROR(DONNEES!J436-DONNEES!M216,"NA")</f>
        <v>0</v>
      </c>
      <c r="D670" s="12">
        <v>-1.389489824573199</v>
      </c>
      <c r="E670">
        <v>-1.42009029785792</v>
      </c>
      <c r="F670">
        <f t="shared" si="3"/>
        <v>-3.060047328472093E-2</v>
      </c>
      <c r="G670">
        <v>-1.389489824573199</v>
      </c>
      <c r="I670">
        <v>92.050065040588336</v>
      </c>
      <c r="J670" s="12">
        <v>42.454604408957742</v>
      </c>
    </row>
    <row r="671" spans="1:10" x14ac:dyDescent="0.3">
      <c r="A671" t="s">
        <v>464</v>
      </c>
      <c r="B671">
        <f>IFERROR(DONNEES!J437-DONNEES!M217,"NA")</f>
        <v>0</v>
      </c>
      <c r="D671" s="12">
        <v>-0.43862819050749141</v>
      </c>
      <c r="E671">
        <v>-0.67244340355197585</v>
      </c>
      <c r="F671">
        <f t="shared" si="3"/>
        <v>-0.23381521304448444</v>
      </c>
      <c r="G671">
        <v>-0.43862819050749141</v>
      </c>
      <c r="I671" t="s">
        <v>37</v>
      </c>
      <c r="J671" s="12" t="s">
        <v>37</v>
      </c>
    </row>
    <row r="672" spans="1:10" x14ac:dyDescent="0.3">
      <c r="A672" t="s">
        <v>466</v>
      </c>
      <c r="B672">
        <f>IFERROR(DONNEES!J438-DONNEES!M218,"NA")</f>
        <v>0</v>
      </c>
      <c r="D672" s="12">
        <v>-1.4905985469619434</v>
      </c>
      <c r="E672">
        <v>-0.64930454517404235</v>
      </c>
      <c r="F672">
        <f t="shared" si="3"/>
        <v>0.84129400178790104</v>
      </c>
      <c r="G672">
        <v>-1.4905985469619434</v>
      </c>
      <c r="I672">
        <v>43.698055648803702</v>
      </c>
      <c r="J672" s="12">
        <v>43.698055648803702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4615-5B5F-4D28-B428-674B0463AEC1}">
  <dimension ref="A1:A13"/>
  <sheetViews>
    <sheetView workbookViewId="0">
      <selection activeCell="A9" sqref="A9"/>
    </sheetView>
  </sheetViews>
  <sheetFormatPr baseColWidth="10" defaultRowHeight="14.4" x14ac:dyDescent="0.3"/>
  <sheetData>
    <row r="1" spans="1:1" x14ac:dyDescent="0.3">
      <c r="A1" t="s">
        <v>483</v>
      </c>
    </row>
    <row r="2" spans="1:1" x14ac:dyDescent="0.3">
      <c r="A2" t="s">
        <v>490</v>
      </c>
    </row>
    <row r="8" spans="1:1" x14ac:dyDescent="0.3">
      <c r="A8" t="s">
        <v>522</v>
      </c>
    </row>
    <row r="9" spans="1:1" x14ac:dyDescent="0.3">
      <c r="A9" t="s">
        <v>521</v>
      </c>
    </row>
    <row r="12" spans="1:1" x14ac:dyDescent="0.3">
      <c r="A12" t="s">
        <v>520</v>
      </c>
    </row>
    <row r="13" spans="1:1" x14ac:dyDescent="0.3">
      <c r="A13" t="s">
        <v>519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8D7E-FF2C-47A9-973C-DBDD49BEB4B7}">
  <dimension ref="A1:AF218"/>
  <sheetViews>
    <sheetView topLeftCell="A5" workbookViewId="0">
      <selection activeCell="D18" sqref="D18:D19"/>
    </sheetView>
  </sheetViews>
  <sheetFormatPr baseColWidth="10" defaultRowHeight="14.4" x14ac:dyDescent="0.3"/>
  <sheetData>
    <row r="1" spans="1:32" x14ac:dyDescent="0.3">
      <c r="A1" t="s">
        <v>2</v>
      </c>
      <c r="B1" s="1" t="s">
        <v>495</v>
      </c>
      <c r="C1" t="s">
        <v>0</v>
      </c>
      <c r="D1" s="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498</v>
      </c>
    </row>
    <row r="2" spans="1:32" x14ac:dyDescent="0.3">
      <c r="A2" t="s">
        <v>496</v>
      </c>
      <c r="B2" s="1" t="s">
        <v>497</v>
      </c>
      <c r="C2" t="s">
        <v>42</v>
      </c>
      <c r="D2" s="1" t="s">
        <v>43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tr">
        <f t="shared" ref="AF2:AF65" si="0">IFERROR(AVERAGE(E2:AE2),"NA")</f>
        <v>NA</v>
      </c>
    </row>
    <row r="3" spans="1:32" x14ac:dyDescent="0.3">
      <c r="A3" t="s">
        <v>496</v>
      </c>
      <c r="B3" s="1" t="s">
        <v>497</v>
      </c>
      <c r="C3" t="s">
        <v>88</v>
      </c>
      <c r="D3" s="1" t="s">
        <v>89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tr">
        <f t="shared" si="0"/>
        <v>NA</v>
      </c>
    </row>
    <row r="4" spans="1:32" x14ac:dyDescent="0.3">
      <c r="A4" t="s">
        <v>496</v>
      </c>
      <c r="B4" s="1" t="s">
        <v>497</v>
      </c>
      <c r="C4" t="s">
        <v>112</v>
      </c>
      <c r="D4" s="1" t="s">
        <v>113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 t="str">
        <f t="shared" si="0"/>
        <v>NA</v>
      </c>
    </row>
    <row r="5" spans="1:32" x14ac:dyDescent="0.3">
      <c r="A5" t="s">
        <v>496</v>
      </c>
      <c r="B5" s="1" t="s">
        <v>497</v>
      </c>
      <c r="C5" t="s">
        <v>134</v>
      </c>
      <c r="D5" s="1" t="s">
        <v>135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tr">
        <f t="shared" si="0"/>
        <v>NA</v>
      </c>
    </row>
    <row r="6" spans="1:32" x14ac:dyDescent="0.3">
      <c r="A6" t="s">
        <v>496</v>
      </c>
      <c r="B6" s="1" t="s">
        <v>497</v>
      </c>
      <c r="C6" t="s">
        <v>184</v>
      </c>
      <c r="D6" s="1" t="s">
        <v>185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  <c r="AE6" t="s">
        <v>34</v>
      </c>
      <c r="AF6" t="str">
        <f t="shared" si="0"/>
        <v>NA</v>
      </c>
    </row>
    <row r="7" spans="1:32" x14ac:dyDescent="0.3">
      <c r="A7" t="s">
        <v>496</v>
      </c>
      <c r="B7" s="1" t="s">
        <v>497</v>
      </c>
      <c r="C7" t="s">
        <v>222</v>
      </c>
      <c r="D7" s="1" t="s">
        <v>223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tr">
        <f t="shared" si="0"/>
        <v>NA</v>
      </c>
    </row>
    <row r="8" spans="1:32" x14ac:dyDescent="0.3">
      <c r="A8" t="s">
        <v>496</v>
      </c>
      <c r="B8" s="1" t="s">
        <v>497</v>
      </c>
      <c r="C8" t="s">
        <v>240</v>
      </c>
      <c r="D8" s="1" t="s">
        <v>241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tr">
        <f t="shared" si="0"/>
        <v>NA</v>
      </c>
    </row>
    <row r="9" spans="1:32" x14ac:dyDescent="0.3">
      <c r="A9" t="s">
        <v>496</v>
      </c>
      <c r="B9" s="1" t="s">
        <v>497</v>
      </c>
      <c r="C9" t="s">
        <v>262</v>
      </c>
      <c r="D9" s="1" t="s">
        <v>263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tr">
        <f t="shared" si="0"/>
        <v>NA</v>
      </c>
    </row>
    <row r="10" spans="1:32" x14ac:dyDescent="0.3">
      <c r="A10" t="s">
        <v>496</v>
      </c>
      <c r="B10" s="1" t="s">
        <v>497</v>
      </c>
      <c r="C10" t="s">
        <v>282</v>
      </c>
      <c r="D10" s="1" t="s">
        <v>283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tr">
        <f t="shared" si="0"/>
        <v>NA</v>
      </c>
    </row>
    <row r="11" spans="1:32" x14ac:dyDescent="0.3">
      <c r="A11" t="s">
        <v>496</v>
      </c>
      <c r="B11" s="1" t="s">
        <v>497</v>
      </c>
      <c r="C11" t="s">
        <v>294</v>
      </c>
      <c r="D11" s="1" t="s">
        <v>295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tr">
        <f t="shared" si="0"/>
        <v>NA</v>
      </c>
    </row>
    <row r="12" spans="1:32" x14ac:dyDescent="0.3">
      <c r="A12" t="s">
        <v>496</v>
      </c>
      <c r="B12" s="1" t="s">
        <v>497</v>
      </c>
      <c r="C12" t="s">
        <v>334</v>
      </c>
      <c r="D12" s="1" t="s">
        <v>335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tr">
        <f t="shared" si="0"/>
        <v>NA</v>
      </c>
    </row>
    <row r="13" spans="1:32" x14ac:dyDescent="0.3">
      <c r="A13" t="s">
        <v>496</v>
      </c>
      <c r="B13" s="1" t="s">
        <v>497</v>
      </c>
      <c r="C13" t="s">
        <v>362</v>
      </c>
      <c r="D13" s="1" t="s">
        <v>363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tr">
        <f t="shared" si="0"/>
        <v>NA</v>
      </c>
    </row>
    <row r="14" spans="1:32" x14ac:dyDescent="0.3">
      <c r="A14" t="s">
        <v>496</v>
      </c>
      <c r="B14" s="1" t="s">
        <v>497</v>
      </c>
      <c r="C14" t="s">
        <v>374</v>
      </c>
      <c r="D14" s="1" t="s">
        <v>375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tr">
        <f t="shared" si="0"/>
        <v>NA</v>
      </c>
    </row>
    <row r="15" spans="1:32" x14ac:dyDescent="0.3">
      <c r="A15" t="s">
        <v>496</v>
      </c>
      <c r="B15" s="1" t="s">
        <v>497</v>
      </c>
      <c r="C15" t="s">
        <v>378</v>
      </c>
      <c r="D15" s="1" t="s">
        <v>379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tr">
        <f t="shared" si="0"/>
        <v>NA</v>
      </c>
    </row>
    <row r="16" spans="1:32" x14ac:dyDescent="0.3">
      <c r="A16" t="s">
        <v>496</v>
      </c>
      <c r="B16" s="1" t="s">
        <v>497</v>
      </c>
      <c r="C16" t="s">
        <v>400</v>
      </c>
      <c r="D16" s="1" t="s">
        <v>401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tr">
        <f t="shared" si="0"/>
        <v>NA</v>
      </c>
    </row>
    <row r="17" spans="1:32" x14ac:dyDescent="0.3">
      <c r="A17" t="s">
        <v>496</v>
      </c>
      <c r="B17" s="1" t="s">
        <v>497</v>
      </c>
      <c r="C17" t="s">
        <v>460</v>
      </c>
      <c r="D17" s="1" t="s">
        <v>461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tr">
        <f t="shared" si="0"/>
        <v>NA</v>
      </c>
    </row>
    <row r="18" spans="1:32" x14ac:dyDescent="0.3">
      <c r="A18" t="s">
        <v>496</v>
      </c>
      <c r="B18" s="1" t="s">
        <v>497</v>
      </c>
      <c r="C18" t="s">
        <v>420</v>
      </c>
      <c r="D18" s="8" t="s">
        <v>421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>
        <v>0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>
        <v>54.903554801380501</v>
      </c>
      <c r="Z18">
        <v>31.747178264378601</v>
      </c>
      <c r="AA18">
        <v>31.355019072564399</v>
      </c>
      <c r="AB18">
        <v>48.139518354707498</v>
      </c>
      <c r="AC18">
        <v>32.208021470996897</v>
      </c>
      <c r="AD18">
        <v>31.493564070936699</v>
      </c>
      <c r="AE18">
        <v>29.3788715937531</v>
      </c>
      <c r="AF18">
        <f t="shared" si="0"/>
        <v>32.403215953589715</v>
      </c>
    </row>
    <row r="19" spans="1:32" x14ac:dyDescent="0.3">
      <c r="A19" t="s">
        <v>496</v>
      </c>
      <c r="B19" s="1" t="s">
        <v>497</v>
      </c>
      <c r="C19" t="s">
        <v>432</v>
      </c>
      <c r="D19" s="8" t="s">
        <v>433</v>
      </c>
      <c r="E19">
        <v>28.325996445091501</v>
      </c>
      <c r="F19">
        <v>32.675836578303503</v>
      </c>
      <c r="G19">
        <v>23.592299357576199</v>
      </c>
      <c r="H19">
        <v>1.49915543442281</v>
      </c>
      <c r="I19">
        <v>2.6288215157448498</v>
      </c>
      <c r="J19">
        <v>28.805299411269399</v>
      </c>
      <c r="K19">
        <v>55.0087709271248</v>
      </c>
      <c r="L19">
        <v>34.329324723973201</v>
      </c>
      <c r="M19">
        <v>30.901259458172799</v>
      </c>
      <c r="N19">
        <v>23.592775379922202</v>
      </c>
      <c r="O19">
        <v>18.2592836501092</v>
      </c>
      <c r="P19">
        <v>32.0004828721463</v>
      </c>
      <c r="Q19">
        <v>29.179062703666201</v>
      </c>
      <c r="R19">
        <v>34.873741295803399</v>
      </c>
      <c r="S19">
        <v>12.660825704353901</v>
      </c>
      <c r="T19">
        <v>13.0365514101396</v>
      </c>
      <c r="U19">
        <v>20.214271652789702</v>
      </c>
      <c r="V19">
        <v>18.7387438033312</v>
      </c>
      <c r="W19">
        <v>16.3792738401097</v>
      </c>
      <c r="X19">
        <v>11.346055154879499</v>
      </c>
      <c r="Y19">
        <v>10.5831552386189</v>
      </c>
      <c r="Z19">
        <v>6.0022809211860499</v>
      </c>
      <c r="AA19">
        <v>7.45503774698666</v>
      </c>
      <c r="AB19">
        <v>11.529647384040601</v>
      </c>
      <c r="AC19">
        <v>7.6457931239319903</v>
      </c>
      <c r="AD19" t="s">
        <v>34</v>
      </c>
      <c r="AE19" t="s">
        <v>34</v>
      </c>
      <c r="AF19">
        <f t="shared" si="0"/>
        <v>20.450549829347768</v>
      </c>
    </row>
    <row r="20" spans="1:32" x14ac:dyDescent="0.3">
      <c r="A20" t="s">
        <v>496</v>
      </c>
      <c r="B20" s="1" t="s">
        <v>497</v>
      </c>
      <c r="C20" t="s">
        <v>90</v>
      </c>
      <c r="D20" s="1" t="s">
        <v>91</v>
      </c>
      <c r="E20">
        <v>10.056339591206701</v>
      </c>
      <c r="F20">
        <v>10.7782742400189</v>
      </c>
      <c r="G20">
        <v>10.979524636900001</v>
      </c>
      <c r="H20">
        <v>9.3972248563462504</v>
      </c>
      <c r="I20">
        <v>9.5111460455739003</v>
      </c>
      <c r="J20">
        <v>11.4211547210859</v>
      </c>
      <c r="K20">
        <v>11.2438208054038</v>
      </c>
      <c r="L20">
        <v>9.4191472485250607</v>
      </c>
      <c r="M20">
        <v>11.4097226051516</v>
      </c>
      <c r="N20">
        <v>10.850221939420599</v>
      </c>
      <c r="O20">
        <v>8.8586898070718902</v>
      </c>
      <c r="P20">
        <v>6.8428567375260503</v>
      </c>
      <c r="Q20">
        <v>5.9966204969135504</v>
      </c>
      <c r="R20">
        <v>5.5893738990897699</v>
      </c>
      <c r="S20">
        <v>6.7815236094672802</v>
      </c>
      <c r="T20">
        <v>6.2665383795307701</v>
      </c>
      <c r="U20">
        <v>5.3677563994430102</v>
      </c>
      <c r="V20">
        <v>4.9181141921193401</v>
      </c>
      <c r="W20">
        <v>4.9231152384370702</v>
      </c>
      <c r="X20">
        <v>7.3594929169519396</v>
      </c>
      <c r="Y20">
        <v>11.1648852580271</v>
      </c>
      <c r="Z20">
        <v>9.0086808111516294</v>
      </c>
      <c r="AA20">
        <v>8.7582008900684105</v>
      </c>
      <c r="AB20">
        <v>11.3983873234199</v>
      </c>
      <c r="AC20">
        <v>11.783929812096201</v>
      </c>
      <c r="AD20">
        <v>10.237448960113101</v>
      </c>
      <c r="AE20">
        <v>13.857746021465401</v>
      </c>
      <c r="AF20">
        <f t="shared" si="0"/>
        <v>9.0437013867601923</v>
      </c>
    </row>
    <row r="21" spans="1:32" x14ac:dyDescent="0.3">
      <c r="A21" t="s">
        <v>496</v>
      </c>
      <c r="B21" s="1" t="s">
        <v>497</v>
      </c>
      <c r="C21" t="s">
        <v>450</v>
      </c>
      <c r="D21" s="1" t="s">
        <v>451</v>
      </c>
      <c r="E21">
        <v>7.8279871557538803</v>
      </c>
      <c r="F21">
        <v>7.2286479601028297</v>
      </c>
      <c r="G21">
        <v>7.5646101369516296</v>
      </c>
      <c r="H21">
        <v>1.0819014391847099</v>
      </c>
      <c r="I21">
        <v>0.94051956805442405</v>
      </c>
      <c r="J21">
        <v>7.4548371507103699</v>
      </c>
      <c r="K21">
        <v>19.237560047474101</v>
      </c>
      <c r="L21">
        <v>15.583753346307599</v>
      </c>
      <c r="M21">
        <v>16.3929079886423</v>
      </c>
      <c r="N21">
        <v>12.4022223973696</v>
      </c>
      <c r="O21">
        <v>8.9277448710487199</v>
      </c>
      <c r="P21">
        <v>16.832252571470601</v>
      </c>
      <c r="Q21">
        <v>13.8895336856133</v>
      </c>
      <c r="R21">
        <v>19.814332352696201</v>
      </c>
      <c r="S21">
        <v>11.904837077863601</v>
      </c>
      <c r="T21">
        <v>7.3003930191617901</v>
      </c>
      <c r="U21">
        <v>9.1124480765297697</v>
      </c>
      <c r="V21">
        <v>8.6234803079322404</v>
      </c>
      <c r="W21">
        <v>8.3170728363484905</v>
      </c>
      <c r="X21">
        <v>5.4154420867045099</v>
      </c>
      <c r="Y21">
        <v>3.57728670528244</v>
      </c>
      <c r="Z21">
        <v>2.1175330464812401</v>
      </c>
      <c r="AA21">
        <v>4.1045831086366604</v>
      </c>
      <c r="AB21">
        <v>8.4367746464968008</v>
      </c>
      <c r="AC21">
        <v>5.0744737010139396</v>
      </c>
      <c r="AD21">
        <v>2.06722663890198</v>
      </c>
      <c r="AE21">
        <v>11.0412650689481</v>
      </c>
      <c r="AF21">
        <f t="shared" si="0"/>
        <v>8.9730232219141417</v>
      </c>
    </row>
    <row r="22" spans="1:32" x14ac:dyDescent="0.3">
      <c r="A22" t="s">
        <v>496</v>
      </c>
      <c r="B22" s="1" t="s">
        <v>497</v>
      </c>
      <c r="C22" t="s">
        <v>352</v>
      </c>
      <c r="D22" s="1" t="s">
        <v>353</v>
      </c>
      <c r="E22">
        <v>3.5046340742533002</v>
      </c>
      <c r="F22">
        <v>3.58192022129042</v>
      </c>
      <c r="G22">
        <v>4.2250114124786</v>
      </c>
      <c r="H22">
        <v>5.2320829145539296</v>
      </c>
      <c r="I22">
        <v>5.41184949514692</v>
      </c>
      <c r="J22">
        <v>5.8049734481771003</v>
      </c>
      <c r="K22">
        <v>7.1522378516017699</v>
      </c>
      <c r="L22">
        <v>6.07035853153518</v>
      </c>
      <c r="M22">
        <v>5.12871457863623</v>
      </c>
      <c r="N22">
        <v>5.0773442099048101</v>
      </c>
      <c r="O22">
        <v>5.44352090574478</v>
      </c>
      <c r="P22">
        <v>4.9598053547316203</v>
      </c>
      <c r="Q22">
        <v>4.8954728173016901</v>
      </c>
      <c r="R22">
        <v>4.32386730680106</v>
      </c>
      <c r="S22">
        <v>6.0731586007626799</v>
      </c>
      <c r="T22">
        <v>5.8272277506141403</v>
      </c>
      <c r="U22">
        <v>6.7712812518713497</v>
      </c>
      <c r="V22">
        <v>6.7671639000860999</v>
      </c>
      <c r="W22">
        <v>6.7037296364768704</v>
      </c>
      <c r="X22">
        <v>6.1588821899441903</v>
      </c>
      <c r="Y22">
        <v>6.0339426991874898</v>
      </c>
      <c r="Z22">
        <v>4.8201006922806702</v>
      </c>
      <c r="AA22">
        <v>5.3590828340791701</v>
      </c>
      <c r="AB22">
        <v>7.7083101653784301</v>
      </c>
      <c r="AC22">
        <v>7.8654826253275196</v>
      </c>
      <c r="AD22">
        <v>9.6301404142771094</v>
      </c>
      <c r="AE22">
        <v>12.0112545642563</v>
      </c>
      <c r="AF22">
        <f t="shared" si="0"/>
        <v>6.0200574239518323</v>
      </c>
    </row>
    <row r="23" spans="1:32" x14ac:dyDescent="0.3">
      <c r="A23" t="s">
        <v>496</v>
      </c>
      <c r="B23" s="1" t="s">
        <v>497</v>
      </c>
      <c r="C23" t="s">
        <v>426</v>
      </c>
      <c r="D23" s="1" t="s">
        <v>427</v>
      </c>
      <c r="E23">
        <v>1.33483319065797</v>
      </c>
      <c r="F23">
        <v>1.44315146510097</v>
      </c>
      <c r="G23">
        <v>1.5624299876493799</v>
      </c>
      <c r="H23">
        <v>1.1395271820369799</v>
      </c>
      <c r="I23">
        <v>1.8537482665039899</v>
      </c>
      <c r="J23">
        <v>3.3479142956494901</v>
      </c>
      <c r="K23">
        <v>3.3068334436018501</v>
      </c>
      <c r="L23">
        <v>2.8816935763638298</v>
      </c>
      <c r="M23">
        <v>2.6634888236485499</v>
      </c>
      <c r="N23">
        <v>2.3651832454091499</v>
      </c>
      <c r="O23">
        <v>4.2507676723978198</v>
      </c>
      <c r="P23">
        <v>6.1281481234532897</v>
      </c>
      <c r="Q23">
        <v>6.6897480335677697</v>
      </c>
      <c r="R23">
        <v>5.8375009069868096</v>
      </c>
      <c r="S23">
        <v>9.6420359505716693</v>
      </c>
      <c r="T23">
        <v>6.1558181492193196</v>
      </c>
      <c r="U23">
        <v>11.699135017832999</v>
      </c>
      <c r="V23">
        <v>11.3897470587304</v>
      </c>
      <c r="W23">
        <v>12.470923847979099</v>
      </c>
      <c r="X23">
        <v>9.9733809335137895</v>
      </c>
      <c r="Y23">
        <v>5.23561682641395</v>
      </c>
      <c r="Z23">
        <v>2.2354947001844798</v>
      </c>
      <c r="AA23">
        <v>3.01281216994103</v>
      </c>
      <c r="AB23">
        <v>7.5040178655298098</v>
      </c>
      <c r="AC23">
        <v>8.2365993527420596</v>
      </c>
      <c r="AD23">
        <v>4.38267376233176</v>
      </c>
      <c r="AE23">
        <v>5.0945253755775397</v>
      </c>
      <c r="AF23">
        <f t="shared" si="0"/>
        <v>5.2532499712442871</v>
      </c>
    </row>
    <row r="24" spans="1:32" x14ac:dyDescent="0.3">
      <c r="A24" t="s">
        <v>496</v>
      </c>
      <c r="B24" s="1" t="s">
        <v>497</v>
      </c>
      <c r="C24" t="s">
        <v>38</v>
      </c>
      <c r="D24" s="1" t="s">
        <v>39</v>
      </c>
      <c r="E24">
        <v>4.4612481200090297</v>
      </c>
      <c r="F24">
        <v>4.6327163613887699</v>
      </c>
      <c r="G24">
        <v>5.3278994745028001</v>
      </c>
      <c r="H24">
        <v>5.29640841954736</v>
      </c>
      <c r="I24">
        <v>5.5009612470112899</v>
      </c>
      <c r="J24">
        <v>6.3614313980146404</v>
      </c>
      <c r="K24">
        <v>6.7733044879143796</v>
      </c>
      <c r="L24">
        <v>5.6262842778639799</v>
      </c>
      <c r="M24">
        <v>4.6226603272141604</v>
      </c>
      <c r="N24">
        <v>3.9073599817723199</v>
      </c>
      <c r="O24">
        <v>4.6282942953519903</v>
      </c>
      <c r="P24">
        <v>4.4880935477768302</v>
      </c>
      <c r="Q24">
        <v>3.9242967995382401</v>
      </c>
      <c r="R24">
        <v>3.3123380788560501</v>
      </c>
      <c r="S24">
        <v>3.9916714009693499</v>
      </c>
      <c r="T24">
        <v>3.2535868514275399</v>
      </c>
      <c r="U24">
        <v>3.27268025363181</v>
      </c>
      <c r="V24">
        <v>3.3668742590705198</v>
      </c>
      <c r="W24">
        <v>3.1538490178136098</v>
      </c>
      <c r="X24">
        <v>3.0569020902826001</v>
      </c>
      <c r="Y24">
        <v>2.90603072482324</v>
      </c>
      <c r="Z24">
        <v>2.5669484328682799</v>
      </c>
      <c r="AA24">
        <v>2.9680678985969302</v>
      </c>
      <c r="AB24">
        <v>4.6437870470628297</v>
      </c>
      <c r="AC24">
        <v>4.2364279233628199</v>
      </c>
      <c r="AD24">
        <v>4.8384961993607796</v>
      </c>
      <c r="AE24">
        <v>7.9957286210892002</v>
      </c>
      <c r="AF24">
        <f t="shared" si="0"/>
        <v>4.4116425013748639</v>
      </c>
    </row>
    <row r="25" spans="1:32" x14ac:dyDescent="0.3">
      <c r="A25" t="s">
        <v>496</v>
      </c>
      <c r="B25" s="1" t="s">
        <v>497</v>
      </c>
      <c r="C25" t="s">
        <v>304</v>
      </c>
      <c r="D25" s="1" t="s">
        <v>305</v>
      </c>
      <c r="E25">
        <v>1.46070698160384</v>
      </c>
      <c r="F25">
        <v>1.4103675273612</v>
      </c>
      <c r="G25">
        <v>1.4074117440653</v>
      </c>
      <c r="H25">
        <v>1.4476576220533801</v>
      </c>
      <c r="I25">
        <v>1.27486861904363</v>
      </c>
      <c r="J25">
        <v>3.2424384672353002</v>
      </c>
      <c r="K25">
        <v>6.6758486592732096</v>
      </c>
      <c r="L25">
        <v>7.0882670077694003</v>
      </c>
      <c r="M25">
        <v>8.0486986758663406</v>
      </c>
      <c r="N25">
        <v>8.1421433252029196</v>
      </c>
      <c r="O25">
        <v>9.2667646737235305</v>
      </c>
      <c r="P25">
        <v>7.1199351407693596</v>
      </c>
      <c r="Q25">
        <v>5.5796017245025</v>
      </c>
      <c r="R25">
        <v>3.8288975680455599</v>
      </c>
      <c r="S25">
        <v>2.68196178358611</v>
      </c>
      <c r="T25">
        <v>2.3936503114907901</v>
      </c>
      <c r="U25">
        <v>1.83559798767907</v>
      </c>
      <c r="V25">
        <v>1.6427752400454001</v>
      </c>
      <c r="W25">
        <v>1.5934517889281601</v>
      </c>
      <c r="X25">
        <v>2.4842379805339099</v>
      </c>
      <c r="Y25">
        <v>3.1557696541773099</v>
      </c>
      <c r="Z25">
        <v>2.6121516607544799</v>
      </c>
      <c r="AA25">
        <v>2.5886684578258699</v>
      </c>
      <c r="AB25">
        <v>3.2496156944526602</v>
      </c>
      <c r="AC25">
        <v>3.2318636011677202</v>
      </c>
      <c r="AD25">
        <v>2.1642759030657301</v>
      </c>
      <c r="AE25">
        <v>4.3965098933551596</v>
      </c>
      <c r="AF25">
        <f t="shared" si="0"/>
        <v>3.7045976923547337</v>
      </c>
    </row>
    <row r="26" spans="1:32" x14ac:dyDescent="0.3">
      <c r="A26" t="s">
        <v>496</v>
      </c>
      <c r="B26" s="1" t="s">
        <v>497</v>
      </c>
      <c r="C26" t="s">
        <v>62</v>
      </c>
      <c r="D26" s="1" t="s">
        <v>63</v>
      </c>
      <c r="E26">
        <v>3.71221281533309</v>
      </c>
      <c r="F26">
        <v>4.0236425414844303</v>
      </c>
      <c r="G26">
        <v>4.5042024316028204</v>
      </c>
      <c r="H26">
        <v>4.51744251842113</v>
      </c>
      <c r="I26">
        <v>4.1360198105148598</v>
      </c>
      <c r="J26">
        <v>3.90509019196928</v>
      </c>
      <c r="K26">
        <v>4.59852838532505</v>
      </c>
      <c r="L26">
        <v>3.8184875963274298</v>
      </c>
      <c r="M26">
        <v>3.26282991909153</v>
      </c>
      <c r="N26">
        <v>2.8939265479788099</v>
      </c>
      <c r="O26">
        <v>3.4566020933552202</v>
      </c>
      <c r="P26">
        <v>3.5649434528809998</v>
      </c>
      <c r="Q26">
        <v>3.2849174428085002</v>
      </c>
      <c r="R26">
        <v>3.1339667109787399</v>
      </c>
      <c r="S26">
        <v>3.64045864499061</v>
      </c>
      <c r="T26">
        <v>3.1458020023521001</v>
      </c>
      <c r="U26">
        <v>3.5961803520071101</v>
      </c>
      <c r="V26">
        <v>3.48743064000799</v>
      </c>
      <c r="W26">
        <v>3.6670122015754298</v>
      </c>
      <c r="X26">
        <v>3.5394424859243698</v>
      </c>
      <c r="Y26">
        <v>2.8089852552924999</v>
      </c>
      <c r="Z26">
        <v>2.01829730710093</v>
      </c>
      <c r="AA26">
        <v>2.2215652626729798</v>
      </c>
      <c r="AB26">
        <v>3.3608850565766399</v>
      </c>
      <c r="AC26">
        <v>3.5150764280690399</v>
      </c>
      <c r="AD26">
        <v>4.0080189201327396</v>
      </c>
      <c r="AE26">
        <v>5.7019105110031498</v>
      </c>
      <c r="AF26">
        <f t="shared" si="0"/>
        <v>3.6119954639176837</v>
      </c>
    </row>
    <row r="27" spans="1:32" x14ac:dyDescent="0.3">
      <c r="A27" t="s">
        <v>496</v>
      </c>
      <c r="B27" s="1" t="s">
        <v>497</v>
      </c>
      <c r="C27" t="s">
        <v>356</v>
      </c>
      <c r="D27" s="1" t="s">
        <v>357</v>
      </c>
      <c r="E27">
        <v>3.2740290207977898</v>
      </c>
      <c r="F27">
        <v>3.0165702845880298</v>
      </c>
      <c r="G27">
        <v>3.0076573152994102</v>
      </c>
      <c r="H27">
        <v>0.60467575062187096</v>
      </c>
      <c r="I27">
        <v>0.82132284650651799</v>
      </c>
      <c r="J27">
        <v>4.1520862923238999</v>
      </c>
      <c r="K27">
        <v>7.44451981829648</v>
      </c>
      <c r="L27">
        <v>5.1090923695292902</v>
      </c>
      <c r="M27">
        <v>4.6626248673564303</v>
      </c>
      <c r="N27">
        <v>3.07700843859375</v>
      </c>
      <c r="O27">
        <v>2.0907075690733801</v>
      </c>
      <c r="P27">
        <v>3.7135278055261098</v>
      </c>
      <c r="Q27">
        <v>2.88422228176728</v>
      </c>
      <c r="R27">
        <v>4.15561654866874</v>
      </c>
      <c r="S27">
        <v>3.5058158992723798</v>
      </c>
      <c r="T27">
        <v>2.8068678510359</v>
      </c>
      <c r="U27">
        <v>3.41958000572264</v>
      </c>
      <c r="V27">
        <v>3.18608357236399</v>
      </c>
      <c r="W27">
        <v>3.05775631125077</v>
      </c>
      <c r="X27">
        <v>2.31599937992039</v>
      </c>
      <c r="Y27">
        <v>2.5029223735181101</v>
      </c>
      <c r="Z27">
        <v>1.63670203160983</v>
      </c>
      <c r="AA27">
        <v>1.9682709794653299</v>
      </c>
      <c r="AB27">
        <v>3.1840854431133199</v>
      </c>
      <c r="AC27">
        <v>2.1917912755036402</v>
      </c>
      <c r="AD27">
        <v>1.1194878548712699</v>
      </c>
      <c r="AE27">
        <v>5.8590737953089498</v>
      </c>
      <c r="AF27">
        <f t="shared" si="0"/>
        <v>3.1395591845150181</v>
      </c>
    </row>
    <row r="28" spans="1:32" x14ac:dyDescent="0.3">
      <c r="A28" t="s">
        <v>496</v>
      </c>
      <c r="B28" s="1" t="s">
        <v>497</v>
      </c>
      <c r="C28" t="s">
        <v>216</v>
      </c>
      <c r="D28" s="1" t="s">
        <v>217</v>
      </c>
      <c r="E28">
        <v>1.1740691733027899</v>
      </c>
      <c r="F28">
        <v>1.16892188051012</v>
      </c>
      <c r="G28">
        <v>1.5370328205605599</v>
      </c>
      <c r="H28">
        <v>1.56906693817168</v>
      </c>
      <c r="I28">
        <v>1.6682236254121601</v>
      </c>
      <c r="J28">
        <v>2.3016244296399702</v>
      </c>
      <c r="K28">
        <v>2.4440537222074901</v>
      </c>
      <c r="L28">
        <v>2.3496161139381</v>
      </c>
      <c r="M28">
        <v>2.0507222674743799</v>
      </c>
      <c r="N28">
        <v>1.83655471628029</v>
      </c>
      <c r="O28">
        <v>2.4463685464773799</v>
      </c>
      <c r="P28">
        <v>2.4565921012204299</v>
      </c>
      <c r="Q28">
        <v>1.99708594942742</v>
      </c>
      <c r="R28">
        <v>1.8467989298903</v>
      </c>
      <c r="S28">
        <v>2.2808597164819702</v>
      </c>
      <c r="T28">
        <v>1.8610874879457</v>
      </c>
      <c r="U28">
        <v>1.91739971657899</v>
      </c>
      <c r="V28">
        <v>2.0188705795272401</v>
      </c>
      <c r="W28">
        <v>2.7187141958893002</v>
      </c>
      <c r="X28">
        <v>2.9741101856810701</v>
      </c>
      <c r="Y28">
        <v>2.6295531803799501</v>
      </c>
      <c r="Z28">
        <v>1.91831819745209</v>
      </c>
      <c r="AA28">
        <v>2.3362711607210098</v>
      </c>
      <c r="AB28">
        <v>5.80900087982186</v>
      </c>
      <c r="AC28">
        <v>6.8220170713780401</v>
      </c>
      <c r="AD28">
        <v>8.4962336743137694</v>
      </c>
      <c r="AE28">
        <v>8.8088855648995299</v>
      </c>
      <c r="AF28">
        <f t="shared" si="0"/>
        <v>2.8680760305771695</v>
      </c>
    </row>
    <row r="29" spans="1:32" x14ac:dyDescent="0.3">
      <c r="A29" t="s">
        <v>496</v>
      </c>
      <c r="B29" s="1" t="s">
        <v>497</v>
      </c>
      <c r="C29" t="s">
        <v>58</v>
      </c>
      <c r="D29" s="1" t="s">
        <v>59</v>
      </c>
      <c r="E29">
        <v>5.9167015738879396</v>
      </c>
      <c r="F29">
        <v>4.4301228616463897</v>
      </c>
      <c r="G29">
        <v>3.41074027833419</v>
      </c>
      <c r="H29">
        <v>0.37201669866946602</v>
      </c>
      <c r="I29">
        <v>0.378262974832</v>
      </c>
      <c r="J29">
        <v>2.11438079766029</v>
      </c>
      <c r="K29">
        <v>4.2045586295138397</v>
      </c>
      <c r="L29">
        <v>2.61682450573272</v>
      </c>
      <c r="M29">
        <v>2.4361104864402101</v>
      </c>
      <c r="N29">
        <v>1.9080940281098799</v>
      </c>
      <c r="O29">
        <v>1.1426384060909101</v>
      </c>
      <c r="P29">
        <v>1.8870925892626</v>
      </c>
      <c r="Q29">
        <v>2.2702727714719599</v>
      </c>
      <c r="R29">
        <v>3.53468638543854</v>
      </c>
      <c r="S29">
        <v>2.9472089624425499</v>
      </c>
      <c r="T29">
        <v>2.2737500116071598</v>
      </c>
      <c r="U29">
        <v>2.96365565662679</v>
      </c>
      <c r="V29">
        <v>3.10607700286362</v>
      </c>
      <c r="W29">
        <v>2.8809298284628402</v>
      </c>
      <c r="X29">
        <v>2.21091796655308</v>
      </c>
      <c r="Y29">
        <v>2.2867530898961501</v>
      </c>
      <c r="Z29">
        <v>1.87620937481827</v>
      </c>
      <c r="AA29">
        <v>2.2223669667872801</v>
      </c>
      <c r="AB29">
        <v>3.2758623399711699</v>
      </c>
      <c r="AC29">
        <v>2.7833352141198602</v>
      </c>
      <c r="AD29">
        <v>1.59281919627418</v>
      </c>
      <c r="AE29">
        <v>8.5867467740832506</v>
      </c>
      <c r="AF29">
        <f t="shared" si="0"/>
        <v>2.8010790878369312</v>
      </c>
    </row>
    <row r="30" spans="1:32" x14ac:dyDescent="0.3">
      <c r="A30" t="s">
        <v>496</v>
      </c>
      <c r="B30" s="1" t="s">
        <v>497</v>
      </c>
      <c r="C30" t="s">
        <v>330</v>
      </c>
      <c r="D30" s="1" t="s">
        <v>331</v>
      </c>
      <c r="E30">
        <v>0.96890250465182204</v>
      </c>
      <c r="F30">
        <v>0.94390768584574403</v>
      </c>
      <c r="G30">
        <v>1.1738087030327</v>
      </c>
      <c r="H30">
        <v>1.73317242646012</v>
      </c>
      <c r="I30">
        <v>1.1779394730671899</v>
      </c>
      <c r="J30">
        <v>1.95544231164374</v>
      </c>
      <c r="K30">
        <v>3.3743322153661901</v>
      </c>
      <c r="L30">
        <v>3.0008195239075102</v>
      </c>
      <c r="M30">
        <v>2.83911460251647</v>
      </c>
      <c r="N30">
        <v>2.88939866107243</v>
      </c>
      <c r="O30">
        <v>3.4389604833882799</v>
      </c>
      <c r="P30">
        <v>3.8373999054348298</v>
      </c>
      <c r="Q30">
        <v>3.5669004730578102</v>
      </c>
      <c r="R30">
        <v>2.5861789674512798</v>
      </c>
      <c r="S30">
        <v>3.4425330735036099</v>
      </c>
      <c r="T30">
        <v>2.5847867099299799</v>
      </c>
      <c r="U30">
        <v>2.7063898897563901</v>
      </c>
      <c r="V30">
        <v>2.79525403477041</v>
      </c>
      <c r="W30">
        <v>2.8056432888522198</v>
      </c>
      <c r="X30">
        <v>2.61536016043644</v>
      </c>
      <c r="Y30">
        <v>2.2087123688375598</v>
      </c>
      <c r="Z30">
        <v>1.7770747170443999</v>
      </c>
      <c r="AA30">
        <v>2.04633987256907</v>
      </c>
      <c r="AB30">
        <v>3.3045927232868002</v>
      </c>
      <c r="AC30">
        <v>3.3666923310050398</v>
      </c>
      <c r="AD30">
        <v>3.89069264786266</v>
      </c>
      <c r="AE30">
        <v>5.6714804735326503</v>
      </c>
      <c r="AF30">
        <f t="shared" si="0"/>
        <v>2.692660378825309</v>
      </c>
    </row>
    <row r="31" spans="1:32" x14ac:dyDescent="0.3">
      <c r="A31" t="s">
        <v>496</v>
      </c>
      <c r="B31" s="1" t="s">
        <v>497</v>
      </c>
      <c r="C31" t="s">
        <v>154</v>
      </c>
      <c r="D31" s="1" t="s">
        <v>155</v>
      </c>
      <c r="E31">
        <v>0</v>
      </c>
      <c r="F31">
        <v>0</v>
      </c>
      <c r="G31">
        <v>0</v>
      </c>
      <c r="H31">
        <v>8.4795434455300106E-2</v>
      </c>
      <c r="I31">
        <v>5.8645428841263197E-2</v>
      </c>
      <c r="J31">
        <v>9.26276422557398E-2</v>
      </c>
      <c r="K31" t="s">
        <v>34</v>
      </c>
      <c r="L31" t="s">
        <v>34</v>
      </c>
      <c r="M31" t="s">
        <v>34</v>
      </c>
      <c r="N31" t="s">
        <v>34</v>
      </c>
      <c r="O31">
        <v>0.33917143857111598</v>
      </c>
      <c r="P31">
        <v>0.81708283969370898</v>
      </c>
      <c r="Q31">
        <v>1.3652265876262699</v>
      </c>
      <c r="R31">
        <v>2.2812417067159898</v>
      </c>
      <c r="S31">
        <v>2.7030438969158701</v>
      </c>
      <c r="T31">
        <v>2.87867275035343</v>
      </c>
      <c r="U31">
        <v>3.4019069566892699</v>
      </c>
      <c r="V31">
        <v>3.59654715458514</v>
      </c>
      <c r="W31">
        <v>3.8936326739618901</v>
      </c>
      <c r="X31">
        <v>3.7172049995710199</v>
      </c>
      <c r="Y31">
        <v>3.96755999067266</v>
      </c>
      <c r="Z31">
        <v>3.3292341665039</v>
      </c>
      <c r="AA31">
        <v>3.92567796997632</v>
      </c>
      <c r="AB31">
        <v>5.43066594009262</v>
      </c>
      <c r="AC31">
        <v>4.6746237410218097</v>
      </c>
      <c r="AD31">
        <v>3.7137787424555002</v>
      </c>
      <c r="AE31">
        <v>6.6301896608686297</v>
      </c>
      <c r="AF31">
        <f t="shared" si="0"/>
        <v>2.4739795531229332</v>
      </c>
    </row>
    <row r="32" spans="1:32" x14ac:dyDescent="0.3">
      <c r="A32" t="s">
        <v>496</v>
      </c>
      <c r="B32" s="1" t="s">
        <v>497</v>
      </c>
      <c r="C32" t="s">
        <v>274</v>
      </c>
      <c r="D32" s="1" t="s">
        <v>275</v>
      </c>
      <c r="E32">
        <v>1.3239942135045899</v>
      </c>
      <c r="F32">
        <v>1.73836802829887</v>
      </c>
      <c r="G32">
        <v>2.07195524134305</v>
      </c>
      <c r="H32">
        <v>2.0708412191167298</v>
      </c>
      <c r="I32">
        <v>2.13223667818743</v>
      </c>
      <c r="J32">
        <v>3.2959758849010399</v>
      </c>
      <c r="K32">
        <v>2.9945164708919001</v>
      </c>
      <c r="L32">
        <v>2.4712288485395502</v>
      </c>
      <c r="M32">
        <v>2.9716206275044601</v>
      </c>
      <c r="N32">
        <v>3.4526938435865402</v>
      </c>
      <c r="O32">
        <v>3.4011324292319198</v>
      </c>
      <c r="P32">
        <v>2.6557937212630001</v>
      </c>
      <c r="Q32">
        <v>2.1479389075606501</v>
      </c>
      <c r="R32">
        <v>2.0355192417993999</v>
      </c>
      <c r="S32">
        <v>2.13948778482423</v>
      </c>
      <c r="T32">
        <v>1.8305708661817099</v>
      </c>
      <c r="U32">
        <v>1.7905972359837401</v>
      </c>
      <c r="V32">
        <v>1.68402080313272</v>
      </c>
      <c r="W32">
        <v>1.68061798005116</v>
      </c>
      <c r="X32">
        <v>2.1173313991389699</v>
      </c>
      <c r="Y32">
        <v>2.7697265520953902</v>
      </c>
      <c r="Z32">
        <v>2.0202434719989899</v>
      </c>
      <c r="AA32">
        <v>2.06070771057807</v>
      </c>
      <c r="AB32">
        <v>2.61106308483195</v>
      </c>
      <c r="AC32">
        <v>2.55969990465384</v>
      </c>
      <c r="AD32">
        <v>1.97988206097094</v>
      </c>
      <c r="AE32">
        <v>3.3471842527237401</v>
      </c>
      <c r="AF32">
        <f t="shared" si="0"/>
        <v>2.3464795726997991</v>
      </c>
    </row>
    <row r="33" spans="1:32" x14ac:dyDescent="0.3">
      <c r="A33" t="s">
        <v>496</v>
      </c>
      <c r="B33" s="1" t="s">
        <v>497</v>
      </c>
      <c r="C33" t="s">
        <v>80</v>
      </c>
      <c r="D33" s="1" t="s">
        <v>81</v>
      </c>
      <c r="E33">
        <v>0.44801248975080599</v>
      </c>
      <c r="F33">
        <v>0.40515718094882502</v>
      </c>
      <c r="G33">
        <v>0.38555152577354701</v>
      </c>
      <c r="H33">
        <v>0.26405437000660298</v>
      </c>
      <c r="I33">
        <v>0.320800790853637</v>
      </c>
      <c r="J33">
        <v>0.77256207409242805</v>
      </c>
      <c r="K33">
        <v>1.1043390507158299</v>
      </c>
      <c r="L33">
        <v>1.1008869809480799</v>
      </c>
      <c r="M33">
        <v>1.02122652481984</v>
      </c>
      <c r="N33">
        <v>1.3179677661970699</v>
      </c>
      <c r="O33">
        <v>2.83615706373774</v>
      </c>
      <c r="P33">
        <v>3.5580607065212702</v>
      </c>
      <c r="Q33">
        <v>3.9856088264704201</v>
      </c>
      <c r="R33">
        <v>3.6400844097369598</v>
      </c>
      <c r="S33">
        <v>3.30564306364059</v>
      </c>
      <c r="T33">
        <v>2.3492957912304799</v>
      </c>
      <c r="U33">
        <v>4.72620152059823</v>
      </c>
      <c r="V33">
        <v>5.0412304770852403</v>
      </c>
      <c r="W33">
        <v>5.5582933935415202</v>
      </c>
      <c r="X33">
        <v>4.77969194953676</v>
      </c>
      <c r="Y33">
        <v>2.33856535298855</v>
      </c>
      <c r="Z33">
        <v>0.92680049764453898</v>
      </c>
      <c r="AA33">
        <v>1.0880253133197</v>
      </c>
      <c r="AB33">
        <v>2.2533911778168001</v>
      </c>
      <c r="AC33">
        <v>2.06571007254961</v>
      </c>
      <c r="AD33">
        <v>1.2054221355741901</v>
      </c>
      <c r="AE33">
        <v>1.8544290280436899</v>
      </c>
      <c r="AF33">
        <f t="shared" si="0"/>
        <v>2.1723396123756653</v>
      </c>
    </row>
    <row r="34" spans="1:32" x14ac:dyDescent="0.3">
      <c r="A34" t="s">
        <v>496</v>
      </c>
      <c r="B34" s="1" t="s">
        <v>497</v>
      </c>
      <c r="C34" t="s">
        <v>338</v>
      </c>
      <c r="D34" s="1" t="s">
        <v>339</v>
      </c>
      <c r="E34">
        <v>9.6095584749121901E-2</v>
      </c>
      <c r="F34">
        <v>0.14236609318127799</v>
      </c>
      <c r="G34">
        <v>0.13128221864234399</v>
      </c>
      <c r="H34">
        <v>0.14288503154502999</v>
      </c>
      <c r="I34">
        <v>0.15174604557103699</v>
      </c>
      <c r="J34">
        <v>0.24572716939299299</v>
      </c>
      <c r="K34">
        <v>0.30944526940967698</v>
      </c>
      <c r="L34">
        <v>0.27628527853489299</v>
      </c>
      <c r="M34">
        <v>0.27129265896330002</v>
      </c>
      <c r="N34">
        <v>0.259537194188596</v>
      </c>
      <c r="O34">
        <v>0.246725853729445</v>
      </c>
      <c r="P34">
        <v>0.120639617794781</v>
      </c>
      <c r="Q34">
        <v>9.4796186537460206E-2</v>
      </c>
      <c r="R34">
        <v>9.55224826288264E-2</v>
      </c>
      <c r="S34">
        <v>9.4989102856775295E-2</v>
      </c>
      <c r="T34">
        <v>8.2654095456029003E-2</v>
      </c>
      <c r="U34">
        <v>7.5688488383031605E-2</v>
      </c>
      <c r="V34">
        <v>5.3034038226871999E-2</v>
      </c>
      <c r="W34">
        <v>5.1995237914058599E-2</v>
      </c>
      <c r="X34">
        <v>2.6850803510157402</v>
      </c>
      <c r="Y34">
        <v>6.2471504846443402</v>
      </c>
      <c r="Z34">
        <v>5.0967544266028098</v>
      </c>
      <c r="AA34">
        <v>5.0875032300125502</v>
      </c>
      <c r="AB34">
        <v>6.3313474675582402</v>
      </c>
      <c r="AC34">
        <v>7.0658994424578303</v>
      </c>
      <c r="AD34">
        <v>5.9597682859387602</v>
      </c>
      <c r="AE34">
        <v>9.1396576657414705</v>
      </c>
      <c r="AF34">
        <f t="shared" si="0"/>
        <v>1.8724395926547146</v>
      </c>
    </row>
    <row r="35" spans="1:32" x14ac:dyDescent="0.3">
      <c r="A35" t="s">
        <v>496</v>
      </c>
      <c r="B35" s="1" t="s">
        <v>497</v>
      </c>
      <c r="C35" t="s">
        <v>328</v>
      </c>
      <c r="D35" s="1" t="s">
        <v>329</v>
      </c>
      <c r="E35">
        <v>0.48909247543950701</v>
      </c>
      <c r="F35">
        <v>0.58760110084492401</v>
      </c>
      <c r="G35">
        <v>0.72347131394921305</v>
      </c>
      <c r="H35">
        <v>9.9395393459769193E-2</v>
      </c>
      <c r="I35">
        <v>9.9525503219495701E-2</v>
      </c>
      <c r="J35">
        <v>0.67990411455903699</v>
      </c>
      <c r="K35">
        <v>1.48859968754872</v>
      </c>
      <c r="L35">
        <v>1.24076789974642</v>
      </c>
      <c r="M35">
        <v>1.2955203679653799</v>
      </c>
      <c r="N35">
        <v>1.0804051925724301</v>
      </c>
      <c r="O35">
        <v>0.820750880317894</v>
      </c>
      <c r="P35">
        <v>1.64947339703</v>
      </c>
      <c r="Q35">
        <v>1.50336052705427</v>
      </c>
      <c r="R35">
        <v>2.6154706246410599</v>
      </c>
      <c r="S35">
        <v>2.3105185685752798</v>
      </c>
      <c r="T35">
        <v>1.9171533195675099</v>
      </c>
      <c r="U35">
        <v>2.4117510168290202</v>
      </c>
      <c r="V35">
        <v>2.7979370488197199</v>
      </c>
      <c r="W35">
        <v>2.5369737829622401</v>
      </c>
      <c r="X35">
        <v>1.90179376677279</v>
      </c>
      <c r="Y35">
        <v>1.95702125326246</v>
      </c>
      <c r="Z35">
        <v>1.2124850625234</v>
      </c>
      <c r="AA35">
        <v>1.6585853634910599</v>
      </c>
      <c r="AB35">
        <v>2.3728479062937899</v>
      </c>
      <c r="AC35">
        <v>1.68596945226407</v>
      </c>
      <c r="AD35">
        <v>0.91000200178554003</v>
      </c>
      <c r="AE35">
        <v>3.94366899283053</v>
      </c>
      <c r="AF35">
        <f t="shared" si="0"/>
        <v>1.5551868894194643</v>
      </c>
    </row>
    <row r="36" spans="1:32" x14ac:dyDescent="0.3">
      <c r="A36" t="s">
        <v>496</v>
      </c>
      <c r="B36" s="1" t="s">
        <v>497</v>
      </c>
      <c r="C36" t="s">
        <v>302</v>
      </c>
      <c r="D36" s="1" t="s">
        <v>303</v>
      </c>
      <c r="E36">
        <v>2.4096701658505901E-4</v>
      </c>
      <c r="F36">
        <v>1.9042875961850701E-4</v>
      </c>
      <c r="G36">
        <v>1.8066282930102301E-4</v>
      </c>
      <c r="H36">
        <v>1.6068554442839899E-4</v>
      </c>
      <c r="I36">
        <v>1.9524984962563199E-4</v>
      </c>
      <c r="J36">
        <v>5.7047105445401402E-4</v>
      </c>
      <c r="K36">
        <v>9.0003154037201203E-4</v>
      </c>
      <c r="L36">
        <v>1.58881967528373E-3</v>
      </c>
      <c r="M36">
        <v>1.6385641145461899E-3</v>
      </c>
      <c r="N36">
        <v>0.70130819711402204</v>
      </c>
      <c r="O36">
        <v>0.55886655797173102</v>
      </c>
      <c r="P36">
        <v>1.8298935054779299</v>
      </c>
      <c r="Q36">
        <v>1.56645133238839</v>
      </c>
      <c r="R36">
        <v>1.80233550297769</v>
      </c>
      <c r="S36">
        <v>1.5885800340609699</v>
      </c>
      <c r="T36">
        <v>2.06799636870009</v>
      </c>
      <c r="U36">
        <v>2.46277284263354</v>
      </c>
      <c r="V36">
        <v>2.5071783556513898</v>
      </c>
      <c r="W36">
        <v>2.5035583306836302</v>
      </c>
      <c r="X36">
        <v>2.4941206807380398</v>
      </c>
      <c r="Y36">
        <v>2.1393875884033902</v>
      </c>
      <c r="Z36">
        <v>1.97200900578106</v>
      </c>
      <c r="AA36">
        <v>2.1608206653756099</v>
      </c>
      <c r="AB36">
        <v>3.03979938526507</v>
      </c>
      <c r="AC36">
        <v>2.7015811606781899</v>
      </c>
      <c r="AD36">
        <v>2.1647650710530502</v>
      </c>
      <c r="AE36">
        <v>3.5656918021099901</v>
      </c>
      <c r="AF36">
        <f t="shared" si="0"/>
        <v>1.4012141580536295</v>
      </c>
    </row>
    <row r="37" spans="1:32" x14ac:dyDescent="0.3">
      <c r="A37" t="s">
        <v>496</v>
      </c>
      <c r="B37" s="1" t="s">
        <v>497</v>
      </c>
      <c r="C37" t="s">
        <v>260</v>
      </c>
      <c r="D37" s="1" t="s">
        <v>261</v>
      </c>
      <c r="E37">
        <v>0.80267331061492597</v>
      </c>
      <c r="F37">
        <v>0.81267551388002901</v>
      </c>
      <c r="G37">
        <v>0.80405012183285096</v>
      </c>
      <c r="H37">
        <v>0.81452572860426298</v>
      </c>
      <c r="I37">
        <v>0.46237090125764302</v>
      </c>
      <c r="J37">
        <v>0.64878145322726</v>
      </c>
      <c r="K37">
        <v>0.858452679296687</v>
      </c>
      <c r="L37">
        <v>1.1705884067019801</v>
      </c>
      <c r="M37">
        <v>0.82089285318312399</v>
      </c>
      <c r="N37">
        <v>1.02085475369624</v>
      </c>
      <c r="O37">
        <v>1.2897356853370501</v>
      </c>
      <c r="P37">
        <v>1.33425165972172</v>
      </c>
      <c r="Q37">
        <v>1.41426530663488</v>
      </c>
      <c r="R37">
        <v>1.21083129603755</v>
      </c>
      <c r="S37">
        <v>1.77360153552263</v>
      </c>
      <c r="T37">
        <v>1.3940894859955599</v>
      </c>
      <c r="U37">
        <v>1.15243299574461</v>
      </c>
      <c r="V37">
        <v>1.4258082588171599</v>
      </c>
      <c r="W37">
        <v>1.88859809428919</v>
      </c>
      <c r="X37">
        <v>2.2881706105100501</v>
      </c>
      <c r="Y37">
        <v>1.8628111435727399</v>
      </c>
      <c r="Z37">
        <v>1.37802629270615</v>
      </c>
      <c r="AA37">
        <v>1.1385854302199101</v>
      </c>
      <c r="AB37">
        <v>1.5410878121623599</v>
      </c>
      <c r="AC37">
        <v>1.68853062615573</v>
      </c>
      <c r="AD37">
        <v>2.1663049085792498</v>
      </c>
      <c r="AE37">
        <v>4.5802293736350199</v>
      </c>
      <c r="AF37">
        <f t="shared" si="0"/>
        <v>1.3978972680717245</v>
      </c>
    </row>
    <row r="38" spans="1:32" x14ac:dyDescent="0.3">
      <c r="A38" t="s">
        <v>496</v>
      </c>
      <c r="B38" s="1" t="s">
        <v>497</v>
      </c>
      <c r="C38" t="s">
        <v>150</v>
      </c>
      <c r="D38" s="1" t="s">
        <v>151</v>
      </c>
      <c r="E38">
        <v>0.61272828336448704</v>
      </c>
      <c r="F38">
        <v>0.63296619809048404</v>
      </c>
      <c r="G38">
        <v>0.59398667494250301</v>
      </c>
      <c r="H38">
        <v>0.52518837646872196</v>
      </c>
      <c r="I38">
        <v>0.55960122285383196</v>
      </c>
      <c r="J38">
        <v>0.80988360858387998</v>
      </c>
      <c r="K38">
        <v>1.1260901025535599</v>
      </c>
      <c r="L38">
        <v>1.1880642465275999</v>
      </c>
      <c r="M38">
        <v>1.3401225850062499</v>
      </c>
      <c r="N38">
        <v>1.60233568193565</v>
      </c>
      <c r="O38">
        <v>2.3345867580249799</v>
      </c>
      <c r="P38">
        <v>2.8202302183493</v>
      </c>
      <c r="Q38">
        <v>2.4515220089588898</v>
      </c>
      <c r="R38">
        <v>2.1806899642344302</v>
      </c>
      <c r="S38">
        <v>2.05000012334665</v>
      </c>
      <c r="T38">
        <v>1.5962103417444999</v>
      </c>
      <c r="U38">
        <v>1.8936108707936801</v>
      </c>
      <c r="V38">
        <v>1.6329867123261499</v>
      </c>
      <c r="W38">
        <v>1.48462315590397</v>
      </c>
      <c r="X38">
        <v>1.15200734272802</v>
      </c>
      <c r="Y38">
        <v>0.71758747139201395</v>
      </c>
      <c r="Z38">
        <v>0.50668700150319801</v>
      </c>
      <c r="AA38">
        <v>1.04828310066825</v>
      </c>
      <c r="AB38">
        <v>1.8915190624859199</v>
      </c>
      <c r="AC38">
        <v>1.6727646833107701</v>
      </c>
      <c r="AD38">
        <v>1.27251663281876</v>
      </c>
      <c r="AE38">
        <v>2.0457258674407099</v>
      </c>
      <c r="AF38">
        <f t="shared" si="0"/>
        <v>1.3978710480132279</v>
      </c>
    </row>
    <row r="39" spans="1:32" x14ac:dyDescent="0.3">
      <c r="A39" t="s">
        <v>496</v>
      </c>
      <c r="B39" s="1" t="s">
        <v>497</v>
      </c>
      <c r="C39" t="s">
        <v>442</v>
      </c>
      <c r="D39" s="1" t="s">
        <v>443</v>
      </c>
      <c r="E39">
        <v>1.5277471557084801</v>
      </c>
      <c r="F39">
        <v>1.6080544276584801</v>
      </c>
      <c r="G39">
        <v>1.71580198382946</v>
      </c>
      <c r="H39">
        <v>1.69523548425714</v>
      </c>
      <c r="I39">
        <v>1.4801907524821201</v>
      </c>
      <c r="J39">
        <v>1.5402537160529</v>
      </c>
      <c r="K39">
        <v>1.7900350559815601</v>
      </c>
      <c r="L39">
        <v>1.5921747902260199</v>
      </c>
      <c r="M39">
        <v>1.40024746926002</v>
      </c>
      <c r="N39">
        <v>1.3026745340904</v>
      </c>
      <c r="O39">
        <v>1.3925270998608901</v>
      </c>
      <c r="P39">
        <v>1.32306915187906</v>
      </c>
      <c r="Q39">
        <v>1.2187720251038401</v>
      </c>
      <c r="R39">
        <v>1.0427412288781199</v>
      </c>
      <c r="S39">
        <v>1.29504191176003</v>
      </c>
      <c r="T39">
        <v>1.0969675290634699</v>
      </c>
      <c r="U39">
        <v>1.17972038186238</v>
      </c>
      <c r="V39">
        <v>1.1494491770731301</v>
      </c>
      <c r="W39">
        <v>1.13311451584915</v>
      </c>
      <c r="X39">
        <v>1.0278541859852699</v>
      </c>
      <c r="Y39">
        <v>0.94406347214497299</v>
      </c>
      <c r="Z39">
        <v>0.72459867373790798</v>
      </c>
      <c r="AA39">
        <v>0.82907663794894004</v>
      </c>
      <c r="AB39">
        <v>1.0875982258171899</v>
      </c>
      <c r="AC39">
        <v>1.21418377523218</v>
      </c>
      <c r="AD39">
        <v>1.4780003439307701</v>
      </c>
      <c r="AE39">
        <v>1.9608949861248699</v>
      </c>
      <c r="AF39">
        <f t="shared" si="0"/>
        <v>1.3240773589555095</v>
      </c>
    </row>
    <row r="40" spans="1:32" x14ac:dyDescent="0.3">
      <c r="A40" t="s">
        <v>496</v>
      </c>
      <c r="B40" s="1" t="s">
        <v>497</v>
      </c>
      <c r="C40" t="s">
        <v>214</v>
      </c>
      <c r="D40" s="1" t="s">
        <v>215</v>
      </c>
      <c r="E40">
        <v>1.26584699782308</v>
      </c>
      <c r="F40">
        <v>1.3853251028972799</v>
      </c>
      <c r="G40">
        <v>1.55002266015724</v>
      </c>
      <c r="H40">
        <v>2.4898729188947901</v>
      </c>
      <c r="I40">
        <v>2.0293307133687701</v>
      </c>
      <c r="J40">
        <v>2.6651584403675002</v>
      </c>
      <c r="K40">
        <v>2.4241066416628398</v>
      </c>
      <c r="L40">
        <v>1.9031934435404601</v>
      </c>
      <c r="M40">
        <v>2.0942640608684502</v>
      </c>
      <c r="N40">
        <v>2.11069450964371</v>
      </c>
      <c r="O40">
        <v>1.92387174642882</v>
      </c>
      <c r="P40">
        <v>1.3244859061729199</v>
      </c>
      <c r="Q40">
        <v>1.0322606187143799</v>
      </c>
      <c r="R40">
        <v>0.99565711010688596</v>
      </c>
      <c r="S40">
        <v>0.94594480234410105</v>
      </c>
      <c r="T40">
        <v>0.82644592925932303</v>
      </c>
      <c r="U40">
        <v>0.73781080558996004</v>
      </c>
      <c r="V40">
        <v>0.65229422699482398</v>
      </c>
      <c r="W40">
        <v>0.63668603270550905</v>
      </c>
      <c r="X40">
        <v>0.850564550857553</v>
      </c>
      <c r="Y40">
        <v>0.96095596632608904</v>
      </c>
      <c r="Z40">
        <v>0.63934334627299005</v>
      </c>
      <c r="AA40">
        <v>0.59152399975521897</v>
      </c>
      <c r="AB40">
        <v>0.85966070362819103</v>
      </c>
      <c r="AC40">
        <v>0.73846737790888695</v>
      </c>
      <c r="AD40">
        <v>0.54680953124682397</v>
      </c>
      <c r="AE40">
        <v>0.841191137887917</v>
      </c>
      <c r="AF40">
        <f t="shared" si="0"/>
        <v>1.2971033067194266</v>
      </c>
    </row>
    <row r="41" spans="1:32" x14ac:dyDescent="0.3">
      <c r="A41" t="s">
        <v>496</v>
      </c>
      <c r="B41" s="1" t="s">
        <v>497</v>
      </c>
      <c r="C41" t="s">
        <v>366</v>
      </c>
      <c r="D41" s="1" t="s">
        <v>367</v>
      </c>
      <c r="E41">
        <v>0.87170080735761402</v>
      </c>
      <c r="F41">
        <v>0.88919307501717804</v>
      </c>
      <c r="G41">
        <v>0.92373644996871496</v>
      </c>
      <c r="H41">
        <v>1.0019156159273701</v>
      </c>
      <c r="I41">
        <v>0.85199527943589604</v>
      </c>
      <c r="J41">
        <v>0.99884371502324099</v>
      </c>
      <c r="K41">
        <v>1.24338083100153</v>
      </c>
      <c r="L41">
        <v>1.09369419273788</v>
      </c>
      <c r="M41">
        <v>0.98191188285678299</v>
      </c>
      <c r="N41">
        <v>0.95842422461640198</v>
      </c>
      <c r="O41">
        <v>1.0536515474085399</v>
      </c>
      <c r="P41">
        <v>1.0655170443477899</v>
      </c>
      <c r="Q41">
        <v>1.0139541488802</v>
      </c>
      <c r="R41">
        <v>0.91965953197045802</v>
      </c>
      <c r="S41">
        <v>1.11612931255224</v>
      </c>
      <c r="T41">
        <v>0.93372632611680295</v>
      </c>
      <c r="U41">
        <v>0.98659361753796304</v>
      </c>
      <c r="V41">
        <v>0.99729893070339504</v>
      </c>
      <c r="W41">
        <v>1.00992809301707</v>
      </c>
      <c r="X41">
        <v>0.96400659559874402</v>
      </c>
      <c r="Y41">
        <v>0.84161908605551605</v>
      </c>
      <c r="Z41">
        <v>0.68336477404623297</v>
      </c>
      <c r="AA41">
        <v>0.80321517260365105</v>
      </c>
      <c r="AB41">
        <v>1.1073140105780901</v>
      </c>
      <c r="AC41">
        <v>1.0798179694569501</v>
      </c>
      <c r="AD41">
        <v>1.2777495582411</v>
      </c>
      <c r="AE41">
        <v>1.7158484619750001</v>
      </c>
      <c r="AF41">
        <f t="shared" si="0"/>
        <v>1.0142292687049019</v>
      </c>
    </row>
    <row r="42" spans="1:32" x14ac:dyDescent="0.3">
      <c r="A42" t="s">
        <v>496</v>
      </c>
      <c r="B42" s="1" t="s">
        <v>497</v>
      </c>
      <c r="C42" t="s">
        <v>234</v>
      </c>
      <c r="D42" s="1" t="s">
        <v>235</v>
      </c>
      <c r="E42">
        <v>0.51201562077993901</v>
      </c>
      <c r="F42">
        <v>0.42354948713627999</v>
      </c>
      <c r="G42">
        <v>0.62371739776421797</v>
      </c>
      <c r="H42">
        <v>7.3505591835774195E-2</v>
      </c>
      <c r="I42">
        <v>7.9921383914651201E-2</v>
      </c>
      <c r="J42">
        <v>0.95829849796321498</v>
      </c>
      <c r="K42">
        <v>1.9081610368391899</v>
      </c>
      <c r="L42">
        <v>1.6849421193502601</v>
      </c>
      <c r="M42">
        <v>1.55520091837354</v>
      </c>
      <c r="N42">
        <v>0.90487467427921098</v>
      </c>
      <c r="O42">
        <v>0.70745681241373704</v>
      </c>
      <c r="P42">
        <v>1.05583158575305</v>
      </c>
      <c r="Q42">
        <v>0.88535083308129103</v>
      </c>
      <c r="R42">
        <v>1.6533303013548599</v>
      </c>
      <c r="S42">
        <v>1.4961894793230099</v>
      </c>
      <c r="T42">
        <v>1.0085633057824199</v>
      </c>
      <c r="U42">
        <v>1.2133161373919199</v>
      </c>
      <c r="V42">
        <v>1.2033313223942701</v>
      </c>
      <c r="W42">
        <v>1.0538090594977001</v>
      </c>
      <c r="X42">
        <v>0.80881514404493005</v>
      </c>
      <c r="Y42">
        <v>0.78964034206032696</v>
      </c>
      <c r="Z42">
        <v>0.67087324117305402</v>
      </c>
      <c r="AA42">
        <v>0.86064865819104996</v>
      </c>
      <c r="AB42">
        <v>1.38519233067748</v>
      </c>
      <c r="AC42">
        <v>0.92501630946741797</v>
      </c>
      <c r="AD42">
        <v>0.43856903709155998</v>
      </c>
      <c r="AE42">
        <v>2.0439625083478199</v>
      </c>
      <c r="AF42">
        <f t="shared" si="0"/>
        <v>0.99718826430674734</v>
      </c>
    </row>
    <row r="43" spans="1:32" x14ac:dyDescent="0.3">
      <c r="A43" t="s">
        <v>496</v>
      </c>
      <c r="B43" s="1" t="s">
        <v>497</v>
      </c>
      <c r="C43" t="s">
        <v>440</v>
      </c>
      <c r="D43" s="1" t="s">
        <v>441</v>
      </c>
      <c r="E43">
        <v>0.87382893913511805</v>
      </c>
      <c r="F43">
        <v>0.93888289899763</v>
      </c>
      <c r="G43">
        <v>0.90293512901019801</v>
      </c>
      <c r="H43">
        <v>0.133262624449728</v>
      </c>
      <c r="I43">
        <v>0.16882993135810001</v>
      </c>
      <c r="J43">
        <v>1.14885003502459</v>
      </c>
      <c r="K43">
        <v>2.0001375871295402</v>
      </c>
      <c r="L43">
        <v>1.3813930382345301</v>
      </c>
      <c r="M43">
        <v>1.3208144998747</v>
      </c>
      <c r="N43">
        <v>0.874680879938456</v>
      </c>
      <c r="O43">
        <v>0.56513300061553395</v>
      </c>
      <c r="P43">
        <v>1.0116394975315901</v>
      </c>
      <c r="Q43">
        <v>0.78605240093807804</v>
      </c>
      <c r="R43">
        <v>1.1473730873675201</v>
      </c>
      <c r="S43">
        <v>1.2788783004540001</v>
      </c>
      <c r="T43">
        <v>0.94514758301438595</v>
      </c>
      <c r="U43">
        <v>1.2377138021335199</v>
      </c>
      <c r="V43">
        <v>1.2057514427060301</v>
      </c>
      <c r="W43">
        <v>1.2049052630050801</v>
      </c>
      <c r="X43">
        <v>1.17134594315961</v>
      </c>
      <c r="Y43">
        <v>1.20086792163998</v>
      </c>
      <c r="Z43">
        <v>0.739114578198655</v>
      </c>
      <c r="AA43">
        <v>0.86940667608254396</v>
      </c>
      <c r="AB43">
        <v>1.22232291954122</v>
      </c>
      <c r="AC43">
        <v>0.71823198394911802</v>
      </c>
      <c r="AD43">
        <v>0.32976953396938902</v>
      </c>
      <c r="AE43">
        <v>1.36437357344945</v>
      </c>
      <c r="AF43">
        <f t="shared" si="0"/>
        <v>0.99043122484845536</v>
      </c>
    </row>
    <row r="44" spans="1:32" x14ac:dyDescent="0.3">
      <c r="A44" t="s">
        <v>496</v>
      </c>
      <c r="B44" s="1" t="s">
        <v>497</v>
      </c>
      <c r="C44" t="s">
        <v>104</v>
      </c>
      <c r="D44" s="1" t="s">
        <v>105</v>
      </c>
      <c r="E44">
        <v>0.59662324702332803</v>
      </c>
      <c r="F44">
        <v>1.17352464599299</v>
      </c>
      <c r="G44">
        <v>1.28537701238966</v>
      </c>
      <c r="H44">
        <v>0.94885258833680597</v>
      </c>
      <c r="I44">
        <v>1.19673708351473</v>
      </c>
      <c r="J44">
        <v>2.6900881202629399</v>
      </c>
      <c r="K44">
        <v>2.2476852747039699</v>
      </c>
      <c r="L44">
        <v>1.5240573669614399</v>
      </c>
      <c r="M44">
        <v>2.6489289746701101</v>
      </c>
      <c r="N44">
        <v>2.3632220615732198</v>
      </c>
      <c r="O44">
        <v>3.2208389839621399</v>
      </c>
      <c r="P44">
        <v>1.41752853523662</v>
      </c>
      <c r="Q44">
        <v>1.1136047676712</v>
      </c>
      <c r="R44">
        <v>1.5731684213923001</v>
      </c>
      <c r="S44">
        <v>0.12965637546964401</v>
      </c>
      <c r="T44">
        <v>0</v>
      </c>
      <c r="U44">
        <v>0</v>
      </c>
      <c r="V44">
        <v>0</v>
      </c>
      <c r="W44">
        <v>0</v>
      </c>
      <c r="X44">
        <v>0.118317835064536</v>
      </c>
      <c r="Y44">
        <v>0</v>
      </c>
      <c r="Z44">
        <v>0</v>
      </c>
      <c r="AA44">
        <v>0</v>
      </c>
      <c r="AB44">
        <v>2.0538338619018399E-2</v>
      </c>
      <c r="AC44">
        <v>0</v>
      </c>
      <c r="AD44">
        <v>0</v>
      </c>
      <c r="AE44">
        <v>0.79395841789589605</v>
      </c>
      <c r="AF44">
        <f t="shared" si="0"/>
        <v>0.92824844632372394</v>
      </c>
    </row>
    <row r="45" spans="1:32" x14ac:dyDescent="0.3">
      <c r="A45" t="s">
        <v>496</v>
      </c>
      <c r="B45" s="1" t="s">
        <v>497</v>
      </c>
      <c r="C45" t="s">
        <v>332</v>
      </c>
      <c r="D45" s="1" t="s">
        <v>333</v>
      </c>
      <c r="E45">
        <v>0.48832015268628898</v>
      </c>
      <c r="F45">
        <v>0.53993910857781302</v>
      </c>
      <c r="G45">
        <v>0.51699620383546496</v>
      </c>
      <c r="H45">
        <v>0.59061120150865898</v>
      </c>
      <c r="I45">
        <v>0.822703961461551</v>
      </c>
      <c r="J45">
        <v>1.06406108831938</v>
      </c>
      <c r="K45">
        <v>1.10586200793431</v>
      </c>
      <c r="L45">
        <v>1.38103962241738</v>
      </c>
      <c r="M45">
        <v>1.4237295946799799</v>
      </c>
      <c r="N45">
        <v>1.53358885408368</v>
      </c>
      <c r="O45">
        <v>1.74837050193472</v>
      </c>
      <c r="P45">
        <v>1.58009187746378</v>
      </c>
      <c r="Q45">
        <v>0.91023434893417599</v>
      </c>
      <c r="R45">
        <v>0.81635131226469604</v>
      </c>
      <c r="S45">
        <v>1.02766760910678</v>
      </c>
      <c r="T45">
        <v>1.0653359942826399</v>
      </c>
      <c r="U45">
        <v>1.1513596852535199</v>
      </c>
      <c r="V45">
        <v>1.1606193561934499</v>
      </c>
      <c r="W45">
        <v>0.81032084636007295</v>
      </c>
      <c r="X45">
        <v>0.80425758267248404</v>
      </c>
      <c r="Y45">
        <v>0.64027734095059397</v>
      </c>
      <c r="Z45">
        <v>0.52979937968465696</v>
      </c>
      <c r="AA45">
        <v>0.578433998743213</v>
      </c>
      <c r="AB45">
        <v>0.59289525725828096</v>
      </c>
      <c r="AC45">
        <v>0.70562213881934299</v>
      </c>
      <c r="AD45">
        <v>0.71502194635058702</v>
      </c>
      <c r="AE45">
        <v>0.73633756528481298</v>
      </c>
      <c r="AF45">
        <f t="shared" si="0"/>
        <v>0.92740179766897479</v>
      </c>
    </row>
    <row r="46" spans="1:32" x14ac:dyDescent="0.3">
      <c r="A46" t="s">
        <v>496</v>
      </c>
      <c r="B46" s="1" t="s">
        <v>497</v>
      </c>
      <c r="C46" t="s">
        <v>246</v>
      </c>
      <c r="D46" s="1" t="s">
        <v>247</v>
      </c>
      <c r="E46">
        <v>1.10347928796571</v>
      </c>
      <c r="F46">
        <v>1.0425687293036701</v>
      </c>
      <c r="G46">
        <v>1.14732100198997</v>
      </c>
      <c r="H46">
        <v>1.27688989600101</v>
      </c>
      <c r="I46">
        <v>0.95569124016722196</v>
      </c>
      <c r="J46">
        <v>1.07488964584328</v>
      </c>
      <c r="K46">
        <v>1.29022077016935</v>
      </c>
      <c r="L46">
        <v>0.92808477980633197</v>
      </c>
      <c r="M46">
        <v>0.81882112644548</v>
      </c>
      <c r="N46">
        <v>0.76931436633299</v>
      </c>
      <c r="O46">
        <v>0.82170096075424603</v>
      </c>
      <c r="P46">
        <v>0.74230736902294203</v>
      </c>
      <c r="Q46">
        <v>0.618508798827339</v>
      </c>
      <c r="R46">
        <v>0.56894038445654804</v>
      </c>
      <c r="S46">
        <v>0.73553024592998195</v>
      </c>
      <c r="T46">
        <v>0.63532984079447496</v>
      </c>
      <c r="U46">
        <v>0.70039727061048096</v>
      </c>
      <c r="V46">
        <v>0.73156394466421604</v>
      </c>
      <c r="W46">
        <v>0.78439672095801805</v>
      </c>
      <c r="X46">
        <v>0.73130733239464496</v>
      </c>
      <c r="Y46">
        <v>0.86457842316811595</v>
      </c>
      <c r="Z46">
        <v>0.69032259301341603</v>
      </c>
      <c r="AA46">
        <v>0.74817234721165404</v>
      </c>
      <c r="AB46">
        <v>1.10292151862869</v>
      </c>
      <c r="AC46">
        <v>1.1829077636904799</v>
      </c>
      <c r="AD46">
        <v>1.70268520321554</v>
      </c>
      <c r="AE46" t="s">
        <v>34</v>
      </c>
      <c r="AF46">
        <f t="shared" si="0"/>
        <v>0.91418659851406936</v>
      </c>
    </row>
    <row r="47" spans="1:32" x14ac:dyDescent="0.3">
      <c r="A47" t="s">
        <v>496</v>
      </c>
      <c r="B47" s="1" t="s">
        <v>497</v>
      </c>
      <c r="C47" t="s">
        <v>412</v>
      </c>
      <c r="D47" s="1" t="s">
        <v>413</v>
      </c>
      <c r="E47">
        <v>0.185361198615347</v>
      </c>
      <c r="F47">
        <v>0.22862110775370001</v>
      </c>
      <c r="G47">
        <v>0.255767536456045</v>
      </c>
      <c r="H47">
        <v>0.28257852640971098</v>
      </c>
      <c r="I47">
        <v>0.27198450042848599</v>
      </c>
      <c r="J47">
        <v>0.31693904815798102</v>
      </c>
      <c r="K47">
        <v>0.30268530585637898</v>
      </c>
      <c r="L47">
        <v>0.302584914619139</v>
      </c>
      <c r="M47">
        <v>0.27826817273487497</v>
      </c>
      <c r="N47">
        <v>0.26169789397413201</v>
      </c>
      <c r="O47">
        <v>0.243289229404521</v>
      </c>
      <c r="P47">
        <v>0.244769083877966</v>
      </c>
      <c r="Q47">
        <v>0.20811044391752301</v>
      </c>
      <c r="R47">
        <v>0.17713632825763601</v>
      </c>
      <c r="S47">
        <v>0.19499615132866699</v>
      </c>
      <c r="T47">
        <v>0.21946745909919699</v>
      </c>
      <c r="U47">
        <v>0.92155668883518704</v>
      </c>
      <c r="V47">
        <v>1.21586112609928</v>
      </c>
      <c r="W47">
        <v>2.06076023244341</v>
      </c>
      <c r="X47">
        <v>1.7881610948056099</v>
      </c>
      <c r="Y47">
        <v>1.5166445393377099</v>
      </c>
      <c r="Z47">
        <v>1.3037715054430801</v>
      </c>
      <c r="AA47">
        <v>1.19779659055655</v>
      </c>
      <c r="AB47">
        <v>1.4552720183555301</v>
      </c>
      <c r="AC47">
        <v>1.28568177450559</v>
      </c>
      <c r="AD47">
        <v>2.3304921515353101</v>
      </c>
      <c r="AE47" t="s">
        <v>34</v>
      </c>
      <c r="AF47">
        <f t="shared" si="0"/>
        <v>0.7327021008772524</v>
      </c>
    </row>
    <row r="48" spans="1:32" x14ac:dyDescent="0.3">
      <c r="A48" t="s">
        <v>496</v>
      </c>
      <c r="B48" s="1" t="s">
        <v>497</v>
      </c>
      <c r="C48" t="s">
        <v>418</v>
      </c>
      <c r="D48" s="1" t="s">
        <v>419</v>
      </c>
      <c r="E48">
        <v>0.27616719807039503</v>
      </c>
      <c r="F48">
        <v>0.35036520544661898</v>
      </c>
      <c r="G48">
        <v>0.53995516029512802</v>
      </c>
      <c r="H48">
        <v>0.56242465708943701</v>
      </c>
      <c r="I48">
        <v>0.60565558486987103</v>
      </c>
      <c r="J48">
        <v>0.99488283784734999</v>
      </c>
      <c r="K48">
        <v>0.92507714056924695</v>
      </c>
      <c r="L48">
        <v>0.76229755980692604</v>
      </c>
      <c r="M48">
        <v>0.89337552162742895</v>
      </c>
      <c r="N48">
        <v>0.93800427998158398</v>
      </c>
      <c r="O48">
        <v>0.91076699997037003</v>
      </c>
      <c r="P48">
        <v>0.71063062257533705</v>
      </c>
      <c r="Q48">
        <v>0.61397390326413703</v>
      </c>
      <c r="R48">
        <v>0.69343159334243298</v>
      </c>
      <c r="S48">
        <v>0.64370011510985403</v>
      </c>
      <c r="T48">
        <v>0.67195437942083402</v>
      </c>
      <c r="U48">
        <v>0.61107794562069595</v>
      </c>
      <c r="V48">
        <v>0.65135769583570902</v>
      </c>
      <c r="W48">
        <v>0.65318157396207599</v>
      </c>
      <c r="X48">
        <v>0.91194634434592603</v>
      </c>
      <c r="Y48">
        <v>0.90216144604780102</v>
      </c>
      <c r="Z48">
        <v>0.62753263614088295</v>
      </c>
      <c r="AA48">
        <v>0.55273293514577604</v>
      </c>
      <c r="AB48">
        <v>0.71765709497686003</v>
      </c>
      <c r="AC48">
        <v>0.70046614584572198</v>
      </c>
      <c r="AD48">
        <v>0.54393778288748296</v>
      </c>
      <c r="AE48">
        <v>0.93955310170113704</v>
      </c>
      <c r="AF48">
        <f t="shared" si="0"/>
        <v>0.70015805414063037</v>
      </c>
    </row>
    <row r="49" spans="1:32" x14ac:dyDescent="0.3">
      <c r="A49" t="s">
        <v>496</v>
      </c>
      <c r="B49" s="1" t="s">
        <v>497</v>
      </c>
      <c r="C49" t="s">
        <v>64</v>
      </c>
      <c r="D49" s="1" t="s">
        <v>65</v>
      </c>
      <c r="E49">
        <v>0.32438706501671399</v>
      </c>
      <c r="F49">
        <v>0.30375467828581998</v>
      </c>
      <c r="G49">
        <v>0.27124031755302302</v>
      </c>
      <c r="H49">
        <v>0.31679945065864801</v>
      </c>
      <c r="I49">
        <v>0.43009581187965101</v>
      </c>
      <c r="J49">
        <v>0.68735082794642099</v>
      </c>
      <c r="K49">
        <v>0.69948302977238797</v>
      </c>
      <c r="L49">
        <v>0.88528742835461804</v>
      </c>
      <c r="M49">
        <v>0.90807195473038005</v>
      </c>
      <c r="N49">
        <v>0.98148949606370095</v>
      </c>
      <c r="O49">
        <v>1.16332572452017</v>
      </c>
      <c r="P49">
        <v>1.28689068571642</v>
      </c>
      <c r="Q49">
        <v>0.78358856299568902</v>
      </c>
      <c r="R49">
        <v>0.71240070562776203</v>
      </c>
      <c r="S49">
        <v>0.85169093833808396</v>
      </c>
      <c r="T49">
        <v>0.89844484386662704</v>
      </c>
      <c r="U49">
        <v>1.05122540837567</v>
      </c>
      <c r="V49">
        <v>1.0663245644488</v>
      </c>
      <c r="W49">
        <v>0.78131637986134195</v>
      </c>
      <c r="X49">
        <v>0.73705325963238699</v>
      </c>
      <c r="Y49">
        <v>0.62814094729409198</v>
      </c>
      <c r="Z49">
        <v>0.49062992453070498</v>
      </c>
      <c r="AA49">
        <v>0.509162512083424</v>
      </c>
      <c r="AB49">
        <v>0.50178363047560803</v>
      </c>
      <c r="AC49">
        <v>0.51699831307589295</v>
      </c>
      <c r="AD49">
        <v>0.45700784587968701</v>
      </c>
      <c r="AE49">
        <v>0.490054814572216</v>
      </c>
      <c r="AF49">
        <f t="shared" si="0"/>
        <v>0.69385181931688666</v>
      </c>
    </row>
    <row r="50" spans="1:32" x14ac:dyDescent="0.3">
      <c r="A50" t="s">
        <v>496</v>
      </c>
      <c r="B50" s="1" t="s">
        <v>497</v>
      </c>
      <c r="C50" t="s">
        <v>322</v>
      </c>
      <c r="D50" s="1" t="s">
        <v>323</v>
      </c>
      <c r="E50">
        <v>0.24960936290788399</v>
      </c>
      <c r="F50">
        <v>0.22937654302977201</v>
      </c>
      <c r="G50">
        <v>0.22293919189766401</v>
      </c>
      <c r="H50">
        <v>0.165376593030192</v>
      </c>
      <c r="I50">
        <v>0.20762190710672301</v>
      </c>
      <c r="J50">
        <v>0.56409459324737798</v>
      </c>
      <c r="K50">
        <v>0.72675445928497096</v>
      </c>
      <c r="L50">
        <v>0.50198956660562699</v>
      </c>
      <c r="M50">
        <v>0.778807998966763</v>
      </c>
      <c r="N50">
        <v>0.68921529639889101</v>
      </c>
      <c r="O50">
        <v>0.28775013920618298</v>
      </c>
      <c r="P50">
        <v>0.73242567947177295</v>
      </c>
      <c r="Q50">
        <v>0.75710120098855405</v>
      </c>
      <c r="R50">
        <v>0.74981367250143505</v>
      </c>
      <c r="S50">
        <v>0.52202808360261899</v>
      </c>
      <c r="T50">
        <v>0.62008579694993304</v>
      </c>
      <c r="U50">
        <v>0.95137055258512004</v>
      </c>
      <c r="V50">
        <v>0.94482858432369099</v>
      </c>
      <c r="W50">
        <v>0.70723113887785105</v>
      </c>
      <c r="X50">
        <v>0.70695840234576801</v>
      </c>
      <c r="Y50">
        <v>0.606650567592808</v>
      </c>
      <c r="Z50">
        <v>0.482590199613052</v>
      </c>
      <c r="AA50">
        <v>0.679652469225142</v>
      </c>
      <c r="AB50">
        <v>0.96836726212403401</v>
      </c>
      <c r="AC50">
        <v>0.85508667025824403</v>
      </c>
      <c r="AD50">
        <v>0.66919749440088006</v>
      </c>
      <c r="AE50">
        <v>1.16400248668311</v>
      </c>
      <c r="AF50">
        <f t="shared" si="0"/>
        <v>0.62003429308244673</v>
      </c>
    </row>
    <row r="51" spans="1:32" x14ac:dyDescent="0.3">
      <c r="A51" t="s">
        <v>496</v>
      </c>
      <c r="B51" s="1" t="s">
        <v>497</v>
      </c>
      <c r="C51" t="s">
        <v>354</v>
      </c>
      <c r="D51" s="1" t="s">
        <v>355</v>
      </c>
      <c r="E51">
        <v>1.16255246782124</v>
      </c>
      <c r="F51">
        <v>1.0802185571321099</v>
      </c>
      <c r="G51">
        <v>1.0500771802803099</v>
      </c>
      <c r="H51">
        <v>0.109495919951228</v>
      </c>
      <c r="I51">
        <v>0.12444699102579999</v>
      </c>
      <c r="J51">
        <v>0.80031015636247504</v>
      </c>
      <c r="K51">
        <v>1.5485281229977299</v>
      </c>
      <c r="L51">
        <v>1.0087875314777699</v>
      </c>
      <c r="M51">
        <v>0.86262714839343901</v>
      </c>
      <c r="N51">
        <v>0.58491869928634599</v>
      </c>
      <c r="O51">
        <v>0.354487682531617</v>
      </c>
      <c r="P51">
        <v>0.62928173006237598</v>
      </c>
      <c r="Q51">
        <v>0.438713383746894</v>
      </c>
      <c r="R51">
        <v>0.63133460016918297</v>
      </c>
      <c r="S51">
        <v>0.54511376009354295</v>
      </c>
      <c r="T51">
        <v>0.48367655916337199</v>
      </c>
      <c r="U51">
        <v>0.65925443828407204</v>
      </c>
      <c r="V51">
        <v>0.74353357595979797</v>
      </c>
      <c r="W51">
        <v>0.68222889808095399</v>
      </c>
      <c r="X51">
        <v>0.47198176948916298</v>
      </c>
      <c r="Y51">
        <v>0.39279228429243301</v>
      </c>
      <c r="Z51">
        <v>0.198912810370521</v>
      </c>
      <c r="AA51">
        <v>0.26655515437185701</v>
      </c>
      <c r="AB51">
        <v>0.367013896608261</v>
      </c>
      <c r="AC51">
        <v>0.23874194926016901</v>
      </c>
      <c r="AD51">
        <v>0.10553055393027599</v>
      </c>
      <c r="AE51">
        <v>0.53062405611808505</v>
      </c>
      <c r="AF51">
        <f t="shared" si="0"/>
        <v>0.59524962508374157</v>
      </c>
    </row>
    <row r="52" spans="1:32" x14ac:dyDescent="0.3">
      <c r="A52" t="s">
        <v>496</v>
      </c>
      <c r="B52" s="1" t="s">
        <v>497</v>
      </c>
      <c r="C52" t="s">
        <v>54</v>
      </c>
      <c r="D52" s="1" t="s">
        <v>55</v>
      </c>
      <c r="E52">
        <v>0.36430303166473199</v>
      </c>
      <c r="F52">
        <v>0.40071034072010298</v>
      </c>
      <c r="G52">
        <v>0.38023093332458802</v>
      </c>
      <c r="H52">
        <v>0.31131704347195699</v>
      </c>
      <c r="I52">
        <v>0.36477138136396098</v>
      </c>
      <c r="J52">
        <v>0.55181775236835495</v>
      </c>
      <c r="K52">
        <v>0.56212410679288904</v>
      </c>
      <c r="L52">
        <v>0.488247924172099</v>
      </c>
      <c r="M52">
        <v>0.50840068095360003</v>
      </c>
      <c r="N52">
        <v>0.44880427725690702</v>
      </c>
      <c r="O52">
        <v>0.420182475428722</v>
      </c>
      <c r="P52">
        <v>0.39916274784449102</v>
      </c>
      <c r="Q52">
        <v>0.35579925199048901</v>
      </c>
      <c r="R52">
        <v>0.33136619266834499</v>
      </c>
      <c r="S52">
        <v>0.38033679694196099</v>
      </c>
      <c r="T52">
        <v>0.35893918712088102</v>
      </c>
      <c r="U52">
        <v>0.35083834367130401</v>
      </c>
      <c r="V52">
        <v>0.29149071421648598</v>
      </c>
      <c r="W52">
        <v>0.331288181046131</v>
      </c>
      <c r="X52">
        <v>0.48406627528143797</v>
      </c>
      <c r="Y52">
        <v>0.60456339576504103</v>
      </c>
      <c r="Z52">
        <v>0.58755440144858195</v>
      </c>
      <c r="AA52">
        <v>0.71059612704723596</v>
      </c>
      <c r="AB52">
        <v>1.1268129135152301</v>
      </c>
      <c r="AC52">
        <v>1.33869213675891</v>
      </c>
      <c r="AD52">
        <v>1.2057360232174901</v>
      </c>
      <c r="AE52">
        <v>1.7184064010286899</v>
      </c>
      <c r="AF52">
        <f t="shared" si="0"/>
        <v>0.56950218655854146</v>
      </c>
    </row>
    <row r="53" spans="1:32" x14ac:dyDescent="0.3">
      <c r="A53" t="s">
        <v>496</v>
      </c>
      <c r="B53" s="1" t="s">
        <v>497</v>
      </c>
      <c r="C53" t="s">
        <v>462</v>
      </c>
      <c r="D53" s="1" t="s">
        <v>463</v>
      </c>
      <c r="E53">
        <v>0.115795964880285</v>
      </c>
      <c r="F53">
        <v>0.111040819206844</v>
      </c>
      <c r="G53">
        <v>0.109320800776235</v>
      </c>
      <c r="H53">
        <v>9.1186335428811105E-2</v>
      </c>
      <c r="I53">
        <v>6.6607458476165504E-2</v>
      </c>
      <c r="J53">
        <v>9.8507218149761405E-2</v>
      </c>
      <c r="K53">
        <v>0.114272807017399</v>
      </c>
      <c r="L53">
        <v>6.9367225710075697E-2</v>
      </c>
      <c r="M53">
        <v>5.23016697757962E-2</v>
      </c>
      <c r="N53">
        <v>3.9565450623090602E-2</v>
      </c>
      <c r="O53">
        <v>3.8672233943176697E-2</v>
      </c>
      <c r="P53">
        <v>3.1352624099116197E-2</v>
      </c>
      <c r="Q53">
        <v>1.96882703573193E-2</v>
      </c>
      <c r="R53">
        <v>8.2314601881372899E-3</v>
      </c>
      <c r="S53">
        <v>0.201410332138204</v>
      </c>
      <c r="T53">
        <v>1.08978097743592</v>
      </c>
      <c r="U53">
        <v>2.5287166592515802</v>
      </c>
      <c r="V53">
        <v>2.05997690844374</v>
      </c>
      <c r="W53">
        <v>2.5379265920626102</v>
      </c>
      <c r="X53">
        <v>2.0584385225035602</v>
      </c>
      <c r="Y53">
        <v>0.379333802898212</v>
      </c>
      <c r="Z53">
        <v>4.8836149015151598E-2</v>
      </c>
      <c r="AA53">
        <v>3.9311873507867301E-2</v>
      </c>
      <c r="AB53">
        <v>2.3372925352320401E-2</v>
      </c>
      <c r="AC53" t="s">
        <v>34</v>
      </c>
      <c r="AD53" t="s">
        <v>34</v>
      </c>
      <c r="AE53" t="s">
        <v>34</v>
      </c>
      <c r="AF53">
        <f t="shared" si="0"/>
        <v>0.49720896171839085</v>
      </c>
    </row>
    <row r="54" spans="1:32" x14ac:dyDescent="0.3">
      <c r="A54" t="s">
        <v>496</v>
      </c>
      <c r="B54" s="1" t="s">
        <v>497</v>
      </c>
      <c r="C54" t="s">
        <v>312</v>
      </c>
      <c r="D54" s="1" t="s">
        <v>313</v>
      </c>
      <c r="E54">
        <v>0.40539632514720197</v>
      </c>
      <c r="F54">
        <v>0.44324267440627702</v>
      </c>
      <c r="G54">
        <v>0.45915537777332899</v>
      </c>
      <c r="H54">
        <v>5.4400186352315798E-2</v>
      </c>
      <c r="I54">
        <v>4.8388375586822602E-2</v>
      </c>
      <c r="J54">
        <v>0.343533262762868</v>
      </c>
      <c r="K54">
        <v>0.74734137003679302</v>
      </c>
      <c r="L54">
        <v>0.50535053642308403</v>
      </c>
      <c r="M54">
        <v>0.43035269889593702</v>
      </c>
      <c r="N54">
        <v>0.39524424996958102</v>
      </c>
      <c r="O54">
        <v>0.29487810612045701</v>
      </c>
      <c r="P54">
        <v>0.60705976949338303</v>
      </c>
      <c r="Q54">
        <v>0.52120335320914002</v>
      </c>
      <c r="R54">
        <v>0.96375312196912799</v>
      </c>
      <c r="S54">
        <v>0.686149183988494</v>
      </c>
      <c r="T54">
        <v>0.72876215392034305</v>
      </c>
      <c r="U54">
        <v>0.96714401855718601</v>
      </c>
      <c r="V54">
        <v>1.07545709194109</v>
      </c>
      <c r="W54">
        <v>1.06858270146467</v>
      </c>
      <c r="X54">
        <v>0.62583947212359803</v>
      </c>
      <c r="Y54">
        <v>0.409802071791948</v>
      </c>
      <c r="Z54">
        <v>0.22997846587585499</v>
      </c>
      <c r="AA54">
        <v>0.25710589675439099</v>
      </c>
      <c r="AB54">
        <v>0.32039214038977099</v>
      </c>
      <c r="AC54">
        <v>0.192462763398317</v>
      </c>
      <c r="AD54">
        <v>6.8774620440748196E-2</v>
      </c>
      <c r="AE54">
        <v>0.31228468158192502</v>
      </c>
      <c r="AF54">
        <f t="shared" si="0"/>
        <v>0.4874827655694316</v>
      </c>
    </row>
    <row r="55" spans="1:32" x14ac:dyDescent="0.3">
      <c r="A55" t="s">
        <v>496</v>
      </c>
      <c r="B55" s="1" t="s">
        <v>497</v>
      </c>
      <c r="C55" t="s">
        <v>454</v>
      </c>
      <c r="D55" s="1" t="s">
        <v>455</v>
      </c>
      <c r="E55">
        <v>0.30133533110942301</v>
      </c>
      <c r="F55">
        <v>0.38528571675420298</v>
      </c>
      <c r="G55">
        <v>0.32104415907445799</v>
      </c>
      <c r="H55">
        <v>0.239125734808664</v>
      </c>
      <c r="I55">
        <v>0.28396680866797602</v>
      </c>
      <c r="J55">
        <v>0.450042899866886</v>
      </c>
      <c r="K55">
        <v>0.39389596845670999</v>
      </c>
      <c r="L55">
        <v>0.48547799752028098</v>
      </c>
      <c r="M55">
        <v>0.38222589751228497</v>
      </c>
      <c r="N55">
        <v>0.28206131368895598</v>
      </c>
      <c r="O55">
        <v>0.36036592083230801</v>
      </c>
      <c r="P55">
        <v>0.415380969310995</v>
      </c>
      <c r="Q55">
        <v>0.40464490127276098</v>
      </c>
      <c r="R55">
        <v>0.29964105795509399</v>
      </c>
      <c r="S55">
        <v>0.30135741268084398</v>
      </c>
      <c r="T55">
        <v>0.193269710628376</v>
      </c>
      <c r="U55">
        <v>0.54238814968545701</v>
      </c>
      <c r="V55">
        <v>0.50162953680264299</v>
      </c>
      <c r="W55">
        <v>0.54225625447164105</v>
      </c>
      <c r="X55">
        <v>0.37775959355788202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>
        <f t="shared" si="0"/>
        <v>0.37315776673289208</v>
      </c>
    </row>
    <row r="56" spans="1:32" x14ac:dyDescent="0.3">
      <c r="A56" t="s">
        <v>496</v>
      </c>
      <c r="B56" s="1" t="s">
        <v>497</v>
      </c>
      <c r="C56" t="s">
        <v>48</v>
      </c>
      <c r="D56" s="1" t="s">
        <v>49</v>
      </c>
      <c r="E56">
        <v>8.1038822406991798E-2</v>
      </c>
      <c r="F56">
        <v>8.4701578486069004E-2</v>
      </c>
      <c r="G56">
        <v>8.2094887352811299E-2</v>
      </c>
      <c r="H56">
        <v>7.1552271595309996E-2</v>
      </c>
      <c r="I56">
        <v>0.14537011635767499</v>
      </c>
      <c r="J56">
        <v>0.28282101354751099</v>
      </c>
      <c r="K56">
        <v>0.29987415057312</v>
      </c>
      <c r="L56">
        <v>0.64682711770342105</v>
      </c>
      <c r="M56">
        <v>0.41564119285289902</v>
      </c>
      <c r="N56">
        <v>0.33321451968499499</v>
      </c>
      <c r="O56">
        <v>0.51872228889928795</v>
      </c>
      <c r="P56">
        <v>0.633332833614627</v>
      </c>
      <c r="Q56">
        <v>0.60550959602832399</v>
      </c>
      <c r="R56">
        <v>0.51320596091327098</v>
      </c>
      <c r="S56">
        <v>0.57533669742089999</v>
      </c>
      <c r="T56">
        <v>0.309484878442217</v>
      </c>
      <c r="U56">
        <v>0.53882731039061704</v>
      </c>
      <c r="V56">
        <v>0.54403686449781596</v>
      </c>
      <c r="W56">
        <v>0.55712910885830003</v>
      </c>
      <c r="X56">
        <v>0.53532527691385801</v>
      </c>
      <c r="Y56">
        <v>0.246808228645021</v>
      </c>
      <c r="Z56">
        <v>0.119238339223091</v>
      </c>
      <c r="AA56">
        <v>0.13219271147297901</v>
      </c>
      <c r="AB56">
        <v>0.40132211471745199</v>
      </c>
      <c r="AC56">
        <v>0.52355933982367497</v>
      </c>
      <c r="AD56">
        <v>0.29826969722975399</v>
      </c>
      <c r="AE56">
        <v>0.38939712345165201</v>
      </c>
      <c r="AF56">
        <f t="shared" si="0"/>
        <v>0.36610496448532015</v>
      </c>
    </row>
    <row r="57" spans="1:32" x14ac:dyDescent="0.3">
      <c r="A57" t="s">
        <v>496</v>
      </c>
      <c r="B57" s="1" t="s">
        <v>497</v>
      </c>
      <c r="C57" t="s">
        <v>456</v>
      </c>
      <c r="D57" s="1" t="s">
        <v>457</v>
      </c>
      <c r="E57">
        <v>2.8111436278764401E-2</v>
      </c>
      <c r="F57">
        <v>5.4480466470927198E-2</v>
      </c>
      <c r="G57">
        <v>9.5750818046316896E-2</v>
      </c>
      <c r="H57">
        <v>0.115708332859875</v>
      </c>
      <c r="I57">
        <v>0.17479128574331201</v>
      </c>
      <c r="J57">
        <v>0.30818674526502099</v>
      </c>
      <c r="K57">
        <v>0.33465516110238303</v>
      </c>
      <c r="L57">
        <v>0.32538414645924701</v>
      </c>
      <c r="M57">
        <v>0.35961772034649098</v>
      </c>
      <c r="N57">
        <v>0.63287182368539896</v>
      </c>
      <c r="O57">
        <v>0.77755323119159803</v>
      </c>
      <c r="P57">
        <v>0.65180379831659296</v>
      </c>
      <c r="Q57">
        <v>0.54252263840832904</v>
      </c>
      <c r="R57">
        <v>0.49559104751456501</v>
      </c>
      <c r="S57">
        <v>0.47684339937832299</v>
      </c>
      <c r="T57">
        <v>0.44210970425968599</v>
      </c>
      <c r="U57">
        <v>0.37781646047665801</v>
      </c>
      <c r="V57">
        <v>0.35292978566355299</v>
      </c>
      <c r="W57">
        <v>0.32955628959212901</v>
      </c>
      <c r="X57">
        <v>0.418562328391343</v>
      </c>
      <c r="Y57">
        <v>0.46699373559437402</v>
      </c>
      <c r="Z57">
        <v>0.316021208374894</v>
      </c>
      <c r="AA57">
        <v>0.27961133721335901</v>
      </c>
      <c r="AB57">
        <v>0.38336912936759698</v>
      </c>
      <c r="AC57">
        <v>0.35996993743116001</v>
      </c>
      <c r="AD57">
        <v>0.247961395343541</v>
      </c>
      <c r="AE57">
        <v>0.32730836109361999</v>
      </c>
      <c r="AF57">
        <f t="shared" si="0"/>
        <v>0.35837339718033545</v>
      </c>
    </row>
    <row r="58" spans="1:32" x14ac:dyDescent="0.3">
      <c r="A58" t="s">
        <v>496</v>
      </c>
      <c r="B58" s="1" t="s">
        <v>497</v>
      </c>
      <c r="C58" t="s">
        <v>218</v>
      </c>
      <c r="D58" s="1" t="s">
        <v>219</v>
      </c>
      <c r="E58">
        <v>0.78842819000842101</v>
      </c>
      <c r="F58">
        <v>1.08692306964952</v>
      </c>
      <c r="G58">
        <v>0.54720866248978295</v>
      </c>
      <c r="H58">
        <v>0.49515832120173597</v>
      </c>
      <c r="I58">
        <v>0.28331586817714599</v>
      </c>
      <c r="J58">
        <v>0.27271767012468001</v>
      </c>
      <c r="K58">
        <v>0.35845866086599998</v>
      </c>
      <c r="L58">
        <v>0.28880729824721402</v>
      </c>
      <c r="M58">
        <v>0.27532066427333701</v>
      </c>
      <c r="N58">
        <v>0.113034701108404</v>
      </c>
      <c r="O58">
        <v>0.15536312658344101</v>
      </c>
      <c r="P58">
        <v>0.16643949845663</v>
      </c>
      <c r="Q58">
        <v>0.28223102134120298</v>
      </c>
      <c r="R58">
        <v>0.30002166146157599</v>
      </c>
      <c r="S58">
        <v>0.38834726711081302</v>
      </c>
      <c r="T58">
        <v>0.30181281673208898</v>
      </c>
      <c r="U58">
        <v>0.25179961887645302</v>
      </c>
      <c r="V58">
        <v>0.222359214768549</v>
      </c>
      <c r="W58">
        <v>0.23659962083935501</v>
      </c>
      <c r="X58">
        <v>0.24541617969729801</v>
      </c>
      <c r="Y58">
        <v>0.24080442012379899</v>
      </c>
      <c r="Z58">
        <v>0.25013550702527698</v>
      </c>
      <c r="AA58">
        <v>0.27550885483519999</v>
      </c>
      <c r="AB58">
        <v>0.37853204768089299</v>
      </c>
      <c r="AC58">
        <v>0.374622752289475</v>
      </c>
      <c r="AD58">
        <v>0.378195592280203</v>
      </c>
      <c r="AE58">
        <v>0.65552292508507004</v>
      </c>
      <c r="AF58">
        <f t="shared" si="0"/>
        <v>0.35604019375309504</v>
      </c>
    </row>
    <row r="59" spans="1:32" x14ac:dyDescent="0.3">
      <c r="A59" t="s">
        <v>496</v>
      </c>
      <c r="B59" s="1" t="s">
        <v>497</v>
      </c>
      <c r="C59" t="s">
        <v>428</v>
      </c>
      <c r="D59" s="1" t="s">
        <v>429</v>
      </c>
      <c r="E59">
        <v>5.5909464899761098E-2</v>
      </c>
      <c r="F59">
        <v>0.14240798453390399</v>
      </c>
      <c r="G59">
        <v>0.28407975357919801</v>
      </c>
      <c r="H59">
        <v>0.28758241584180999</v>
      </c>
      <c r="I59">
        <v>0.25941381322018803</v>
      </c>
      <c r="J59">
        <v>0.361382132616902</v>
      </c>
      <c r="K59">
        <v>0.45793951704270602</v>
      </c>
      <c r="L59">
        <v>0.35707247819035398</v>
      </c>
      <c r="M59">
        <v>0.309246533605607</v>
      </c>
      <c r="N59">
        <v>0.30660941774181399</v>
      </c>
      <c r="O59">
        <v>0.39921055881573098</v>
      </c>
      <c r="P59">
        <v>0.39920953635932599</v>
      </c>
      <c r="Q59">
        <v>0.31995453859001799</v>
      </c>
      <c r="R59">
        <v>0.37588783467175002</v>
      </c>
      <c r="S59">
        <v>0.43374679535229099</v>
      </c>
      <c r="T59">
        <v>0.34470919421859397</v>
      </c>
      <c r="U59">
        <v>0.40189574150408103</v>
      </c>
      <c r="V59">
        <v>0.40814811999401202</v>
      </c>
      <c r="W59">
        <v>0.37775202996635598</v>
      </c>
      <c r="X59">
        <v>0.42342392278494601</v>
      </c>
      <c r="Y59">
        <v>0.27368284830777501</v>
      </c>
      <c r="Z59">
        <v>0.20086998586840399</v>
      </c>
      <c r="AA59">
        <v>0.23643345969993601</v>
      </c>
      <c r="AB59">
        <v>0.34989645197852198</v>
      </c>
      <c r="AC59">
        <v>0.30849730569695599</v>
      </c>
      <c r="AD59">
        <v>0.30326998662532301</v>
      </c>
      <c r="AE59">
        <v>0.490998034663024</v>
      </c>
      <c r="AF59">
        <f t="shared" si="0"/>
        <v>0.32848999468034407</v>
      </c>
    </row>
    <row r="60" spans="1:32" x14ac:dyDescent="0.3">
      <c r="A60" t="s">
        <v>496</v>
      </c>
      <c r="B60" s="1" t="s">
        <v>497</v>
      </c>
      <c r="C60" t="s">
        <v>316</v>
      </c>
      <c r="D60" s="1" t="s">
        <v>317</v>
      </c>
      <c r="E60">
        <v>0.32119174456705901</v>
      </c>
      <c r="F60">
        <v>0.39064365276079099</v>
      </c>
      <c r="G60">
        <v>0.45908259843112098</v>
      </c>
      <c r="H60">
        <v>0.34647761095754898</v>
      </c>
      <c r="I60">
        <v>0.42273577418935798</v>
      </c>
      <c r="J60">
        <v>0.77253398525286099</v>
      </c>
      <c r="K60">
        <v>0.72327388101693102</v>
      </c>
      <c r="L60">
        <v>0.48323793225130901</v>
      </c>
      <c r="M60">
        <v>0.35084821221279699</v>
      </c>
      <c r="N60">
        <v>0.30875375913577302</v>
      </c>
      <c r="O60">
        <v>0.26219383617195302</v>
      </c>
      <c r="P60">
        <v>0.24566301167365701</v>
      </c>
      <c r="Q60">
        <v>0.21106031727021299</v>
      </c>
      <c r="R60">
        <v>0.22662853415176801</v>
      </c>
      <c r="S60">
        <v>0.25032284130348098</v>
      </c>
      <c r="T60">
        <v>0.24388417287469999</v>
      </c>
      <c r="U60">
        <v>0.212996832549146</v>
      </c>
      <c r="V60">
        <v>0.21295895447848401</v>
      </c>
      <c r="W60">
        <v>0.20383846262195199</v>
      </c>
      <c r="X60">
        <v>0.27920446459501702</v>
      </c>
      <c r="Y60">
        <v>0.31872526952290903</v>
      </c>
      <c r="Z60">
        <v>0.22971079587204599</v>
      </c>
      <c r="AA60">
        <v>0.21596402429008199</v>
      </c>
      <c r="AB60">
        <v>0.27783441128783598</v>
      </c>
      <c r="AC60">
        <v>0.295210632582245</v>
      </c>
      <c r="AD60">
        <v>0.23100422332385301</v>
      </c>
      <c r="AE60">
        <v>0.29466148225835898</v>
      </c>
      <c r="AF60">
        <f t="shared" si="0"/>
        <v>0.3255793117630833</v>
      </c>
    </row>
    <row r="61" spans="1:32" x14ac:dyDescent="0.3">
      <c r="A61" t="s">
        <v>496</v>
      </c>
      <c r="B61" s="1" t="s">
        <v>497</v>
      </c>
      <c r="C61" t="s">
        <v>124</v>
      </c>
      <c r="D61" s="1" t="s">
        <v>125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34</v>
      </c>
      <c r="N61" t="s">
        <v>34</v>
      </c>
      <c r="O61">
        <v>3.7360256364998297E-2</v>
      </c>
      <c r="P61">
        <v>0.136515195916912</v>
      </c>
      <c r="Q61">
        <v>0.194880093886761</v>
      </c>
      <c r="R61">
        <v>0.232242539355073</v>
      </c>
      <c r="S61">
        <v>0.34102428913248001</v>
      </c>
      <c r="T61">
        <v>0.49049913677387902</v>
      </c>
      <c r="U61">
        <v>0.74912850116933904</v>
      </c>
      <c r="V61">
        <v>0.697104154265071</v>
      </c>
      <c r="W61">
        <v>0.90171887030377995</v>
      </c>
      <c r="X61">
        <v>0.49168147155629299</v>
      </c>
      <c r="Y61">
        <v>0.52995092159463497</v>
      </c>
      <c r="Z61">
        <v>0.38898697431045298</v>
      </c>
      <c r="AA61">
        <v>0.435295524625467</v>
      </c>
      <c r="AB61">
        <v>0.56202919576264199</v>
      </c>
      <c r="AC61">
        <v>0.37446563024136698</v>
      </c>
      <c r="AD61">
        <v>0.23842669394122201</v>
      </c>
      <c r="AE61">
        <v>0.35692609184781798</v>
      </c>
      <c r="AF61">
        <f t="shared" si="0"/>
        <v>0.2863294216419276</v>
      </c>
    </row>
    <row r="62" spans="1:32" x14ac:dyDescent="0.3">
      <c r="A62" t="s">
        <v>496</v>
      </c>
      <c r="B62" s="1" t="s">
        <v>497</v>
      </c>
      <c r="C62" t="s">
        <v>130</v>
      </c>
      <c r="D62" s="1" t="s">
        <v>131</v>
      </c>
      <c r="E62">
        <v>0.1894052870781</v>
      </c>
      <c r="F62">
        <v>0.15752809572495399</v>
      </c>
      <c r="G62">
        <v>0.160086250604738</v>
      </c>
      <c r="H62">
        <v>1.6034023787624401E-2</v>
      </c>
      <c r="I62">
        <v>1.96126156772976E-2</v>
      </c>
      <c r="J62">
        <v>0.17667448736441699</v>
      </c>
      <c r="K62">
        <v>0.39641059331328798</v>
      </c>
      <c r="L62">
        <v>0.24127144595160099</v>
      </c>
      <c r="M62">
        <v>0.21475315514256399</v>
      </c>
      <c r="N62">
        <v>0.15923424141218301</v>
      </c>
      <c r="O62">
        <v>0.12906463895285999</v>
      </c>
      <c r="P62">
        <v>0.30477083607539901</v>
      </c>
      <c r="Q62">
        <v>0.34582493687885502</v>
      </c>
      <c r="R62">
        <v>0.44976218579955202</v>
      </c>
      <c r="S62">
        <v>0.33710400794304801</v>
      </c>
      <c r="T62">
        <v>0.42324892094600203</v>
      </c>
      <c r="U62">
        <v>0.59001989600399496</v>
      </c>
      <c r="V62">
        <v>0.559782333488413</v>
      </c>
      <c r="W62">
        <v>0.43574126375370298</v>
      </c>
      <c r="X62">
        <v>0.28999741375772797</v>
      </c>
      <c r="Y62">
        <v>0.26753306909035302</v>
      </c>
      <c r="Z62">
        <v>0.13319397641326799</v>
      </c>
      <c r="AA62">
        <v>0.156560711183931</v>
      </c>
      <c r="AB62">
        <v>0.197945973157546</v>
      </c>
      <c r="AC62">
        <v>0.10187729959418899</v>
      </c>
      <c r="AD62">
        <v>4.5451809002475502E-2</v>
      </c>
      <c r="AE62">
        <v>0.18319553514078599</v>
      </c>
      <c r="AF62">
        <f t="shared" si="0"/>
        <v>0.24748462974958782</v>
      </c>
    </row>
    <row r="63" spans="1:32" x14ac:dyDescent="0.3">
      <c r="A63" t="s">
        <v>496</v>
      </c>
      <c r="B63" s="1" t="s">
        <v>497</v>
      </c>
      <c r="C63" t="s">
        <v>44</v>
      </c>
      <c r="D63" s="1" t="s">
        <v>45</v>
      </c>
      <c r="E63">
        <v>0.206519283558313</v>
      </c>
      <c r="F63">
        <v>0.15973420545636399</v>
      </c>
      <c r="G63">
        <v>0.15856617838002801</v>
      </c>
      <c r="H63">
        <v>0.13644118855776599</v>
      </c>
      <c r="I63">
        <v>0.16142882603953601</v>
      </c>
      <c r="J63">
        <v>0.196300643661974</v>
      </c>
      <c r="K63">
        <v>0.21059410700738801</v>
      </c>
      <c r="L63">
        <v>0.13190039098922399</v>
      </c>
      <c r="M63">
        <v>0.13511355261619101</v>
      </c>
      <c r="N63">
        <v>0.123797564311738</v>
      </c>
      <c r="O63">
        <v>3.6707783448398201E-2</v>
      </c>
      <c r="P63">
        <v>8.0148586529075194E-2</v>
      </c>
      <c r="Q63">
        <v>7.5690352036518999E-2</v>
      </c>
      <c r="R63">
        <v>5.6635877907658901E-2</v>
      </c>
      <c r="S63">
        <v>6.1919488347892203E-2</v>
      </c>
      <c r="T63">
        <v>6.3342463080930306E-2</v>
      </c>
      <c r="U63">
        <v>7.0481597765254103E-2</v>
      </c>
      <c r="V63">
        <v>6.46914683950498E-2</v>
      </c>
      <c r="W63">
        <v>6.8998447457045101E-2</v>
      </c>
      <c r="X63">
        <v>5.0898085393827397E-2</v>
      </c>
      <c r="Y63">
        <v>6.0440560596901498E-2</v>
      </c>
      <c r="Z63">
        <v>0.15876631598397201</v>
      </c>
      <c r="AA63">
        <v>0.47616201040745199</v>
      </c>
      <c r="AB63">
        <v>0.74554243174424994</v>
      </c>
      <c r="AC63">
        <v>0.81408385064577105</v>
      </c>
      <c r="AD63">
        <v>0.87675838388587102</v>
      </c>
      <c r="AE63">
        <v>1.0123490605463801</v>
      </c>
      <c r="AF63">
        <f t="shared" si="0"/>
        <v>0.23681528536113963</v>
      </c>
    </row>
    <row r="64" spans="1:32" x14ac:dyDescent="0.3">
      <c r="A64" t="s">
        <v>496</v>
      </c>
      <c r="B64" s="1" t="s">
        <v>497</v>
      </c>
      <c r="C64" t="s">
        <v>446</v>
      </c>
      <c r="D64" s="1" t="s">
        <v>447</v>
      </c>
      <c r="E64">
        <v>0.15658298423987399</v>
      </c>
      <c r="F64">
        <v>0.301639931615311</v>
      </c>
      <c r="G64">
        <v>0.32197109812772401</v>
      </c>
      <c r="H64">
        <v>0.211303030343375</v>
      </c>
      <c r="I64">
        <v>0.25338309838657003</v>
      </c>
      <c r="J64">
        <v>0.579475920941945</v>
      </c>
      <c r="K64">
        <v>0.466751378646037</v>
      </c>
      <c r="L64">
        <v>0.30275561948671598</v>
      </c>
      <c r="M64">
        <v>0.61279229053916795</v>
      </c>
      <c r="N64">
        <v>0.56951128709041099</v>
      </c>
      <c r="O64">
        <v>0.797236904730241</v>
      </c>
      <c r="P64">
        <v>0.38251345418069199</v>
      </c>
      <c r="Q64">
        <v>0.33935115579380498</v>
      </c>
      <c r="R64">
        <v>0.55154073248989199</v>
      </c>
      <c r="S64">
        <v>4.50657683061133E-2</v>
      </c>
      <c r="T64">
        <v>0</v>
      </c>
      <c r="U64">
        <v>0</v>
      </c>
      <c r="V64">
        <v>0</v>
      </c>
      <c r="W64">
        <v>0</v>
      </c>
      <c r="X64">
        <v>5.23192680969993E-2</v>
      </c>
      <c r="Y64">
        <v>0</v>
      </c>
      <c r="Z64">
        <v>0</v>
      </c>
      <c r="AA64">
        <v>0</v>
      </c>
      <c r="AB64">
        <v>8.1892582391436802E-3</v>
      </c>
      <c r="AC64">
        <v>0</v>
      </c>
      <c r="AD64">
        <v>0</v>
      </c>
      <c r="AE64">
        <v>0.36320772174891802</v>
      </c>
      <c r="AF64">
        <f t="shared" si="0"/>
        <v>0.23391077418529388</v>
      </c>
    </row>
    <row r="65" spans="1:32" x14ac:dyDescent="0.3">
      <c r="A65" t="s">
        <v>496</v>
      </c>
      <c r="B65" s="1" t="s">
        <v>497</v>
      </c>
      <c r="C65" t="s">
        <v>128</v>
      </c>
      <c r="D65" s="1" t="s">
        <v>129</v>
      </c>
      <c r="E65">
        <v>6.9778311120424503E-3</v>
      </c>
      <c r="F65">
        <v>5.7943590885745799E-2</v>
      </c>
      <c r="G65">
        <v>4.1147500438525601E-2</v>
      </c>
      <c r="H65">
        <v>5.4959817290706099E-2</v>
      </c>
      <c r="I65">
        <v>0.108854679545715</v>
      </c>
      <c r="J65">
        <v>0.21648578432123999</v>
      </c>
      <c r="K65">
        <v>0.26818361217426301</v>
      </c>
      <c r="L65">
        <v>0.19121192252012401</v>
      </c>
      <c r="M65">
        <v>0.16140927438609901</v>
      </c>
      <c r="N65">
        <v>0.17381997081671499</v>
      </c>
      <c r="O65">
        <v>0.12621419261976499</v>
      </c>
      <c r="P65">
        <v>0.40701204223987603</v>
      </c>
      <c r="Q65">
        <v>0.27448730647277803</v>
      </c>
      <c r="R65">
        <v>0.30739569317829202</v>
      </c>
      <c r="S65">
        <v>0.24531458194948599</v>
      </c>
      <c r="T65">
        <v>0.28347578678577701</v>
      </c>
      <c r="U65">
        <v>0.36296553263835901</v>
      </c>
      <c r="V65">
        <v>0.393227820298858</v>
      </c>
      <c r="W65">
        <v>0.32041142498729103</v>
      </c>
      <c r="X65">
        <v>0.319671081972001</v>
      </c>
      <c r="Y65">
        <v>0.26132277444497698</v>
      </c>
      <c r="Z65">
        <v>0.17868187373858099</v>
      </c>
      <c r="AA65">
        <v>0.186969561218541</v>
      </c>
      <c r="AB65">
        <v>0.253454611297185</v>
      </c>
      <c r="AC65">
        <v>0.218403089389861</v>
      </c>
      <c r="AD65">
        <v>0.177485744990039</v>
      </c>
      <c r="AE65">
        <v>0.30935315523936602</v>
      </c>
      <c r="AF65">
        <f t="shared" si="0"/>
        <v>0.21877186136860041</v>
      </c>
    </row>
    <row r="66" spans="1:32" x14ac:dyDescent="0.3">
      <c r="A66" t="s">
        <v>496</v>
      </c>
      <c r="B66" s="1" t="s">
        <v>497</v>
      </c>
      <c r="C66" t="s">
        <v>342</v>
      </c>
      <c r="D66" s="1" t="s">
        <v>343</v>
      </c>
      <c r="E66">
        <v>1.6347911144339099E-2</v>
      </c>
      <c r="F66">
        <v>1.7027041557399699E-2</v>
      </c>
      <c r="G66">
        <v>3.9786832517811899E-3</v>
      </c>
      <c r="H66">
        <v>5.4704571321185199E-3</v>
      </c>
      <c r="I66">
        <v>8.7907266811201694E-3</v>
      </c>
      <c r="J66">
        <v>1.28404214528288E-2</v>
      </c>
      <c r="K66">
        <v>1.3661852654852299E-2</v>
      </c>
      <c r="L66">
        <v>1.2052948861355601E-2</v>
      </c>
      <c r="M66">
        <v>1.01218305766864E-2</v>
      </c>
      <c r="N66">
        <v>1.4819540128033999E-2</v>
      </c>
      <c r="O66">
        <v>4.55535327521676E-2</v>
      </c>
      <c r="P66">
        <v>6.2032537653521798E-2</v>
      </c>
      <c r="Q66">
        <v>9.69856042215098E-2</v>
      </c>
      <c r="R66">
        <v>0.125348633260744</v>
      </c>
      <c r="S66">
        <v>0.130444390715236</v>
      </c>
      <c r="T66">
        <v>0.15743323606811399</v>
      </c>
      <c r="U66">
        <v>0.47607012128038001</v>
      </c>
      <c r="V66">
        <v>0.46893574980625502</v>
      </c>
      <c r="W66">
        <v>0.50461378304834603</v>
      </c>
      <c r="X66">
        <v>0.482495638298715</v>
      </c>
      <c r="Y66">
        <v>0.25276738754992401</v>
      </c>
      <c r="Z66">
        <v>0.119359528240305</v>
      </c>
      <c r="AA66">
        <v>0.134357001744173</v>
      </c>
      <c r="AB66">
        <v>0.29782424975866101</v>
      </c>
      <c r="AC66">
        <v>0.32518050531984199</v>
      </c>
      <c r="AD66">
        <v>0.178951972137191</v>
      </c>
      <c r="AE66">
        <v>0.258002993482149</v>
      </c>
      <c r="AF66">
        <f t="shared" ref="AF66:AF129" si="1">IFERROR(AVERAGE(E66:AE66),"NA")</f>
        <v>0.15672104736213888</v>
      </c>
    </row>
    <row r="67" spans="1:32" x14ac:dyDescent="0.3">
      <c r="A67" t="s">
        <v>496</v>
      </c>
      <c r="B67" s="1" t="s">
        <v>497</v>
      </c>
      <c r="C67" t="s">
        <v>140</v>
      </c>
      <c r="D67" s="1" t="s">
        <v>141</v>
      </c>
      <c r="E67">
        <v>7.65641753446272E-2</v>
      </c>
      <c r="F67">
        <v>8.8267119390840296E-2</v>
      </c>
      <c r="G67">
        <v>0.12739465483524101</v>
      </c>
      <c r="H67">
        <v>1.58110767882132E-2</v>
      </c>
      <c r="I67">
        <v>1.5777247225321801E-2</v>
      </c>
      <c r="J67">
        <v>0.122725555837185</v>
      </c>
      <c r="K67">
        <v>0.26723520634242098</v>
      </c>
      <c r="L67">
        <v>0.18661106349341999</v>
      </c>
      <c r="M67">
        <v>0.15791182172375001</v>
      </c>
      <c r="N67">
        <v>0.142752210617765</v>
      </c>
      <c r="O67">
        <v>0.12764127862201199</v>
      </c>
      <c r="P67">
        <v>0.26476481017211001</v>
      </c>
      <c r="Q67">
        <v>0.21471801912717101</v>
      </c>
      <c r="R67">
        <v>0.38397196879941498</v>
      </c>
      <c r="S67">
        <v>0.24866631252568999</v>
      </c>
      <c r="T67">
        <v>0.217594784657197</v>
      </c>
      <c r="U67">
        <v>0.25085110460028698</v>
      </c>
      <c r="V67">
        <v>0.24190640183369799</v>
      </c>
      <c r="W67">
        <v>0.18763086726279599</v>
      </c>
      <c r="X67">
        <v>0.126066308813821</v>
      </c>
      <c r="Y67">
        <v>0.108895890420425</v>
      </c>
      <c r="Z67">
        <v>6.1304260324262803E-2</v>
      </c>
      <c r="AA67">
        <v>8.6097764293086299E-2</v>
      </c>
      <c r="AB67">
        <v>0.109349577406559</v>
      </c>
      <c r="AC67">
        <v>5.8369979328161702E-2</v>
      </c>
      <c r="AD67">
        <v>1.21535304658443E-2</v>
      </c>
      <c r="AE67">
        <v>5.5105131290626601E-2</v>
      </c>
      <c r="AF67">
        <f t="shared" si="1"/>
        <v>0.14652363413118319</v>
      </c>
    </row>
    <row r="68" spans="1:32" x14ac:dyDescent="0.3">
      <c r="A68" t="s">
        <v>496</v>
      </c>
      <c r="B68" s="1" t="s">
        <v>497</v>
      </c>
      <c r="C68" t="s">
        <v>444</v>
      </c>
      <c r="D68" s="1" t="s">
        <v>445</v>
      </c>
      <c r="E68">
        <v>0.13682766412971001</v>
      </c>
      <c r="F68">
        <v>0.14857166391128901</v>
      </c>
      <c r="G68">
        <v>0.13966235450998399</v>
      </c>
      <c r="H68">
        <v>1.78393478053867E-2</v>
      </c>
      <c r="I68">
        <v>1.89209042663947E-2</v>
      </c>
      <c r="J68">
        <v>0.143159542076019</v>
      </c>
      <c r="K68">
        <v>0.297829106442769</v>
      </c>
      <c r="L68">
        <v>0.20600658750217199</v>
      </c>
      <c r="M68">
        <v>0.19369481225478699</v>
      </c>
      <c r="N68">
        <v>0.137032225524508</v>
      </c>
      <c r="O68">
        <v>0.101098531314747</v>
      </c>
      <c r="P68">
        <v>0.19166734077389999</v>
      </c>
      <c r="Q68">
        <v>0.157083452753946</v>
      </c>
      <c r="R68">
        <v>0.29060434220701498</v>
      </c>
      <c r="S68">
        <v>0.21024175622231001</v>
      </c>
      <c r="T68">
        <v>0.18544470651581599</v>
      </c>
      <c r="U68">
        <v>0.21217311952712001</v>
      </c>
      <c r="V68">
        <v>0.18879551551829399</v>
      </c>
      <c r="W68">
        <v>0.168648172977962</v>
      </c>
      <c r="X68">
        <v>0.107032122022792</v>
      </c>
      <c r="Y68">
        <v>8.8790027274992606E-2</v>
      </c>
      <c r="Z68">
        <v>5.91498968196775E-2</v>
      </c>
      <c r="AA68">
        <v>8.3497612888510805E-2</v>
      </c>
      <c r="AB68">
        <v>0.121001218593834</v>
      </c>
      <c r="AC68">
        <v>8.1411949454467197E-2</v>
      </c>
      <c r="AD68">
        <v>4.2695323620856797E-2</v>
      </c>
      <c r="AE68">
        <v>0.17132192243205099</v>
      </c>
      <c r="AF68">
        <f t="shared" si="1"/>
        <v>0.14445189701264113</v>
      </c>
    </row>
    <row r="69" spans="1:32" x14ac:dyDescent="0.3">
      <c r="A69" t="s">
        <v>496</v>
      </c>
      <c r="B69" s="1" t="s">
        <v>497</v>
      </c>
      <c r="C69" t="s">
        <v>174</v>
      </c>
      <c r="D69" s="1" t="s">
        <v>175</v>
      </c>
      <c r="E69">
        <v>5.6681158733968097E-2</v>
      </c>
      <c r="F69">
        <v>4.8458660271302502E-2</v>
      </c>
      <c r="G69">
        <v>5.2987124166338703E-2</v>
      </c>
      <c r="H69">
        <v>4.2438891585003198E-2</v>
      </c>
      <c r="I69">
        <v>4.7276379789152403E-2</v>
      </c>
      <c r="J69">
        <v>7.7276234097576196E-2</v>
      </c>
      <c r="K69">
        <v>9.2765449223409999E-2</v>
      </c>
      <c r="L69">
        <v>8.6664465050196093E-2</v>
      </c>
      <c r="M69">
        <v>8.2701489069391898E-2</v>
      </c>
      <c r="N69">
        <v>7.1282162957337997E-2</v>
      </c>
      <c r="O69">
        <v>3.2618629956540003E-2</v>
      </c>
      <c r="P69">
        <v>9.2109567217082605E-2</v>
      </c>
      <c r="Q69">
        <v>7.9223013939013098E-2</v>
      </c>
      <c r="R69">
        <v>8.7997793435738395E-2</v>
      </c>
      <c r="S69">
        <v>0.12811197035972299</v>
      </c>
      <c r="T69">
        <v>0.16003117639106601</v>
      </c>
      <c r="U69">
        <v>0.209107750132104</v>
      </c>
      <c r="V69">
        <v>0.235863079960661</v>
      </c>
      <c r="W69">
        <v>0.21205622538128999</v>
      </c>
      <c r="X69">
        <v>0.28683207998120602</v>
      </c>
      <c r="Y69">
        <v>0.25972757916170802</v>
      </c>
      <c r="Z69">
        <v>0.180381369327729</v>
      </c>
      <c r="AA69">
        <v>0.183250931989039</v>
      </c>
      <c r="AB69">
        <v>0.24918539598887801</v>
      </c>
      <c r="AC69">
        <v>0.24178434717823</v>
      </c>
      <c r="AD69">
        <v>0.21034922387774699</v>
      </c>
      <c r="AE69">
        <v>0.26852452512284303</v>
      </c>
      <c r="AF69">
        <f t="shared" si="1"/>
        <v>0.13984024719793611</v>
      </c>
    </row>
    <row r="70" spans="1:32" x14ac:dyDescent="0.3">
      <c r="A70" t="s">
        <v>496</v>
      </c>
      <c r="B70" s="1" t="s">
        <v>497</v>
      </c>
      <c r="C70" t="s">
        <v>208</v>
      </c>
      <c r="D70" s="1" t="s">
        <v>209</v>
      </c>
      <c r="E70">
        <v>0.24579446464935401</v>
      </c>
      <c r="F70">
        <v>0.22374127913163999</v>
      </c>
      <c r="G70">
        <v>0.22284218728269001</v>
      </c>
      <c r="H70">
        <v>2.4929407323458299E-2</v>
      </c>
      <c r="I70">
        <v>2.1376333276253299E-2</v>
      </c>
      <c r="J70">
        <v>0.14248753439244399</v>
      </c>
      <c r="K70">
        <v>0.26738800345229102</v>
      </c>
      <c r="L70">
        <v>0.15276121542954299</v>
      </c>
      <c r="M70">
        <v>0.12814922681292801</v>
      </c>
      <c r="N70">
        <v>9.6054526810560301E-2</v>
      </c>
      <c r="O70">
        <v>7.4060599154840701E-2</v>
      </c>
      <c r="P70">
        <v>0.165374759201741</v>
      </c>
      <c r="Q70">
        <v>0.11862185263840801</v>
      </c>
      <c r="R70">
        <v>0.19062178582944</v>
      </c>
      <c r="S70">
        <v>0.185291348587861</v>
      </c>
      <c r="T70">
        <v>0.16134175688386301</v>
      </c>
      <c r="U70">
        <v>0.21834050970152799</v>
      </c>
      <c r="V70">
        <v>0.21055429329623401</v>
      </c>
      <c r="W70">
        <v>0.17135553398043299</v>
      </c>
      <c r="X70">
        <v>0.109591060858095</v>
      </c>
      <c r="Y70">
        <v>8.6985311642498606E-2</v>
      </c>
      <c r="Z70">
        <v>5.2602225162331803E-2</v>
      </c>
      <c r="AA70">
        <v>6.4792631297223902E-2</v>
      </c>
      <c r="AB70">
        <v>9.6265037994342897E-2</v>
      </c>
      <c r="AC70">
        <v>5.9255031244802303E-2</v>
      </c>
      <c r="AD70">
        <v>3.0450762168019702E-2</v>
      </c>
      <c r="AE70">
        <v>0.130992934287711</v>
      </c>
      <c r="AF70">
        <f t="shared" si="1"/>
        <v>0.13526005972187172</v>
      </c>
    </row>
    <row r="71" spans="1:32" x14ac:dyDescent="0.3">
      <c r="A71" t="s">
        <v>496</v>
      </c>
      <c r="B71" s="1" t="s">
        <v>497</v>
      </c>
      <c r="C71" t="s">
        <v>288</v>
      </c>
      <c r="D71" s="1" t="s">
        <v>289</v>
      </c>
      <c r="E71">
        <v>6.9034214647322997E-2</v>
      </c>
      <c r="F71">
        <v>7.0416169468436998E-2</v>
      </c>
      <c r="G71">
        <v>6.3333826496171697E-2</v>
      </c>
      <c r="H71">
        <v>4.9644322760301299E-2</v>
      </c>
      <c r="I71">
        <v>6.4072214671325997E-2</v>
      </c>
      <c r="J71">
        <v>0.101366224193813</v>
      </c>
      <c r="K71">
        <v>9.2210741425137299E-2</v>
      </c>
      <c r="L71">
        <v>7.2573042983213903E-2</v>
      </c>
      <c r="M71">
        <v>6.1433322594813398E-2</v>
      </c>
      <c r="N71">
        <v>6.0335804551113897E-2</v>
      </c>
      <c r="O71">
        <v>0.10704037338379201</v>
      </c>
      <c r="P71">
        <v>0.15048054948706499</v>
      </c>
      <c r="Q71">
        <v>0.17782260039263401</v>
      </c>
      <c r="R71">
        <v>0.187206346731322</v>
      </c>
      <c r="S71">
        <v>0.30107199117970401</v>
      </c>
      <c r="T71">
        <v>0.152145470781719</v>
      </c>
      <c r="U71">
        <v>0.29135206727517299</v>
      </c>
      <c r="V71">
        <v>0.29231269862702203</v>
      </c>
      <c r="W71">
        <v>0.29465551243413901</v>
      </c>
      <c r="X71">
        <v>0.25332776530161399</v>
      </c>
      <c r="Y71">
        <v>0.13096977234506299</v>
      </c>
      <c r="Z71">
        <v>5.5528661581485901E-2</v>
      </c>
      <c r="AA71">
        <v>5.9455953508547599E-2</v>
      </c>
      <c r="AB71">
        <v>0.12030187391352599</v>
      </c>
      <c r="AC71">
        <v>0.117422243869392</v>
      </c>
      <c r="AD71">
        <v>7.0065649005230907E-2</v>
      </c>
      <c r="AE71">
        <v>9.0961389413600005E-2</v>
      </c>
      <c r="AF71">
        <f t="shared" si="1"/>
        <v>0.13172373344528443</v>
      </c>
    </row>
    <row r="72" spans="1:32" x14ac:dyDescent="0.3">
      <c r="A72" t="s">
        <v>496</v>
      </c>
      <c r="B72" s="1" t="s">
        <v>497</v>
      </c>
      <c r="C72" t="s">
        <v>118</v>
      </c>
      <c r="D72" s="1" t="s">
        <v>119</v>
      </c>
      <c r="E72">
        <v>4.6097404730729298E-2</v>
      </c>
      <c r="F72">
        <v>4.7316113741942098E-2</v>
      </c>
      <c r="G72">
        <v>5.3955297763406899E-2</v>
      </c>
      <c r="H72">
        <v>4.70901919207675E-2</v>
      </c>
      <c r="I72">
        <v>6.4673624416215006E-2</v>
      </c>
      <c r="J72">
        <v>0.111515277869386</v>
      </c>
      <c r="K72">
        <v>0.119128827948719</v>
      </c>
      <c r="L72">
        <v>9.43543415243117E-2</v>
      </c>
      <c r="M72">
        <v>7.3563023814387396E-2</v>
      </c>
      <c r="N72">
        <v>6.2499705943902903E-2</v>
      </c>
      <c r="O72">
        <v>0.100445843787992</v>
      </c>
      <c r="P72">
        <v>0.13800373674098301</v>
      </c>
      <c r="Q72">
        <v>0.137520220909257</v>
      </c>
      <c r="R72">
        <v>0.15384659407065401</v>
      </c>
      <c r="S72">
        <v>0.205016544784415</v>
      </c>
      <c r="T72">
        <v>0.126227349398466</v>
      </c>
      <c r="U72">
        <v>0.23552855258262501</v>
      </c>
      <c r="V72">
        <v>0.24519996223655099</v>
      </c>
      <c r="W72">
        <v>0.27873333434136999</v>
      </c>
      <c r="X72">
        <v>0.24986814133871699</v>
      </c>
      <c r="Y72">
        <v>0.15426880191641301</v>
      </c>
      <c r="Z72">
        <v>6.2515867528294702E-2</v>
      </c>
      <c r="AA72">
        <v>7.4013462605043795E-2</v>
      </c>
      <c r="AB72">
        <v>0.17448137567123201</v>
      </c>
      <c r="AC72">
        <v>0.19571942392748001</v>
      </c>
      <c r="AD72">
        <v>0.124980430688447</v>
      </c>
      <c r="AE72">
        <v>0.17598827218792501</v>
      </c>
      <c r="AF72">
        <f t="shared" si="1"/>
        <v>0.13157598979220864</v>
      </c>
    </row>
    <row r="73" spans="1:32" x14ac:dyDescent="0.3">
      <c r="A73" t="s">
        <v>496</v>
      </c>
      <c r="B73" s="1" t="s">
        <v>497</v>
      </c>
      <c r="C73" t="s">
        <v>116</v>
      </c>
      <c r="D73" s="1" t="s">
        <v>117</v>
      </c>
      <c r="E73">
        <v>0.100748559616033</v>
      </c>
      <c r="F73">
        <v>0.11848025821498</v>
      </c>
      <c r="G73">
        <v>0.123887552681035</v>
      </c>
      <c r="H73">
        <v>8.5785299510441199E-2</v>
      </c>
      <c r="I73">
        <v>9.6294451971073697E-2</v>
      </c>
      <c r="J73">
        <v>0.14650852993033001</v>
      </c>
      <c r="K73">
        <v>0.134243959482196</v>
      </c>
      <c r="L73">
        <v>0.114450402325318</v>
      </c>
      <c r="M73">
        <v>0.134315827720248</v>
      </c>
      <c r="N73">
        <v>0.156262243265364</v>
      </c>
      <c r="O73">
        <v>0.164824325904146</v>
      </c>
      <c r="P73">
        <v>0.14253478675602799</v>
      </c>
      <c r="Q73">
        <v>0.12553952236384799</v>
      </c>
      <c r="R73">
        <v>0.11761093216096299</v>
      </c>
      <c r="S73">
        <v>0.11303728959797001</v>
      </c>
      <c r="T73">
        <v>0.114498931303681</v>
      </c>
      <c r="U73">
        <v>0.11127216547737501</v>
      </c>
      <c r="V73">
        <v>0.10149666009128699</v>
      </c>
      <c r="W73">
        <v>9.4145476679349596E-2</v>
      </c>
      <c r="X73">
        <v>0.12569859746544901</v>
      </c>
      <c r="Y73">
        <v>0.13479585099095401</v>
      </c>
      <c r="Z73">
        <v>0.10484353170925199</v>
      </c>
      <c r="AA73">
        <v>0.106612708521095</v>
      </c>
      <c r="AB73">
        <v>0.15329537235955101</v>
      </c>
      <c r="AC73">
        <v>0.160723457303557</v>
      </c>
      <c r="AD73">
        <v>0.135539849767672</v>
      </c>
      <c r="AE73">
        <v>0.21052460438099299</v>
      </c>
      <c r="AF73">
        <f t="shared" si="1"/>
        <v>0.12696189435371075</v>
      </c>
    </row>
    <row r="74" spans="1:32" x14ac:dyDescent="0.3">
      <c r="A74" t="s">
        <v>496</v>
      </c>
      <c r="B74" s="1" t="s">
        <v>497</v>
      </c>
      <c r="C74" t="s">
        <v>212</v>
      </c>
      <c r="D74" s="1" t="s">
        <v>213</v>
      </c>
      <c r="E74">
        <v>8.9499415436711E-2</v>
      </c>
      <c r="F74">
        <v>9.7258477401540297E-2</v>
      </c>
      <c r="G74">
        <v>8.9268237257661698E-2</v>
      </c>
      <c r="H74">
        <v>0.10469366755713</v>
      </c>
      <c r="I74">
        <v>0.121431810155186</v>
      </c>
      <c r="J74">
        <v>0.17490828783323301</v>
      </c>
      <c r="K74">
        <v>0.15302460449569</v>
      </c>
      <c r="L74">
        <v>0.22857572756564301</v>
      </c>
      <c r="M74">
        <v>0.212533349770852</v>
      </c>
      <c r="N74">
        <v>0.20388943610698301</v>
      </c>
      <c r="O74">
        <v>0.22062660302534301</v>
      </c>
      <c r="P74">
        <v>0.19861065757539401</v>
      </c>
      <c r="Q74">
        <v>9.8881256941862394E-2</v>
      </c>
      <c r="R74">
        <v>0.10082473638528699</v>
      </c>
      <c r="S74">
        <v>0.139884600408234</v>
      </c>
      <c r="T74">
        <v>0.158053469617224</v>
      </c>
      <c r="U74">
        <v>0.17141033888545601</v>
      </c>
      <c r="V74">
        <v>0.150297037032533</v>
      </c>
      <c r="W74">
        <v>9.3506506583416499E-2</v>
      </c>
      <c r="X74">
        <v>8.4463854707062705E-2</v>
      </c>
      <c r="Y74">
        <v>6.8919634393216203E-2</v>
      </c>
      <c r="Z74">
        <v>6.0761643018719801E-2</v>
      </c>
      <c r="AA74">
        <v>6.1644420797450701E-2</v>
      </c>
      <c r="AB74">
        <v>6.6023891258739198E-2</v>
      </c>
      <c r="AC74">
        <v>7.0225686435030105E-2</v>
      </c>
      <c r="AD74">
        <v>6.7514293082625507E-2</v>
      </c>
      <c r="AE74">
        <v>7.7493709173281203E-2</v>
      </c>
      <c r="AF74">
        <f t="shared" si="1"/>
        <v>0.12460093899635206</v>
      </c>
    </row>
    <row r="75" spans="1:32" x14ac:dyDescent="0.3">
      <c r="A75" t="s">
        <v>496</v>
      </c>
      <c r="B75" s="1" t="s">
        <v>497</v>
      </c>
      <c r="C75" t="s">
        <v>344</v>
      </c>
      <c r="D75" s="1" t="s">
        <v>345</v>
      </c>
      <c r="E75">
        <v>2.7794029584679998E-4</v>
      </c>
      <c r="F75">
        <v>4.8969339250652503E-4</v>
      </c>
      <c r="G75">
        <v>3.1092931932811602E-4</v>
      </c>
      <c r="H75">
        <v>4.8258207710374701E-4</v>
      </c>
      <c r="I75">
        <v>3.5518481251200302E-4</v>
      </c>
      <c r="J75">
        <v>8.4074110302084901E-4</v>
      </c>
      <c r="K75">
        <v>1.0701994017026401E-2</v>
      </c>
      <c r="L75">
        <v>0.109402120912428</v>
      </c>
      <c r="M75">
        <v>0.20363742705430601</v>
      </c>
      <c r="N75">
        <v>0.19866438695260399</v>
      </c>
      <c r="O75">
        <v>0.23430544603616199</v>
      </c>
      <c r="P75">
        <v>0.164000003440187</v>
      </c>
      <c r="Q75">
        <v>0.15445425423489201</v>
      </c>
      <c r="R75">
        <v>0.154156135874608</v>
      </c>
      <c r="S75">
        <v>0.15433605486301499</v>
      </c>
      <c r="T75">
        <v>0.135702232896107</v>
      </c>
      <c r="U75">
        <v>0.14480687490611599</v>
      </c>
      <c r="V75">
        <v>0.119117794440186</v>
      </c>
      <c r="W75">
        <v>9.9080569118998305E-2</v>
      </c>
      <c r="X75">
        <v>0.131768950998499</v>
      </c>
      <c r="Y75">
        <v>0.13169808513132999</v>
      </c>
      <c r="Z75">
        <v>0.10602405844168999</v>
      </c>
      <c r="AA75">
        <v>0.105639145946104</v>
      </c>
      <c r="AB75">
        <v>0.16636470875993201</v>
      </c>
      <c r="AC75">
        <v>0.15319327561371601</v>
      </c>
      <c r="AD75">
        <v>0.115070223869134</v>
      </c>
      <c r="AE75">
        <v>0.15609911014351099</v>
      </c>
      <c r="AF75">
        <f t="shared" si="1"/>
        <v>0.10929555276484704</v>
      </c>
    </row>
    <row r="76" spans="1:32" x14ac:dyDescent="0.3">
      <c r="A76" t="s">
        <v>496</v>
      </c>
      <c r="B76" s="1" t="s">
        <v>497</v>
      </c>
      <c r="C76" t="s">
        <v>224</v>
      </c>
      <c r="D76" s="1" t="s">
        <v>225</v>
      </c>
      <c r="E76">
        <v>7.3265325334352497E-4</v>
      </c>
      <c r="F76">
        <v>4.6401446708434099E-4</v>
      </c>
      <c r="G76">
        <v>5.0323995666857904E-4</v>
      </c>
      <c r="H76">
        <v>3.2969934905168E-4</v>
      </c>
      <c r="I76">
        <v>2.7475206360689602E-4</v>
      </c>
      <c r="J76">
        <v>2.9815222454105999E-4</v>
      </c>
      <c r="K76">
        <v>3.3803297426527099E-4</v>
      </c>
      <c r="L76">
        <v>2.8645925257450501E-4</v>
      </c>
      <c r="M76">
        <v>2.6321357697185299E-4</v>
      </c>
      <c r="N76">
        <v>3.4935428499611398E-2</v>
      </c>
      <c r="O76">
        <v>5.89531000944453E-2</v>
      </c>
      <c r="P76">
        <v>8.7137220892047895E-2</v>
      </c>
      <c r="Q76">
        <v>9.3181360594394802E-2</v>
      </c>
      <c r="R76">
        <v>0.102676351582405</v>
      </c>
      <c r="S76">
        <v>8.4927621419111005E-2</v>
      </c>
      <c r="T76">
        <v>8.5792182474470305E-2</v>
      </c>
      <c r="U76">
        <v>0.128582797004934</v>
      </c>
      <c r="V76">
        <v>7.8700914537255501E-2</v>
      </c>
      <c r="W76">
        <v>0.15738510041277501</v>
      </c>
      <c r="X76">
        <v>0.16666459368117401</v>
      </c>
      <c r="Y76">
        <v>0.14016899964403801</v>
      </c>
      <c r="Z76">
        <v>0.110801914968535</v>
      </c>
      <c r="AA76">
        <v>0.127388100686779</v>
      </c>
      <c r="AB76">
        <v>0.199534286961076</v>
      </c>
      <c r="AC76">
        <v>0.18118934416198099</v>
      </c>
      <c r="AD76">
        <v>0.26459524156727399</v>
      </c>
      <c r="AE76">
        <v>0.429728212550477</v>
      </c>
      <c r="AF76">
        <f t="shared" si="1"/>
        <v>9.3919740327810808E-2</v>
      </c>
    </row>
    <row r="77" spans="1:32" x14ac:dyDescent="0.3">
      <c r="A77" t="s">
        <v>496</v>
      </c>
      <c r="B77" s="1" t="s">
        <v>497</v>
      </c>
      <c r="C77" t="s">
        <v>102</v>
      </c>
      <c r="D77" s="1" t="s">
        <v>103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2.1223957771239099E-3</v>
      </c>
      <c r="P77">
        <v>5.85559949313202E-3</v>
      </c>
      <c r="Q77">
        <v>4.9330640108033201E-3</v>
      </c>
      <c r="R77">
        <v>5.2768354804251204E-3</v>
      </c>
      <c r="S77">
        <v>4.4795666249974296E-3</v>
      </c>
      <c r="T77">
        <v>5.2941498010918797E-2</v>
      </c>
      <c r="U77">
        <v>4.9940575845557E-2</v>
      </c>
      <c r="V77">
        <v>9.5168041832443206E-2</v>
      </c>
      <c r="W77">
        <v>1.46664435256529E-17</v>
      </c>
      <c r="X77">
        <v>0.12230680507488099</v>
      </c>
      <c r="Y77">
        <v>0.10954749194890299</v>
      </c>
      <c r="Z77">
        <v>7.5259562096555002E-2</v>
      </c>
      <c r="AA77">
        <v>9.5552994697752303E-2</v>
      </c>
      <c r="AB77">
        <v>0.35681352097783697</v>
      </c>
      <c r="AC77">
        <v>0.49071048227931002</v>
      </c>
      <c r="AD77">
        <v>0.36129604744119698</v>
      </c>
      <c r="AE77">
        <v>0.58476067139158505</v>
      </c>
      <c r="AF77">
        <f t="shared" si="1"/>
        <v>8.9517227888274861E-2</v>
      </c>
    </row>
    <row r="78" spans="1:32" x14ac:dyDescent="0.3">
      <c r="A78" t="s">
        <v>496</v>
      </c>
      <c r="B78" s="1" t="s">
        <v>497</v>
      </c>
      <c r="C78" t="s">
        <v>416</v>
      </c>
      <c r="D78" s="1" t="s">
        <v>417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2.7493138298740699E-2</v>
      </c>
      <c r="O78">
        <v>4.5883686303052403E-2</v>
      </c>
      <c r="P78">
        <v>0.165461735035215</v>
      </c>
      <c r="Q78">
        <v>0.143202560221599</v>
      </c>
      <c r="R78">
        <v>0.14662424608053801</v>
      </c>
      <c r="S78">
        <v>0.141555701163361</v>
      </c>
      <c r="T78">
        <v>0.16895823029715401</v>
      </c>
      <c r="U78">
        <v>0.14712940510324299</v>
      </c>
      <c r="V78">
        <v>0.1543339847838</v>
      </c>
      <c r="W78">
        <v>0.13965125054084701</v>
      </c>
      <c r="X78">
        <v>0.106190378675112</v>
      </c>
      <c r="Y78">
        <v>9.5818929156557403E-2</v>
      </c>
      <c r="Z78">
        <v>8.2897258737817794E-2</v>
      </c>
      <c r="AA78">
        <v>9.9697302086414696E-2</v>
      </c>
      <c r="AB78">
        <v>0.19778890521145201</v>
      </c>
      <c r="AC78">
        <v>0.18555902665207499</v>
      </c>
      <c r="AD78">
        <v>0.125414392830039</v>
      </c>
      <c r="AE78">
        <v>0.223340416897822</v>
      </c>
      <c r="AF78">
        <f t="shared" si="1"/>
        <v>8.8777798076845924E-2</v>
      </c>
    </row>
    <row r="79" spans="1:32" x14ac:dyDescent="0.3">
      <c r="A79" t="s">
        <v>496</v>
      </c>
      <c r="B79" s="1" t="s">
        <v>497</v>
      </c>
      <c r="C79" t="s">
        <v>370</v>
      </c>
      <c r="D79" s="1" t="s">
        <v>371</v>
      </c>
      <c r="E79">
        <v>0.117146261770044</v>
      </c>
      <c r="F79">
        <v>6.4645102536639701E-2</v>
      </c>
      <c r="G79">
        <v>6.0797538558140699E-2</v>
      </c>
      <c r="H79">
        <v>1.43214237984465E-2</v>
      </c>
      <c r="I79">
        <v>1.01282259290125E-2</v>
      </c>
      <c r="J79">
        <v>0.15567675265081701</v>
      </c>
      <c r="K79">
        <v>0.19458035173107399</v>
      </c>
      <c r="L79">
        <v>6.1402650435894601E-2</v>
      </c>
      <c r="M79">
        <v>4.7125326925894301E-2</v>
      </c>
      <c r="N79">
        <v>3.5093161518800098E-2</v>
      </c>
      <c r="O79">
        <v>3.1836758190406302E-2</v>
      </c>
      <c r="P79">
        <v>6.6666996259881206E-2</v>
      </c>
      <c r="Q79">
        <v>5.24474312654164E-2</v>
      </c>
      <c r="R79">
        <v>7.9739843548928699E-2</v>
      </c>
      <c r="S79">
        <v>6.5618764038525901E-2</v>
      </c>
      <c r="T79">
        <v>6.50552472058194E-2</v>
      </c>
      <c r="U79">
        <v>0.11672834314651399</v>
      </c>
      <c r="V79">
        <v>0.14227150459554599</v>
      </c>
      <c r="W79">
        <v>0.123419277420797</v>
      </c>
      <c r="X79">
        <v>9.1693912049132104E-2</v>
      </c>
      <c r="Y79">
        <v>8.2663006792980998E-2</v>
      </c>
      <c r="Z79">
        <v>4.6441092729241601E-2</v>
      </c>
      <c r="AA79">
        <v>5.5577347520973097E-2</v>
      </c>
      <c r="AB79">
        <v>7.7644878903145101E-2</v>
      </c>
      <c r="AC79">
        <v>4.95486966264631E-2</v>
      </c>
      <c r="AD79">
        <v>2.2781208296057801E-2</v>
      </c>
      <c r="AE79">
        <v>9.7125333270091804E-2</v>
      </c>
      <c r="AF79">
        <f t="shared" si="1"/>
        <v>7.5117645841284608E-2</v>
      </c>
    </row>
    <row r="80" spans="1:32" x14ac:dyDescent="0.3">
      <c r="A80" t="s">
        <v>496</v>
      </c>
      <c r="B80" s="1" t="s">
        <v>497</v>
      </c>
      <c r="C80" t="s">
        <v>232</v>
      </c>
      <c r="D80" s="1" t="s">
        <v>233</v>
      </c>
      <c r="E80">
        <v>0.127703678205661</v>
      </c>
      <c r="F80">
        <v>0.131619732152259</v>
      </c>
      <c r="G80">
        <v>0.14155028414317999</v>
      </c>
      <c r="H80">
        <v>0.122037702446029</v>
      </c>
      <c r="I80">
        <v>0.107510393464204</v>
      </c>
      <c r="J80">
        <v>0.13014192752072301</v>
      </c>
      <c r="K80">
        <v>0.133126604248854</v>
      </c>
      <c r="L80">
        <v>9.7604266127435099E-2</v>
      </c>
      <c r="M80">
        <v>0.10016253005554999</v>
      </c>
      <c r="N80">
        <v>9.7661103961321299E-2</v>
      </c>
      <c r="O80">
        <v>9.3798453952581407E-2</v>
      </c>
      <c r="P80">
        <v>9.1468492563377801E-2</v>
      </c>
      <c r="Q80">
        <v>7.4341746208446899E-2</v>
      </c>
      <c r="R80">
        <v>5.4404965792483599E-2</v>
      </c>
      <c r="S80">
        <v>5.47930139717532E-2</v>
      </c>
      <c r="T80">
        <v>3.8469575693118603E-2</v>
      </c>
      <c r="U80">
        <v>4.4266715396448497E-2</v>
      </c>
      <c r="V80">
        <v>3.8405024272698603E-2</v>
      </c>
      <c r="W80">
        <v>3.3189770266993497E-2</v>
      </c>
      <c r="X80">
        <v>2.5634515329879301E-2</v>
      </c>
      <c r="Y80">
        <v>1.8783618865264799E-2</v>
      </c>
      <c r="Z80">
        <v>1.16876948660108E-2</v>
      </c>
      <c r="AA80">
        <v>1.2998037727263901E-2</v>
      </c>
      <c r="AB80">
        <v>1.8719977574688101E-2</v>
      </c>
      <c r="AC80">
        <v>1.8523774487192099E-2</v>
      </c>
      <c r="AD80">
        <v>2.9087837105724601E-2</v>
      </c>
      <c r="AE80">
        <v>4.3003574436379102E-2</v>
      </c>
      <c r="AF80">
        <f t="shared" si="1"/>
        <v>7.0025741142056314E-2</v>
      </c>
    </row>
    <row r="81" spans="1:32" x14ac:dyDescent="0.3">
      <c r="A81" t="s">
        <v>496</v>
      </c>
      <c r="B81" s="1" t="s">
        <v>497</v>
      </c>
      <c r="C81" t="s">
        <v>346</v>
      </c>
      <c r="D81" s="1" t="s">
        <v>347</v>
      </c>
      <c r="E81">
        <v>6.7100527493571593E-2</v>
      </c>
      <c r="F81">
        <v>5.6824917038515402E-2</v>
      </c>
      <c r="G81">
        <v>6.3076042027964296E-2</v>
      </c>
      <c r="H81">
        <v>7.6147441657696E-3</v>
      </c>
      <c r="I81">
        <v>7.2935061291908698E-3</v>
      </c>
      <c r="J81">
        <v>5.2297164863304699E-2</v>
      </c>
      <c r="K81">
        <v>0.10613923852691499</v>
      </c>
      <c r="L81">
        <v>7.8609031464038803E-2</v>
      </c>
      <c r="M81">
        <v>7.9273225740210604E-2</v>
      </c>
      <c r="N81">
        <v>6.5054014187917397E-2</v>
      </c>
      <c r="O81">
        <v>4.5644763797944202E-2</v>
      </c>
      <c r="P81">
        <v>9.0454576130814895E-2</v>
      </c>
      <c r="Q81">
        <v>7.5347255632465707E-2</v>
      </c>
      <c r="R81">
        <v>0.104042762263623</v>
      </c>
      <c r="S81">
        <v>8.8801952683961696E-2</v>
      </c>
      <c r="T81">
        <v>7.4077659775686394E-2</v>
      </c>
      <c r="U81">
        <v>0.107566552009593</v>
      </c>
      <c r="V81">
        <v>0.121012078064414</v>
      </c>
      <c r="W81">
        <v>0.111601125490911</v>
      </c>
      <c r="X81">
        <v>7.4331786235128497E-2</v>
      </c>
      <c r="Y81">
        <v>6.1392343407840701E-2</v>
      </c>
      <c r="Z81">
        <v>3.5788723769316903E-2</v>
      </c>
      <c r="AA81">
        <v>4.3998021505374497E-2</v>
      </c>
      <c r="AB81">
        <v>6.2071364342842099E-2</v>
      </c>
      <c r="AC81">
        <v>4.2060362109953599E-2</v>
      </c>
      <c r="AD81">
        <v>2.0539100703803201E-2</v>
      </c>
      <c r="AE81">
        <v>0.100227855236231</v>
      </c>
      <c r="AF81">
        <f t="shared" si="1"/>
        <v>6.823113684434455E-2</v>
      </c>
    </row>
    <row r="82" spans="1:32" x14ac:dyDescent="0.3">
      <c r="A82" t="s">
        <v>496</v>
      </c>
      <c r="B82" s="1" t="s">
        <v>497</v>
      </c>
      <c r="C82" t="s">
        <v>414</v>
      </c>
      <c r="D82" s="1" t="s">
        <v>415</v>
      </c>
      <c r="E82">
        <v>6.9862783617506197E-2</v>
      </c>
      <c r="F82">
        <v>6.2787258950744704E-2</v>
      </c>
      <c r="G82">
        <v>9.9684032086475194E-2</v>
      </c>
      <c r="H82">
        <v>1.34157175820725E-2</v>
      </c>
      <c r="I82">
        <v>1.5895776999036399E-2</v>
      </c>
      <c r="J82">
        <v>9.1472985987772301E-2</v>
      </c>
      <c r="K82">
        <v>0.193213990239822</v>
      </c>
      <c r="L82">
        <v>5.3652272475480003E-2</v>
      </c>
      <c r="M82">
        <v>8.8595971766660397E-2</v>
      </c>
      <c r="N82">
        <v>5.7861943503993103E-2</v>
      </c>
      <c r="O82">
        <v>4.5922166573654603E-2</v>
      </c>
      <c r="P82">
        <v>7.3606213556672101E-2</v>
      </c>
      <c r="Q82">
        <v>3.2368940223179002E-2</v>
      </c>
      <c r="R82">
        <v>6.2738171214838503E-2</v>
      </c>
      <c r="S82">
        <v>5.8540962259469399E-2</v>
      </c>
      <c r="T82">
        <v>4.9856903124005002E-2</v>
      </c>
      <c r="U82">
        <v>3.0779033335071902E-2</v>
      </c>
      <c r="V82">
        <v>2.1897440909577601E-2</v>
      </c>
      <c r="W82">
        <v>1.6870038300424699E-2</v>
      </c>
      <c r="X82">
        <v>3.1210224913698001E-2</v>
      </c>
      <c r="Y82">
        <v>1.7590803638646402E-2</v>
      </c>
      <c r="Z82">
        <v>1.4081076342351499E-2</v>
      </c>
      <c r="AA82">
        <v>3.2436275453553501E-2</v>
      </c>
      <c r="AB82">
        <v>6.5868209076283199E-2</v>
      </c>
      <c r="AC82">
        <v>5.1902369477206098E-2</v>
      </c>
      <c r="AD82">
        <v>3.0968448815752701E-2</v>
      </c>
      <c r="AE82">
        <v>0.171084791793257</v>
      </c>
      <c r="AF82">
        <f t="shared" si="1"/>
        <v>5.7561659341377927E-2</v>
      </c>
    </row>
    <row r="83" spans="1:32" x14ac:dyDescent="0.3">
      <c r="A83" t="s">
        <v>496</v>
      </c>
      <c r="B83" s="1" t="s">
        <v>497</v>
      </c>
      <c r="C83" t="s">
        <v>132</v>
      </c>
      <c r="D83" s="1" t="s">
        <v>133</v>
      </c>
      <c r="E83">
        <v>5.07590336989694E-4</v>
      </c>
      <c r="F83">
        <v>7.3356355219704201E-4</v>
      </c>
      <c r="G83">
        <v>1.3867007397465601E-3</v>
      </c>
      <c r="H83">
        <v>3.50494659117249E-3</v>
      </c>
      <c r="I83">
        <v>1.7115047720530501E-2</v>
      </c>
      <c r="J83">
        <v>3.5999101726957299E-2</v>
      </c>
      <c r="K83">
        <v>3.5362662756596303E-2</v>
      </c>
      <c r="L83">
        <v>2.5617255180877398E-2</v>
      </c>
      <c r="M83">
        <v>2.0550072168294201E-2</v>
      </c>
      <c r="N83">
        <v>2.0800492255434198E-2</v>
      </c>
      <c r="O83">
        <v>3.7488518292121402E-2</v>
      </c>
      <c r="P83">
        <v>6.7660555708779893E-2</v>
      </c>
      <c r="Q83">
        <v>8.1696029938473705E-2</v>
      </c>
      <c r="R83">
        <v>8.3727970850299399E-2</v>
      </c>
      <c r="S83">
        <v>8.9531500156306107E-2</v>
      </c>
      <c r="T83">
        <v>5.6730941188279302E-2</v>
      </c>
      <c r="U83">
        <v>0.104448229136775</v>
      </c>
      <c r="V83">
        <v>0.105749002098167</v>
      </c>
      <c r="W83">
        <v>0.11276462547148999</v>
      </c>
      <c r="X83">
        <v>0.109578029251644</v>
      </c>
      <c r="Y83">
        <v>5.3253752736286797E-2</v>
      </c>
      <c r="Z83">
        <v>2.0765804597848301E-2</v>
      </c>
      <c r="AA83">
        <v>2.3227641784015901E-2</v>
      </c>
      <c r="AB83">
        <v>4.94182663276201E-2</v>
      </c>
      <c r="AC83">
        <v>4.9703795819329301E-2</v>
      </c>
      <c r="AD83">
        <v>2.4429436535619999E-2</v>
      </c>
      <c r="AE83" t="s">
        <v>34</v>
      </c>
      <c r="AF83">
        <f t="shared" si="1"/>
        <v>4.7375058958532765E-2</v>
      </c>
    </row>
    <row r="84" spans="1:32" x14ac:dyDescent="0.3">
      <c r="A84" t="s">
        <v>496</v>
      </c>
      <c r="B84" s="1" t="s">
        <v>497</v>
      </c>
      <c r="C84" t="s">
        <v>82</v>
      </c>
      <c r="D84" s="1" t="s">
        <v>83</v>
      </c>
      <c r="E84">
        <v>1.17651005107296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f t="shared" si="1"/>
        <v>4.3574446336035556E-2</v>
      </c>
    </row>
    <row r="85" spans="1:32" x14ac:dyDescent="0.3">
      <c r="A85" t="s">
        <v>496</v>
      </c>
      <c r="B85" s="1" t="s">
        <v>497</v>
      </c>
      <c r="C85" t="s">
        <v>182</v>
      </c>
      <c r="D85" s="1" t="s">
        <v>183</v>
      </c>
      <c r="E85">
        <v>9.8921434225915702E-3</v>
      </c>
      <c r="F85">
        <v>8.2586773868786496E-3</v>
      </c>
      <c r="G85">
        <v>5.49941209630857E-3</v>
      </c>
      <c r="H85">
        <v>2.44791744602994E-3</v>
      </c>
      <c r="I85">
        <v>1.8408372516929301E-3</v>
      </c>
      <c r="J85">
        <v>3.4046403426578899E-3</v>
      </c>
      <c r="K85">
        <v>2.4100527368070002E-3</v>
      </c>
      <c r="L85">
        <v>1.31058431729122E-3</v>
      </c>
      <c r="M85">
        <v>7.8753944601418801E-4</v>
      </c>
      <c r="N85">
        <v>4.75023426221951E-4</v>
      </c>
      <c r="O85">
        <v>1.4312073530070601E-4</v>
      </c>
      <c r="P85">
        <v>1.4527990274413401E-4</v>
      </c>
      <c r="Q85">
        <v>7.9273990336808502E-5</v>
      </c>
      <c r="R85">
        <v>5.8133980142936798E-5</v>
      </c>
      <c r="S85">
        <v>3.6407957823019099E-5</v>
      </c>
      <c r="T85">
        <v>1.9588883234676799E-5</v>
      </c>
      <c r="U85">
        <v>1.5719064607553299E-5</v>
      </c>
      <c r="V85">
        <v>1.1657271689343E-5</v>
      </c>
      <c r="W85">
        <v>7.10418690304822E-6</v>
      </c>
      <c r="X85">
        <v>7.8767078687188604E-6</v>
      </c>
      <c r="Y85">
        <v>8.4191354918879899E-2</v>
      </c>
      <c r="Z85">
        <v>4.5126674812412601E-2</v>
      </c>
      <c r="AA85">
        <v>7.1721764701631496E-2</v>
      </c>
      <c r="AB85">
        <v>0.11315106500043801</v>
      </c>
      <c r="AC85">
        <v>0.165145728819346</v>
      </c>
      <c r="AD85">
        <v>0.19801163833306601</v>
      </c>
      <c r="AE85">
        <v>0.37136044263451301</v>
      </c>
      <c r="AF85">
        <f t="shared" si="1"/>
        <v>4.0205913324941916E-2</v>
      </c>
    </row>
    <row r="86" spans="1:32" x14ac:dyDescent="0.3">
      <c r="A86" t="s">
        <v>496</v>
      </c>
      <c r="B86" s="1" t="s">
        <v>497</v>
      </c>
      <c r="C86" t="s">
        <v>86</v>
      </c>
      <c r="D86" s="1" t="s">
        <v>87</v>
      </c>
      <c r="E86">
        <v>6.0876771180838904E-3</v>
      </c>
      <c r="F86">
        <v>6.2277214979635396E-3</v>
      </c>
      <c r="G86">
        <v>6.4874979780479196E-3</v>
      </c>
      <c r="H86">
        <v>5.3384942350935601E-3</v>
      </c>
      <c r="I86">
        <v>1.3119616913678699E-2</v>
      </c>
      <c r="J86">
        <v>2.1960393735733E-2</v>
      </c>
      <c r="K86">
        <v>2.58071276939522E-2</v>
      </c>
      <c r="L86">
        <v>2.67500574610956E-2</v>
      </c>
      <c r="M86">
        <v>2.0218900733163899E-2</v>
      </c>
      <c r="N86">
        <v>1.8666599978345799E-2</v>
      </c>
      <c r="O86">
        <v>2.6414086630871501E-2</v>
      </c>
      <c r="P86">
        <v>3.0584675807865801E-2</v>
      </c>
      <c r="Q86">
        <v>2.93323805781565E-2</v>
      </c>
      <c r="R86">
        <v>3.3529647472711303E-2</v>
      </c>
      <c r="S86">
        <v>3.1957190424448299E-2</v>
      </c>
      <c r="T86">
        <v>2.08700944797705E-2</v>
      </c>
      <c r="U86">
        <v>4.53223777417706E-2</v>
      </c>
      <c r="V86">
        <v>5.8596318164260398E-2</v>
      </c>
      <c r="W86">
        <v>7.0564166885166799E-2</v>
      </c>
      <c r="X86">
        <v>6.8207861157118702E-2</v>
      </c>
      <c r="Y86">
        <v>4.7972921893604997E-2</v>
      </c>
      <c r="Z86">
        <v>2.0945920115477901E-2</v>
      </c>
      <c r="AA86">
        <v>2.74701476531574E-2</v>
      </c>
      <c r="AB86">
        <v>6.5168104289435799E-2</v>
      </c>
      <c r="AC86">
        <v>7.2366877634296306E-2</v>
      </c>
      <c r="AD86">
        <v>4.7766327536781797E-2</v>
      </c>
      <c r="AE86">
        <v>6.9994499176735794E-2</v>
      </c>
      <c r="AF86">
        <f t="shared" si="1"/>
        <v>3.3989914258769946E-2</v>
      </c>
    </row>
    <row r="87" spans="1:32" x14ac:dyDescent="0.3">
      <c r="A87" t="s">
        <v>496</v>
      </c>
      <c r="B87" s="1" t="s">
        <v>497</v>
      </c>
      <c r="C87" t="s">
        <v>226</v>
      </c>
      <c r="D87" s="1" t="s">
        <v>227</v>
      </c>
      <c r="E87">
        <v>4.23469185783285E-2</v>
      </c>
      <c r="F87">
        <v>3.5843533252769198E-2</v>
      </c>
      <c r="G87">
        <v>3.9423188594463497E-2</v>
      </c>
      <c r="H87">
        <v>4.96412889014047E-3</v>
      </c>
      <c r="I87">
        <v>4.5182232164395798E-3</v>
      </c>
      <c r="J87">
        <v>3.1938098347786499E-2</v>
      </c>
      <c r="K87">
        <v>6.1333342224709098E-2</v>
      </c>
      <c r="L87">
        <v>4.06753020713446E-2</v>
      </c>
      <c r="M87">
        <v>3.4088596530950199E-2</v>
      </c>
      <c r="N87">
        <v>2.4557671719248199E-2</v>
      </c>
      <c r="O87">
        <v>1.8929306498327799E-2</v>
      </c>
      <c r="P87">
        <v>3.66454074969274E-2</v>
      </c>
      <c r="Q87">
        <v>2.9470378011924502E-2</v>
      </c>
      <c r="R87">
        <v>4.6829212612143102E-2</v>
      </c>
      <c r="S87">
        <v>3.1326316517502097E-2</v>
      </c>
      <c r="T87">
        <v>3.0415742926063201E-2</v>
      </c>
      <c r="U87">
        <v>4.3691273085130003E-2</v>
      </c>
      <c r="V87">
        <v>5.1232760330767402E-2</v>
      </c>
      <c r="W87">
        <v>4.4039925682137701E-2</v>
      </c>
      <c r="X87">
        <v>2.8802432335382201E-2</v>
      </c>
      <c r="Y87">
        <v>2.3749868818484801E-2</v>
      </c>
      <c r="Z87">
        <v>1.18200048088784E-2</v>
      </c>
      <c r="AA87">
        <v>1.50296363210049E-2</v>
      </c>
      <c r="AB87">
        <v>2.2224216680960598E-2</v>
      </c>
      <c r="AC87">
        <v>1.41520951150301E-2</v>
      </c>
      <c r="AD87">
        <v>6.2241350681930601E-3</v>
      </c>
      <c r="AE87">
        <v>2.5036376848490902E-2</v>
      </c>
      <c r="AF87">
        <f t="shared" si="1"/>
        <v>2.9604003429019556E-2</v>
      </c>
    </row>
    <row r="88" spans="1:32" x14ac:dyDescent="0.3">
      <c r="A88" t="s">
        <v>496</v>
      </c>
      <c r="B88" s="1" t="s">
        <v>497</v>
      </c>
      <c r="C88" t="s">
        <v>68</v>
      </c>
      <c r="D88" s="1" t="s">
        <v>69</v>
      </c>
      <c r="E88">
        <v>4.11715388339053E-2</v>
      </c>
      <c r="F88">
        <v>3.50657440959967E-2</v>
      </c>
      <c r="G88">
        <v>3.9081646992683197E-2</v>
      </c>
      <c r="H88">
        <v>4.8461889940963204E-3</v>
      </c>
      <c r="I88">
        <v>6.0421985790376697E-3</v>
      </c>
      <c r="J88">
        <v>3.9334339696950001E-2</v>
      </c>
      <c r="K88">
        <v>8.6167689741672604E-2</v>
      </c>
      <c r="L88">
        <v>5.2626009644243299E-2</v>
      </c>
      <c r="M88">
        <v>4.8764903971152303E-2</v>
      </c>
      <c r="N88">
        <v>3.1983603545125298E-2</v>
      </c>
      <c r="O88">
        <v>1.9379348302970601E-2</v>
      </c>
      <c r="P88">
        <v>3.3388719470755002E-2</v>
      </c>
      <c r="Q88">
        <v>2.4946788770530502E-2</v>
      </c>
      <c r="R88">
        <v>3.3305021048007102E-2</v>
      </c>
      <c r="S88">
        <v>2.8591787383290702E-2</v>
      </c>
      <c r="T88">
        <v>2.24285467978157E-2</v>
      </c>
      <c r="U88">
        <v>3.46631203472808E-2</v>
      </c>
      <c r="V88">
        <v>3.2766373160939201E-2</v>
      </c>
      <c r="W88">
        <v>3.1443528341133398E-2</v>
      </c>
      <c r="X88">
        <v>1.90292191065204E-2</v>
      </c>
      <c r="Y88">
        <v>2.0583533196913601E-2</v>
      </c>
      <c r="Z88">
        <v>1.38373161215679E-2</v>
      </c>
      <c r="AA88">
        <v>1.49563221222871E-2</v>
      </c>
      <c r="AB88">
        <v>2.2438641971924599E-2</v>
      </c>
      <c r="AC88">
        <v>1.4533184881967301E-2</v>
      </c>
      <c r="AD88">
        <v>7.4468739113335899E-3</v>
      </c>
      <c r="AE88">
        <v>3.9361311378762198E-2</v>
      </c>
      <c r="AF88">
        <f t="shared" si="1"/>
        <v>2.956235186699491E-2</v>
      </c>
    </row>
    <row r="89" spans="1:32" x14ac:dyDescent="0.3">
      <c r="A89" t="s">
        <v>496</v>
      </c>
      <c r="B89" s="1" t="s">
        <v>497</v>
      </c>
      <c r="C89" t="s">
        <v>114</v>
      </c>
      <c r="D89" s="1" t="s">
        <v>115</v>
      </c>
      <c r="E89">
        <v>2.2553511424809901E-2</v>
      </c>
      <c r="F89">
        <v>2.20761655005779E-2</v>
      </c>
      <c r="G89">
        <v>1.9840219929484801E-2</v>
      </c>
      <c r="H89">
        <v>1.4060651625615501E-2</v>
      </c>
      <c r="I89">
        <v>2.5964022680053999E-2</v>
      </c>
      <c r="J89">
        <v>4.9273303054022499E-2</v>
      </c>
      <c r="K89">
        <v>5.6280766727841602E-2</v>
      </c>
      <c r="L89">
        <v>4.3717569193136602E-2</v>
      </c>
      <c r="M89">
        <v>2.5568679915445699E-2</v>
      </c>
      <c r="N89">
        <v>1.9692704959145001E-2</v>
      </c>
      <c r="O89">
        <v>3.5543021480523601E-2</v>
      </c>
      <c r="P89">
        <v>3.8446152253526197E-2</v>
      </c>
      <c r="Q89">
        <v>3.9583812559664699E-2</v>
      </c>
      <c r="R89">
        <v>4.1325008435247799E-2</v>
      </c>
      <c r="S89">
        <v>5.0598866568324401E-2</v>
      </c>
      <c r="T89">
        <v>2.82523464279479E-2</v>
      </c>
      <c r="U89">
        <v>4.4050011861004497E-2</v>
      </c>
      <c r="V89">
        <v>3.6268184373635402E-2</v>
      </c>
      <c r="W89">
        <v>3.0092885123709699E-2</v>
      </c>
      <c r="X89">
        <v>2.3742334178409499E-2</v>
      </c>
      <c r="Y89">
        <v>1.6376178371680501E-2</v>
      </c>
      <c r="Z89">
        <v>8.1846580803659596E-3</v>
      </c>
      <c r="AA89">
        <v>1.00470032058539E-2</v>
      </c>
      <c r="AB89">
        <v>2.28131047345746E-2</v>
      </c>
      <c r="AC89">
        <v>3.1338461544760797E-2</v>
      </c>
      <c r="AD89">
        <v>1.4345555133778699E-2</v>
      </c>
      <c r="AE89">
        <v>2.1359876353553901E-2</v>
      </c>
      <c r="AF89">
        <f t="shared" si="1"/>
        <v>2.9310927988766507E-2</v>
      </c>
    </row>
    <row r="90" spans="1:32" x14ac:dyDescent="0.3">
      <c r="A90" t="s">
        <v>496</v>
      </c>
      <c r="B90" s="1" t="s">
        <v>497</v>
      </c>
      <c r="C90" t="s">
        <v>220</v>
      </c>
      <c r="D90" s="1" t="s">
        <v>221</v>
      </c>
      <c r="E90">
        <v>9.8004273302952694E-2</v>
      </c>
      <c r="F90">
        <v>8.2913055354874102E-2</v>
      </c>
      <c r="G90">
        <v>7.21733385265073E-2</v>
      </c>
      <c r="H90">
        <v>6.3865933936877103E-3</v>
      </c>
      <c r="I90">
        <v>4.4601457719763201E-3</v>
      </c>
      <c r="J90">
        <v>2.5995594382708799E-2</v>
      </c>
      <c r="K90">
        <v>3.4949935545239903E-2</v>
      </c>
      <c r="L90">
        <v>2.3100571621855099E-2</v>
      </c>
      <c r="M90">
        <v>1.5787779742872599E-2</v>
      </c>
      <c r="N90">
        <v>1.49647349404642E-2</v>
      </c>
      <c r="O90">
        <v>8.2625348163990597E-3</v>
      </c>
      <c r="P90">
        <v>1.4972766197026E-2</v>
      </c>
      <c r="Q90">
        <v>9.8830405504321903E-3</v>
      </c>
      <c r="R90">
        <v>2.01072486080353E-2</v>
      </c>
      <c r="S90">
        <v>1.13752250890897E-2</v>
      </c>
      <c r="T90">
        <v>1.0074984667864601E-2</v>
      </c>
      <c r="U90">
        <v>1.20338455814485E-2</v>
      </c>
      <c r="V90">
        <v>1.2203201363162599E-2</v>
      </c>
      <c r="W90">
        <v>1.0424482351741499E-2</v>
      </c>
      <c r="X90">
        <v>5.4879896724336604E-3</v>
      </c>
      <c r="Y90">
        <v>3.0738522139015698E-3</v>
      </c>
      <c r="Z90">
        <v>3.9385996696034799E-2</v>
      </c>
      <c r="AA90">
        <v>5.5654801714366701E-2</v>
      </c>
      <c r="AB90">
        <v>7.5032558976218994E-2</v>
      </c>
      <c r="AC90">
        <v>3.9273365029075698E-2</v>
      </c>
      <c r="AD90">
        <v>1.4057492399115299E-2</v>
      </c>
      <c r="AE90">
        <v>5.1077934497427702E-2</v>
      </c>
      <c r="AF90">
        <f t="shared" si="1"/>
        <v>2.8559901592848609E-2</v>
      </c>
    </row>
    <row r="91" spans="1:32" x14ac:dyDescent="0.3">
      <c r="A91" t="s">
        <v>496</v>
      </c>
      <c r="B91" s="1" t="s">
        <v>497</v>
      </c>
      <c r="C91" t="s">
        <v>31</v>
      </c>
      <c r="D91" s="1" t="s">
        <v>32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>
        <v>0.231561307228384</v>
      </c>
      <c r="M91">
        <v>3.6729700085137998E-2</v>
      </c>
      <c r="N91">
        <v>2.8302170578546899E-2</v>
      </c>
      <c r="O91">
        <v>2.3093937029346302E-2</v>
      </c>
      <c r="P91">
        <v>1.7573593861523799E-2</v>
      </c>
      <c r="Q91">
        <v>1.4051178965346099E-2</v>
      </c>
      <c r="R91">
        <v>1.6266585653565299E-2</v>
      </c>
      <c r="S91">
        <v>1.02634444245309E-2</v>
      </c>
      <c r="T91">
        <v>4.0322448193506201E-2</v>
      </c>
      <c r="U91">
        <v>4.5151831301552599E-2</v>
      </c>
      <c r="V91">
        <v>4.6465593989839599E-2</v>
      </c>
      <c r="W91">
        <v>3.41687943179892E-2</v>
      </c>
      <c r="X91">
        <v>4.6218198083544503E-3</v>
      </c>
      <c r="Y91">
        <v>2.1525915335506999E-3</v>
      </c>
      <c r="Z91">
        <v>2.1301787047721902E-3</v>
      </c>
      <c r="AA91">
        <v>1.9373320404179101E-3</v>
      </c>
      <c r="AB91">
        <v>1.51202723141628E-3</v>
      </c>
      <c r="AC91">
        <v>1.5271889396803501E-3</v>
      </c>
      <c r="AD91">
        <v>1.3475511321641401E-3</v>
      </c>
      <c r="AE91">
        <v>1.95353922210792E-3</v>
      </c>
      <c r="AF91">
        <f t="shared" si="1"/>
        <v>2.8056640712086651E-2</v>
      </c>
    </row>
    <row r="92" spans="1:32" x14ac:dyDescent="0.3">
      <c r="A92" t="s">
        <v>496</v>
      </c>
      <c r="B92" s="1" t="s">
        <v>497</v>
      </c>
      <c r="C92" t="s">
        <v>388</v>
      </c>
      <c r="D92" s="1" t="s">
        <v>389</v>
      </c>
      <c r="E92">
        <v>2.4975034955300499E-2</v>
      </c>
      <c r="F92">
        <v>2.4854633859965201E-2</v>
      </c>
      <c r="G92">
        <v>2.1246539230495701E-2</v>
      </c>
      <c r="H92">
        <v>1.4212760341816099E-2</v>
      </c>
      <c r="I92">
        <v>2.17574376135546E-2</v>
      </c>
      <c r="J92">
        <v>3.5452765164901798E-2</v>
      </c>
      <c r="K92">
        <v>5.8285833359149601E-2</v>
      </c>
      <c r="L92">
        <v>5.7380545248239802E-2</v>
      </c>
      <c r="M92">
        <v>2.48359282535279E-2</v>
      </c>
      <c r="N92">
        <v>3.0863406642872099E-2</v>
      </c>
      <c r="O92">
        <v>1.57824265033382E-2</v>
      </c>
      <c r="P92">
        <v>3.8665604359819701E-2</v>
      </c>
      <c r="Q92">
        <v>3.1850782101310197E-2</v>
      </c>
      <c r="R92">
        <v>3.6957531504416601E-2</v>
      </c>
      <c r="S92">
        <v>2.3627062572522499E-2</v>
      </c>
      <c r="T92">
        <v>2.5856934015852099E-2</v>
      </c>
      <c r="U92">
        <v>3.0563649619944899E-2</v>
      </c>
      <c r="V92">
        <v>2.8893684741247701E-2</v>
      </c>
      <c r="W92">
        <v>3.1242122760692201E-2</v>
      </c>
      <c r="X92">
        <v>2.5574443214764701E-2</v>
      </c>
      <c r="Y92">
        <v>2.32937993610495E-2</v>
      </c>
      <c r="Z92">
        <v>1.5336308509032E-2</v>
      </c>
      <c r="AA92">
        <v>1.2735718818607E-2</v>
      </c>
      <c r="AB92">
        <v>2.2764150401978201E-2</v>
      </c>
      <c r="AC92">
        <v>2.51931123610767E-2</v>
      </c>
      <c r="AD92">
        <v>2.0767257947968999E-2</v>
      </c>
      <c r="AE92">
        <v>2.9382752346725698E-2</v>
      </c>
      <c r="AF92">
        <f t="shared" si="1"/>
        <v>2.7864897252228522E-2</v>
      </c>
    </row>
    <row r="93" spans="1:32" x14ac:dyDescent="0.3">
      <c r="A93" t="s">
        <v>496</v>
      </c>
      <c r="B93" s="1" t="s">
        <v>497</v>
      </c>
      <c r="C93" t="s">
        <v>56</v>
      </c>
      <c r="D93" s="1" t="s">
        <v>57</v>
      </c>
      <c r="E93">
        <v>1.5921818697343399E-2</v>
      </c>
      <c r="F93">
        <v>1.5671415815533E-2</v>
      </c>
      <c r="G93">
        <v>1.8100648227376202E-2</v>
      </c>
      <c r="H93">
        <v>2.5289855659671101E-3</v>
      </c>
      <c r="I93">
        <v>2.7477374848164601E-3</v>
      </c>
      <c r="J93">
        <v>2.1333387322591098E-2</v>
      </c>
      <c r="K93">
        <v>4.3641576547374501E-2</v>
      </c>
      <c r="L93">
        <v>3.2584906652166297E-2</v>
      </c>
      <c r="M93">
        <v>3.0141930452852898E-2</v>
      </c>
      <c r="N93">
        <v>2.24294750284273E-2</v>
      </c>
      <c r="O93">
        <v>1.51465240868567E-2</v>
      </c>
      <c r="P93">
        <v>3.5194431204877703E-2</v>
      </c>
      <c r="Q93">
        <v>3.1912714887530703E-2</v>
      </c>
      <c r="R93">
        <v>4.2991393006573703E-2</v>
      </c>
      <c r="S93">
        <v>3.5517356388020498E-2</v>
      </c>
      <c r="T93">
        <v>3.3984763693715898E-2</v>
      </c>
      <c r="U93">
        <v>4.6723980432050498E-2</v>
      </c>
      <c r="V93">
        <v>5.5437461757174997E-2</v>
      </c>
      <c r="W93">
        <v>4.1651209745769802E-2</v>
      </c>
      <c r="X93">
        <v>2.63618098266118E-2</v>
      </c>
      <c r="Y93">
        <v>2.16007474240721E-2</v>
      </c>
      <c r="Z93">
        <v>1.1656370171843001E-2</v>
      </c>
      <c r="AA93">
        <v>1.6428546652845599E-2</v>
      </c>
      <c r="AB93">
        <v>1.98917686011633E-2</v>
      </c>
      <c r="AC93">
        <v>1.26697674134977E-2</v>
      </c>
      <c r="AD93">
        <v>5.2691862993391398E-3</v>
      </c>
      <c r="AE93">
        <v>2.4058497073694601E-2</v>
      </c>
      <c r="AF93">
        <f t="shared" si="1"/>
        <v>2.5244385572595777E-2</v>
      </c>
    </row>
    <row r="94" spans="1:32" x14ac:dyDescent="0.3">
      <c r="A94" t="s">
        <v>496</v>
      </c>
      <c r="B94" s="1" t="s">
        <v>497</v>
      </c>
      <c r="C94" t="s">
        <v>180</v>
      </c>
      <c r="D94" s="1" t="s">
        <v>181</v>
      </c>
      <c r="E94">
        <v>1.7592355682387598E-2</v>
      </c>
      <c r="F94">
        <v>1.8947024309018699E-2</v>
      </c>
      <c r="G94">
        <v>2.2803167073535399E-2</v>
      </c>
      <c r="H94">
        <v>2.86576444439628E-3</v>
      </c>
      <c r="I94">
        <v>3.04291799947438E-3</v>
      </c>
      <c r="J94">
        <v>2.2048320142416099E-2</v>
      </c>
      <c r="K94">
        <v>4.7509797340292502E-2</v>
      </c>
      <c r="L94">
        <v>3.3724476268887998E-2</v>
      </c>
      <c r="M94">
        <v>3.0435257407141401E-2</v>
      </c>
      <c r="N94">
        <v>2.1842366532472901E-2</v>
      </c>
      <c r="O94">
        <v>1.8113167039971401E-2</v>
      </c>
      <c r="P94">
        <v>4.00152093967188E-2</v>
      </c>
      <c r="Q94">
        <v>3.59840365971986E-2</v>
      </c>
      <c r="R94">
        <v>5.2917391921580702E-2</v>
      </c>
      <c r="S94">
        <v>4.0513949856557499E-2</v>
      </c>
      <c r="T94">
        <v>3.11922394814401E-2</v>
      </c>
      <c r="U94">
        <v>4.2567229293466499E-2</v>
      </c>
      <c r="V94">
        <v>4.16156923735439E-2</v>
      </c>
      <c r="W94">
        <v>3.5748948706263897E-2</v>
      </c>
      <c r="X94">
        <v>1.8979448964631801E-2</v>
      </c>
      <c r="Y94">
        <v>1.5006151009663401E-2</v>
      </c>
      <c r="Z94">
        <v>8.9391618222992193E-3</v>
      </c>
      <c r="AA94">
        <v>1.07367287094385E-2</v>
      </c>
      <c r="AB94">
        <v>1.24974991112772E-2</v>
      </c>
      <c r="AC94">
        <v>8.2295480730452692E-3</v>
      </c>
      <c r="AD94">
        <v>3.7565809952499699E-3</v>
      </c>
      <c r="AE94">
        <v>1.7699435845491902E-2</v>
      </c>
      <c r="AF94">
        <f t="shared" si="1"/>
        <v>2.4271254311031928E-2</v>
      </c>
    </row>
    <row r="95" spans="1:32" x14ac:dyDescent="0.3">
      <c r="A95" t="s">
        <v>496</v>
      </c>
      <c r="B95" s="1" t="s">
        <v>497</v>
      </c>
      <c r="C95" t="s">
        <v>92</v>
      </c>
      <c r="D95" s="1" t="s">
        <v>93</v>
      </c>
      <c r="E95">
        <v>6.2805747437756397E-3</v>
      </c>
      <c r="F95">
        <v>7.7752469414445902E-3</v>
      </c>
      <c r="G95">
        <v>7.7888161325135102E-3</v>
      </c>
      <c r="H95">
        <v>6.3712753830805495E-4</v>
      </c>
      <c r="I95">
        <v>6.24281659353869E-4</v>
      </c>
      <c r="J95">
        <v>2.5277024858644699E-3</v>
      </c>
      <c r="K95">
        <v>7.5014122222032903E-3</v>
      </c>
      <c r="L95">
        <v>4.3209227073590598E-3</v>
      </c>
      <c r="M95">
        <v>2.9020456359226099E-3</v>
      </c>
      <c r="N95">
        <v>4.3172415090347097E-2</v>
      </c>
      <c r="O95">
        <v>4.6301908165846797E-2</v>
      </c>
      <c r="P95">
        <v>8.7354192278093601E-2</v>
      </c>
      <c r="Q95">
        <v>4.4011129441616399E-2</v>
      </c>
      <c r="R95">
        <v>4.31769272049978E-2</v>
      </c>
      <c r="S95">
        <v>2.6718472138392E-3</v>
      </c>
      <c r="T95">
        <v>1.1125568457265599E-2</v>
      </c>
      <c r="U95">
        <v>8.909304721064E-2</v>
      </c>
      <c r="V95">
        <v>8.7087212755186993E-2</v>
      </c>
      <c r="W95">
        <v>6.3086631170659394E-2</v>
      </c>
      <c r="X95">
        <v>3.0044066701644501E-2</v>
      </c>
      <c r="Y95">
        <v>1.3234157337646799E-2</v>
      </c>
      <c r="Z95">
        <v>6.7270423179074598E-3</v>
      </c>
      <c r="AA95">
        <v>7.3561244151592597E-3</v>
      </c>
      <c r="AB95">
        <v>4.5302089152978904E-3</v>
      </c>
      <c r="AC95">
        <v>3.43786072088081E-3</v>
      </c>
      <c r="AD95">
        <v>2.4673666719186001E-3</v>
      </c>
      <c r="AE95">
        <v>6.49706344376637E-3</v>
      </c>
      <c r="AF95">
        <f t="shared" si="1"/>
        <v>2.3397514799239242E-2</v>
      </c>
    </row>
    <row r="96" spans="1:32" x14ac:dyDescent="0.3">
      <c r="A96" t="s">
        <v>496</v>
      </c>
      <c r="B96" s="1" t="s">
        <v>497</v>
      </c>
      <c r="C96" t="s">
        <v>248</v>
      </c>
      <c r="D96" s="1" t="s">
        <v>249</v>
      </c>
      <c r="E96">
        <v>4.5252700360595803E-2</v>
      </c>
      <c r="F96">
        <v>2.7946100086443999E-2</v>
      </c>
      <c r="G96">
        <v>2.3356748788021801E-2</v>
      </c>
      <c r="H96">
        <v>2.46494999438476E-3</v>
      </c>
      <c r="I96">
        <v>2.3656304739062902E-3</v>
      </c>
      <c r="J96">
        <v>1.8374399358407099E-2</v>
      </c>
      <c r="K96">
        <v>4.3304431224595798E-2</v>
      </c>
      <c r="L96">
        <v>2.0217360910021999E-2</v>
      </c>
      <c r="M96">
        <v>4.8675322575388001E-2</v>
      </c>
      <c r="N96">
        <v>4.0087631861261401E-2</v>
      </c>
      <c r="O96">
        <v>3.1491114293095597E-2</v>
      </c>
      <c r="P96">
        <v>5.3213600556131099E-2</v>
      </c>
      <c r="Q96">
        <v>2.94386056493686E-2</v>
      </c>
      <c r="R96">
        <v>4.9555961678645399E-2</v>
      </c>
      <c r="S96">
        <v>2.5545184636318202E-2</v>
      </c>
      <c r="T96">
        <v>1.81811955533565E-2</v>
      </c>
      <c r="U96">
        <v>1.7589674900695601E-2</v>
      </c>
      <c r="V96">
        <v>5.2669083834132102E-2</v>
      </c>
      <c r="W96">
        <v>3.6114706949684501E-2</v>
      </c>
      <c r="X96">
        <v>4.0133476424633599E-3</v>
      </c>
      <c r="Y96">
        <v>2.7051725159668001E-3</v>
      </c>
      <c r="Z96">
        <v>1.1123237773650199E-3</v>
      </c>
      <c r="AA96">
        <v>1.23629973598906E-3</v>
      </c>
      <c r="AB96">
        <v>1.6108490837967099E-3</v>
      </c>
      <c r="AC96">
        <v>9.3162475077857704E-4</v>
      </c>
      <c r="AD96">
        <v>4.5887896495333102E-4</v>
      </c>
      <c r="AE96">
        <v>2.0805476014286901E-3</v>
      </c>
      <c r="AF96">
        <f t="shared" si="1"/>
        <v>2.2221979546562819E-2</v>
      </c>
    </row>
    <row r="97" spans="1:32" x14ac:dyDescent="0.3">
      <c r="A97" t="s">
        <v>496</v>
      </c>
      <c r="B97" s="1" t="s">
        <v>497</v>
      </c>
      <c r="C97" t="s">
        <v>148</v>
      </c>
      <c r="D97" s="1" t="s">
        <v>149</v>
      </c>
      <c r="E97">
        <v>4.6055518567871398E-3</v>
      </c>
      <c r="F97">
        <v>4.6136517034546199E-3</v>
      </c>
      <c r="G97">
        <v>3.4229064339273002E-3</v>
      </c>
      <c r="H97">
        <v>2.6464706314381198E-3</v>
      </c>
      <c r="I97">
        <v>5.4774308663152697E-3</v>
      </c>
      <c r="J97">
        <v>1.49274346317537E-2</v>
      </c>
      <c r="K97">
        <v>1.25625783754855E-2</v>
      </c>
      <c r="L97">
        <v>5.2559739651216698E-3</v>
      </c>
      <c r="M97">
        <v>5.2872442884199702E-3</v>
      </c>
      <c r="N97">
        <v>5.3453483959928303E-3</v>
      </c>
      <c r="O97">
        <v>1.37364930608804E-2</v>
      </c>
      <c r="P97">
        <v>1.8481539630960001E-2</v>
      </c>
      <c r="Q97">
        <v>2.0008746200595399E-2</v>
      </c>
      <c r="R97">
        <v>1.74278432820981E-2</v>
      </c>
      <c r="S97">
        <v>2.1504058022717501E-2</v>
      </c>
      <c r="T97">
        <v>1.5241181394982799E-2</v>
      </c>
      <c r="U97">
        <v>2.1901464875727101E-2</v>
      </c>
      <c r="V97">
        <v>4.48272573078322E-2</v>
      </c>
      <c r="W97">
        <v>4.5046970569569703E-2</v>
      </c>
      <c r="X97">
        <v>4.2671591387821298E-2</v>
      </c>
      <c r="Y97">
        <v>1.9029143170083099E-2</v>
      </c>
      <c r="Z97">
        <v>8.9325525577212597E-3</v>
      </c>
      <c r="AA97">
        <v>9.9993351361004901E-3</v>
      </c>
      <c r="AB97">
        <v>1.83213291864609E-2</v>
      </c>
      <c r="AC97">
        <v>1.7455192967125201E-2</v>
      </c>
      <c r="AD97">
        <v>8.6762717011158192E-3</v>
      </c>
      <c r="AE97">
        <v>1.3602672503024301E-2</v>
      </c>
      <c r="AF97">
        <f t="shared" si="1"/>
        <v>1.5592897559389323E-2</v>
      </c>
    </row>
    <row r="98" spans="1:32" x14ac:dyDescent="0.3">
      <c r="A98" t="s">
        <v>496</v>
      </c>
      <c r="B98" s="1" t="s">
        <v>497</v>
      </c>
      <c r="C98" t="s">
        <v>178</v>
      </c>
      <c r="D98" s="1" t="s">
        <v>179</v>
      </c>
      <c r="E98">
        <v>5.1824736157510598E-2</v>
      </c>
      <c r="F98">
        <v>4.0960133237021801E-2</v>
      </c>
      <c r="G98">
        <v>3.8578373104879403E-2</v>
      </c>
      <c r="H98">
        <v>4.9140831661468104E-3</v>
      </c>
      <c r="I98">
        <v>6.1826410223840703E-3</v>
      </c>
      <c r="J98">
        <v>3.8529802885887303E-2</v>
      </c>
      <c r="K98">
        <v>7.7917452788529198E-2</v>
      </c>
      <c r="L98">
        <v>1.2302258803107501E-2</v>
      </c>
      <c r="M98">
        <v>1.7269148758538799E-2</v>
      </c>
      <c r="N98">
        <v>1.1876693418979499E-2</v>
      </c>
      <c r="O98">
        <v>6.0494777908845299E-3</v>
      </c>
      <c r="P98">
        <v>7.5900336505961303E-3</v>
      </c>
      <c r="Q98">
        <v>1.32568469096932E-2</v>
      </c>
      <c r="R98">
        <v>2.0283734213521799E-2</v>
      </c>
      <c r="S98">
        <v>1.31980726611481E-2</v>
      </c>
      <c r="T98">
        <v>5.7797793623257203E-3</v>
      </c>
      <c r="U98">
        <v>4.3344189232363004E-3</v>
      </c>
      <c r="V98">
        <v>4.6504570009108801E-3</v>
      </c>
      <c r="W98">
        <v>3.9037482479823498E-3</v>
      </c>
      <c r="X98">
        <v>1.16103156662281E-3</v>
      </c>
      <c r="Y98">
        <v>9.7952737532920001E-4</v>
      </c>
      <c r="Z98">
        <v>4.1964517420956503E-4</v>
      </c>
      <c r="AA98">
        <v>4.5711109895256398E-4</v>
      </c>
      <c r="AB98">
        <v>5.5132282080531795E-4</v>
      </c>
      <c r="AC98">
        <v>3.59932677767289E-4</v>
      </c>
      <c r="AD98">
        <v>2.2818455461107401E-4</v>
      </c>
      <c r="AE98">
        <v>9.4473128314951499E-3</v>
      </c>
      <c r="AF98">
        <f t="shared" si="1"/>
        <v>1.4555776303817667E-2</v>
      </c>
    </row>
    <row r="99" spans="1:32" x14ac:dyDescent="0.3">
      <c r="A99" t="s">
        <v>496</v>
      </c>
      <c r="B99" s="1" t="s">
        <v>497</v>
      </c>
      <c r="C99" t="s">
        <v>35</v>
      </c>
      <c r="D99" s="1" t="s">
        <v>36</v>
      </c>
      <c r="E99">
        <v>2.9149609069397401E-2</v>
      </c>
      <c r="F99">
        <v>1.7411071067419199E-2</v>
      </c>
      <c r="G99">
        <v>2.12292713268089E-2</v>
      </c>
      <c r="H99">
        <v>2.2264354163782601E-3</v>
      </c>
      <c r="I99">
        <v>1.68005565496385E-3</v>
      </c>
      <c r="J99">
        <v>7.0346273790705197E-3</v>
      </c>
      <c r="K99">
        <v>1.0399353794783E-2</v>
      </c>
      <c r="L99">
        <v>1.17918086634504E-2</v>
      </c>
      <c r="M99">
        <v>9.1952231675507309E-3</v>
      </c>
      <c r="N99">
        <v>4.8676691156837003E-3</v>
      </c>
      <c r="O99">
        <v>4.0240681868140699E-3</v>
      </c>
      <c r="P99">
        <v>8.1335163563580892E-3</v>
      </c>
      <c r="Q99">
        <v>1.1190009221173899E-2</v>
      </c>
      <c r="R99">
        <v>8.4114240252289706E-3</v>
      </c>
      <c r="S99">
        <v>6.4809966209885897E-3</v>
      </c>
      <c r="T99">
        <v>9.2524256662293702E-3</v>
      </c>
      <c r="U99">
        <v>1.3657627278002399E-2</v>
      </c>
      <c r="V99">
        <v>1.64608412977661E-2</v>
      </c>
      <c r="W99">
        <v>1.71746839867787E-2</v>
      </c>
      <c r="X99">
        <v>2.0183457669639901E-2</v>
      </c>
      <c r="Y99">
        <v>1.9112954317569E-2</v>
      </c>
      <c r="Z99">
        <v>1.3961258701938701E-2</v>
      </c>
      <c r="AA99">
        <v>1.8896330481483498E-2</v>
      </c>
      <c r="AB99">
        <v>2.2458616306126999E-2</v>
      </c>
      <c r="AC99">
        <v>2.7361399973991798E-2</v>
      </c>
      <c r="AD99">
        <v>9.8718761210860994E-3</v>
      </c>
      <c r="AE99">
        <v>4.9458339903857999E-2</v>
      </c>
      <c r="AF99">
        <f t="shared" si="1"/>
        <v>1.4484257435945931E-2</v>
      </c>
    </row>
    <row r="100" spans="1:32" x14ac:dyDescent="0.3">
      <c r="A100" t="s">
        <v>496</v>
      </c>
      <c r="B100" s="1" t="s">
        <v>497</v>
      </c>
      <c r="C100" t="s">
        <v>380</v>
      </c>
      <c r="D100" s="1" t="s">
        <v>381</v>
      </c>
      <c r="E100">
        <v>3.07966363609679E-2</v>
      </c>
      <c r="F100">
        <v>2.5095369464709499E-2</v>
      </c>
      <c r="G100">
        <v>2.51842167096787E-2</v>
      </c>
      <c r="H100">
        <v>2.74145550194506E-3</v>
      </c>
      <c r="I100">
        <v>2.1491748976511398E-3</v>
      </c>
      <c r="J100">
        <v>1.2352767885313099E-2</v>
      </c>
      <c r="K100">
        <v>2.8404162404454501E-2</v>
      </c>
      <c r="L100">
        <v>1.80339708315129E-2</v>
      </c>
      <c r="M100">
        <v>1.6966840413520701E-2</v>
      </c>
      <c r="N100">
        <v>1.04427357183609E-2</v>
      </c>
      <c r="O100">
        <v>7.2347055637516401E-3</v>
      </c>
      <c r="P100">
        <v>1.9978118315044001E-2</v>
      </c>
      <c r="Q100">
        <v>1.04156861286163E-2</v>
      </c>
      <c r="R100">
        <v>1.30329314947467E-2</v>
      </c>
      <c r="S100">
        <v>1.04113495244654E-2</v>
      </c>
      <c r="T100">
        <v>9.2430296117691803E-3</v>
      </c>
      <c r="U100">
        <v>1.50694280939769E-2</v>
      </c>
      <c r="V100">
        <v>2.06197380233814E-2</v>
      </c>
      <c r="W100">
        <v>1.5885072612730901E-2</v>
      </c>
      <c r="X100">
        <v>8.8875208200161395E-3</v>
      </c>
      <c r="Y100">
        <v>6.9615431290524499E-3</v>
      </c>
      <c r="Z100">
        <v>4.03037409052397E-3</v>
      </c>
      <c r="AA100">
        <v>8.0255461313325904E-3</v>
      </c>
      <c r="AB100">
        <v>7.7005080235649599E-3</v>
      </c>
      <c r="AC100">
        <v>7.1331079237376702E-3</v>
      </c>
      <c r="AD100">
        <v>1.8579570682178601E-3</v>
      </c>
      <c r="AE100">
        <v>8.5420690496797198E-3</v>
      </c>
      <c r="AF100">
        <f t="shared" si="1"/>
        <v>1.285911169602675E-2</v>
      </c>
    </row>
    <row r="101" spans="1:32" x14ac:dyDescent="0.3">
      <c r="A101" t="s">
        <v>496</v>
      </c>
      <c r="B101" s="1" t="s">
        <v>497</v>
      </c>
      <c r="C101" t="s">
        <v>358</v>
      </c>
      <c r="D101" s="1" t="s">
        <v>359</v>
      </c>
      <c r="E101">
        <v>2.9088447530847502E-4</v>
      </c>
      <c r="F101">
        <v>2.8608893488430901E-4</v>
      </c>
      <c r="G101">
        <v>2.4192124714209201E-4</v>
      </c>
      <c r="H101">
        <v>6.7547128431725504E-4</v>
      </c>
      <c r="I101">
        <v>1.1431052127006201E-3</v>
      </c>
      <c r="J101">
        <v>2.1439284722124898E-3</v>
      </c>
      <c r="K101">
        <v>1.53409409040837E-3</v>
      </c>
      <c r="L101">
        <v>1.8088258164891601E-4</v>
      </c>
      <c r="M101">
        <v>5.5903052148693097E-4</v>
      </c>
      <c r="N101">
        <v>8.4027346581863702E-4</v>
      </c>
      <c r="O101">
        <v>4.3867765624905298E-4</v>
      </c>
      <c r="P101">
        <v>1.1751627322132E-3</v>
      </c>
      <c r="Q101">
        <v>9.2690576903341399E-4</v>
      </c>
      <c r="R101">
        <v>8.9959189971883301E-4</v>
      </c>
      <c r="S101">
        <v>7.6113657690117704E-4</v>
      </c>
      <c r="T101">
        <v>6.7642826156478597E-4</v>
      </c>
      <c r="U101">
        <v>2.4698891305257199E-3</v>
      </c>
      <c r="V101">
        <v>3.3230732252469901E-3</v>
      </c>
      <c r="W101">
        <v>3.4056614494191E-3</v>
      </c>
      <c r="X101">
        <v>4.9111615988141301E-3</v>
      </c>
      <c r="Y101">
        <v>2.08868684461887E-2</v>
      </c>
      <c r="Z101">
        <v>2.382024508965E-2</v>
      </c>
      <c r="AA101">
        <v>2.7377574034635602E-2</v>
      </c>
      <c r="AB101">
        <v>4.6339453650886098E-2</v>
      </c>
      <c r="AC101">
        <v>3.9427823041497202E-2</v>
      </c>
      <c r="AD101">
        <v>2.8960634196697699E-2</v>
      </c>
      <c r="AE101">
        <v>5.0982845551081603E-2</v>
      </c>
      <c r="AF101">
        <f t="shared" si="1"/>
        <v>9.8029189850463473E-3</v>
      </c>
    </row>
    <row r="102" spans="1:32" x14ac:dyDescent="0.3">
      <c r="A102" t="s">
        <v>496</v>
      </c>
      <c r="B102" s="1" t="s">
        <v>497</v>
      </c>
      <c r="C102" t="s">
        <v>66</v>
      </c>
      <c r="D102" s="1" t="s">
        <v>67</v>
      </c>
      <c r="E102">
        <v>9.8238262502742101E-3</v>
      </c>
      <c r="F102">
        <v>4.4344885417674403E-3</v>
      </c>
      <c r="G102">
        <v>4.0472098325286601E-3</v>
      </c>
      <c r="H102">
        <v>3.6061388917098401E-3</v>
      </c>
      <c r="I102">
        <v>6.2220350595428801E-3</v>
      </c>
      <c r="J102">
        <v>8.9609789157505601E-3</v>
      </c>
      <c r="K102">
        <v>7.3411310414453496E-3</v>
      </c>
      <c r="L102">
        <v>4.7372425417446197E-3</v>
      </c>
      <c r="M102">
        <v>2.7536289199278398E-3</v>
      </c>
      <c r="N102">
        <v>3.0056774563572601E-3</v>
      </c>
      <c r="O102">
        <v>6.2574371393769399E-3</v>
      </c>
      <c r="P102">
        <v>8.5715957653946205E-3</v>
      </c>
      <c r="Q102">
        <v>9.8815867335816706E-3</v>
      </c>
      <c r="R102">
        <v>1.04550387415471E-2</v>
      </c>
      <c r="S102">
        <v>1.25651343981811E-2</v>
      </c>
      <c r="T102">
        <v>8.2234626726973795E-3</v>
      </c>
      <c r="U102">
        <v>1.8827598856803299E-2</v>
      </c>
      <c r="V102">
        <v>2.0460383695257E-2</v>
      </c>
      <c r="W102">
        <v>2.3677064362804999E-2</v>
      </c>
      <c r="X102">
        <v>2.0579813277068999E-2</v>
      </c>
      <c r="Y102">
        <v>1.0098951027156799E-2</v>
      </c>
      <c r="Z102">
        <v>3.6186350221517902E-3</v>
      </c>
      <c r="AA102">
        <v>4.1047939559615198E-3</v>
      </c>
      <c r="AB102">
        <v>7.3250257189181999E-3</v>
      </c>
      <c r="AC102">
        <v>8.1904995888136198E-3</v>
      </c>
      <c r="AD102">
        <v>5.8625748806262201E-3</v>
      </c>
      <c r="AE102">
        <v>7.2164177451088203E-3</v>
      </c>
      <c r="AF102">
        <f t="shared" si="1"/>
        <v>8.9203100382406943E-3</v>
      </c>
    </row>
    <row r="103" spans="1:32" x14ac:dyDescent="0.3">
      <c r="A103" t="s">
        <v>496</v>
      </c>
      <c r="B103" s="1" t="s">
        <v>497</v>
      </c>
      <c r="C103" t="s">
        <v>368</v>
      </c>
      <c r="D103" s="1" t="s">
        <v>369</v>
      </c>
      <c r="E103">
        <v>1.43071692621602E-2</v>
      </c>
      <c r="F103">
        <v>1.7408028609427199E-2</v>
      </c>
      <c r="G103">
        <v>1.25036362250003E-2</v>
      </c>
      <c r="H103">
        <v>8.3139287869640095E-3</v>
      </c>
      <c r="I103">
        <v>9.5030904663506097E-3</v>
      </c>
      <c r="J103">
        <v>1.2609466230998701E-4</v>
      </c>
      <c r="K103">
        <v>3.5895264960964001E-4</v>
      </c>
      <c r="L103">
        <v>1.4850599357993299E-3</v>
      </c>
      <c r="M103">
        <v>4.7603066062789799E-3</v>
      </c>
      <c r="N103">
        <v>5.2333697148962601E-3</v>
      </c>
      <c r="O103">
        <v>2.6825024170820501E-3</v>
      </c>
      <c r="P103">
        <v>6.0688778483572398E-3</v>
      </c>
      <c r="Q103">
        <v>3.7718145688480698E-3</v>
      </c>
      <c r="R103">
        <v>2.61809827399312E-3</v>
      </c>
      <c r="S103">
        <v>5.9617966754395499E-3</v>
      </c>
      <c r="T103">
        <v>9.40247583466957E-3</v>
      </c>
      <c r="U103">
        <v>1.9785092623651902E-2</v>
      </c>
      <c r="V103">
        <v>2.1257362600317801E-2</v>
      </c>
      <c r="W103">
        <v>1.9320866148499299E-2</v>
      </c>
      <c r="X103">
        <v>1.52501972623905E-2</v>
      </c>
      <c r="Y103">
        <v>7.9953009109831694E-3</v>
      </c>
      <c r="Z103">
        <v>4.6192184758748296E-3</v>
      </c>
      <c r="AA103">
        <v>4.38609604403223E-3</v>
      </c>
      <c r="AB103">
        <v>4.1837480514123398E-3</v>
      </c>
      <c r="AC103">
        <v>5.4369036750935096E-3</v>
      </c>
      <c r="AD103">
        <v>3.4485204397438798E-3</v>
      </c>
      <c r="AE103">
        <v>2.5988485302080198E-3</v>
      </c>
      <c r="AF103">
        <f t="shared" si="1"/>
        <v>7.8810132333108733E-3</v>
      </c>
    </row>
    <row r="104" spans="1:32" x14ac:dyDescent="0.3">
      <c r="A104" t="s">
        <v>496</v>
      </c>
      <c r="B104" s="1" t="s">
        <v>497</v>
      </c>
      <c r="C104" t="s">
        <v>138</v>
      </c>
      <c r="D104" s="1" t="s">
        <v>139</v>
      </c>
      <c r="E104">
        <v>9.9165693864166002E-3</v>
      </c>
      <c r="F104">
        <v>7.8286400869459708E-3</v>
      </c>
      <c r="G104">
        <v>8.2390770543375891E-3</v>
      </c>
      <c r="H104">
        <v>1.03779761232363E-3</v>
      </c>
      <c r="I104">
        <v>1.07499109474938E-3</v>
      </c>
      <c r="J104">
        <v>7.4433765801998003E-3</v>
      </c>
      <c r="K104">
        <v>1.0431718335105601E-2</v>
      </c>
      <c r="L104">
        <v>6.1207657106258102E-3</v>
      </c>
      <c r="M104">
        <v>6.2622721329893497E-3</v>
      </c>
      <c r="N104">
        <v>5.7278736002702004E-3</v>
      </c>
      <c r="O104">
        <v>4.0429936430414499E-3</v>
      </c>
      <c r="P104">
        <v>7.5732829722643504E-3</v>
      </c>
      <c r="Q104">
        <v>7.1543319080121202E-3</v>
      </c>
      <c r="R104">
        <v>1.01994932672347E-2</v>
      </c>
      <c r="S104">
        <v>9.30088435824045E-3</v>
      </c>
      <c r="T104">
        <v>9.2046137748873803E-3</v>
      </c>
      <c r="U104">
        <v>1.2088319721364401E-2</v>
      </c>
      <c r="V104">
        <v>1.5710783266818299E-2</v>
      </c>
      <c r="W104">
        <v>1.46450305832525E-2</v>
      </c>
      <c r="X104">
        <v>1.08856455416215E-2</v>
      </c>
      <c r="Y104">
        <v>8.6639544040760397E-3</v>
      </c>
      <c r="Z104">
        <v>4.3476884386616501E-3</v>
      </c>
      <c r="AA104">
        <v>5.6664701024383701E-3</v>
      </c>
      <c r="AB104">
        <v>7.5991296603768101E-3</v>
      </c>
      <c r="AC104">
        <v>4.9983753878955397E-3</v>
      </c>
      <c r="AD104">
        <v>2.3967548175807402E-3</v>
      </c>
      <c r="AE104">
        <v>1.21354470762149E-2</v>
      </c>
      <c r="AF104">
        <f t="shared" si="1"/>
        <v>7.8035659451090797E-3</v>
      </c>
    </row>
    <row r="105" spans="1:32" x14ac:dyDescent="0.3">
      <c r="A105" t="s">
        <v>496</v>
      </c>
      <c r="B105" s="1" t="s">
        <v>497</v>
      </c>
      <c r="C105" t="s">
        <v>430</v>
      </c>
      <c r="D105" s="1" t="s">
        <v>431</v>
      </c>
      <c r="E105">
        <v>2.38638560193092E-3</v>
      </c>
      <c r="F105">
        <v>2.43005197422621E-3</v>
      </c>
      <c r="G105">
        <v>3.0869842900993999E-3</v>
      </c>
      <c r="H105">
        <v>4.9882288330168299E-4</v>
      </c>
      <c r="I105">
        <v>8.2896989649657298E-4</v>
      </c>
      <c r="J105">
        <v>4.5717451691264302E-3</v>
      </c>
      <c r="K105">
        <v>6.2239872042963301E-3</v>
      </c>
      <c r="L105">
        <v>4.9822332133887702E-3</v>
      </c>
      <c r="M105">
        <v>6.1526168524154504E-3</v>
      </c>
      <c r="N105">
        <v>5.2389573152381401E-3</v>
      </c>
      <c r="O105">
        <v>4.5346299525232496E-3</v>
      </c>
      <c r="P105">
        <v>9.55265456367318E-3</v>
      </c>
      <c r="Q105">
        <v>8.9825646276115202E-3</v>
      </c>
      <c r="R105">
        <v>1.43865495451754E-2</v>
      </c>
      <c r="S105">
        <v>8.6004994865552693E-3</v>
      </c>
      <c r="T105">
        <v>6.4592483446972897E-3</v>
      </c>
      <c r="U105">
        <v>1.0043110729441499E-2</v>
      </c>
      <c r="V105">
        <v>8.4287189832921508E-3</v>
      </c>
      <c r="W105">
        <v>6.3902615680249599E-3</v>
      </c>
      <c r="X105">
        <v>4.16164956058869E-3</v>
      </c>
      <c r="Y105">
        <v>2.6576699551482501E-3</v>
      </c>
      <c r="Z105">
        <v>1.5097730781581701E-3</v>
      </c>
      <c r="AA105">
        <v>2.01762233420955E-3</v>
      </c>
      <c r="AB105">
        <v>4.2848856323578497E-3</v>
      </c>
      <c r="AC105">
        <v>3.3684737362644E-3</v>
      </c>
      <c r="AD105">
        <v>1.6730517331749199E-3</v>
      </c>
      <c r="AE105">
        <v>7.4818120773528403E-3</v>
      </c>
      <c r="AF105">
        <f t="shared" si="1"/>
        <v>5.2197751966210782E-3</v>
      </c>
    </row>
    <row r="106" spans="1:32" x14ac:dyDescent="0.3">
      <c r="A106" t="s">
        <v>496</v>
      </c>
      <c r="B106" s="1" t="s">
        <v>497</v>
      </c>
      <c r="C106" t="s">
        <v>230</v>
      </c>
      <c r="D106" s="1" t="s">
        <v>231</v>
      </c>
      <c r="E106">
        <v>1.9807877649731698E-3</v>
      </c>
      <c r="F106">
        <v>2.5880415057550799E-3</v>
      </c>
      <c r="G106">
        <v>3.0661516971914899E-3</v>
      </c>
      <c r="H106">
        <v>2.4131367450624598E-3</v>
      </c>
      <c r="I106">
        <v>2.3608231545932698E-3</v>
      </c>
      <c r="J106">
        <v>3.6993015087128699E-3</v>
      </c>
      <c r="K106">
        <v>3.80596647727958E-3</v>
      </c>
      <c r="L106">
        <v>3.8301351032339098E-3</v>
      </c>
      <c r="M106">
        <v>4.6100667539935997E-3</v>
      </c>
      <c r="N106">
        <v>5.0965285045912103E-3</v>
      </c>
      <c r="O106">
        <v>5.5807473027226096E-3</v>
      </c>
      <c r="P106">
        <v>5.7403649715426202E-3</v>
      </c>
      <c r="Q106">
        <v>6.2030779159015998E-3</v>
      </c>
      <c r="R106">
        <v>6.1177843180094298E-3</v>
      </c>
      <c r="S106">
        <v>5.4749933850924103E-3</v>
      </c>
      <c r="T106">
        <v>5.1661659745429796E-3</v>
      </c>
      <c r="U106">
        <v>5.2977277654546297E-3</v>
      </c>
      <c r="V106">
        <v>4.8147436668970599E-3</v>
      </c>
      <c r="W106">
        <v>4.7762987570261102E-3</v>
      </c>
      <c r="X106">
        <v>6.2921048995695696E-3</v>
      </c>
      <c r="Y106">
        <v>7.5071208391143899E-3</v>
      </c>
      <c r="Z106">
        <v>5.0193285479093099E-3</v>
      </c>
      <c r="AA106">
        <v>5.5471556244412199E-3</v>
      </c>
      <c r="AB106">
        <v>7.1127231326354899E-3</v>
      </c>
      <c r="AC106">
        <v>6.45252953430339E-3</v>
      </c>
      <c r="AD106">
        <v>4.8405210394081299E-3</v>
      </c>
      <c r="AE106">
        <v>8.8070035570798708E-3</v>
      </c>
      <c r="AF106">
        <f t="shared" si="1"/>
        <v>4.9704196461865724E-3</v>
      </c>
    </row>
    <row r="107" spans="1:32" x14ac:dyDescent="0.3">
      <c r="A107" t="s">
        <v>496</v>
      </c>
      <c r="B107" s="1" t="s">
        <v>497</v>
      </c>
      <c r="C107" t="s">
        <v>300</v>
      </c>
      <c r="D107" s="1" t="s">
        <v>301</v>
      </c>
      <c r="E107">
        <v>1.1164140323233001E-3</v>
      </c>
      <c r="F107">
        <v>1.40103228702109E-3</v>
      </c>
      <c r="G107">
        <v>3.0305858108503601E-3</v>
      </c>
      <c r="H107">
        <v>2.8931574734707899E-3</v>
      </c>
      <c r="I107">
        <v>3.2151814881882499E-3</v>
      </c>
      <c r="J107">
        <v>5.0560166845148198E-3</v>
      </c>
      <c r="K107">
        <v>5.5266780553381899E-3</v>
      </c>
      <c r="L107">
        <v>4.2865136108573001E-3</v>
      </c>
      <c r="M107">
        <v>3.2357584255989298E-3</v>
      </c>
      <c r="N107">
        <v>4.39367389605553E-3</v>
      </c>
      <c r="O107">
        <v>3.5771807255954402E-3</v>
      </c>
      <c r="P107">
        <v>5.38870749098225E-3</v>
      </c>
      <c r="Q107">
        <v>5.2266946835513002E-3</v>
      </c>
      <c r="R107">
        <v>3.84882894495432E-3</v>
      </c>
      <c r="S107">
        <v>3.2704552967643698E-3</v>
      </c>
      <c r="T107">
        <v>3.6884916252408299E-3</v>
      </c>
      <c r="U107">
        <v>4.8717643403950496E-3</v>
      </c>
      <c r="V107">
        <v>6.9040956027098498E-3</v>
      </c>
      <c r="W107">
        <v>7.9480430667575094E-3</v>
      </c>
      <c r="X107">
        <v>6.8782887047693104E-3</v>
      </c>
      <c r="Y107">
        <v>4.3236793593729997E-3</v>
      </c>
      <c r="Z107">
        <v>2.95472045218195E-3</v>
      </c>
      <c r="AA107">
        <v>3.40502839948628E-3</v>
      </c>
      <c r="AB107">
        <v>5.3992427269532401E-3</v>
      </c>
      <c r="AC107">
        <v>5.8722525176935596E-3</v>
      </c>
      <c r="AD107">
        <v>6.3192977519929599E-3</v>
      </c>
      <c r="AE107">
        <v>9.2134659068733409E-3</v>
      </c>
      <c r="AF107">
        <f t="shared" si="1"/>
        <v>4.564638865203449E-3</v>
      </c>
    </row>
    <row r="108" spans="1:32" x14ac:dyDescent="0.3">
      <c r="A108" t="s">
        <v>496</v>
      </c>
      <c r="B108" s="1" t="s">
        <v>497</v>
      </c>
      <c r="C108" t="s">
        <v>406</v>
      </c>
      <c r="D108" s="1" t="s">
        <v>407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8.8000500514565008E-3</v>
      </c>
      <c r="L108">
        <v>5.0251047321131304E-3</v>
      </c>
      <c r="M108">
        <v>3.14292556142868E-3</v>
      </c>
      <c r="N108">
        <v>2.5923277373233302E-3</v>
      </c>
      <c r="O108">
        <v>4.3483675207183102E-3</v>
      </c>
      <c r="P108">
        <v>4.5885530960660002E-3</v>
      </c>
      <c r="Q108">
        <v>5.6009874717888701E-3</v>
      </c>
      <c r="R108">
        <v>5.6286725236785696E-3</v>
      </c>
      <c r="S108">
        <v>5.5984975475813796E-3</v>
      </c>
      <c r="T108">
        <v>3.4737955988175299E-3</v>
      </c>
      <c r="U108">
        <v>7.22009941861965E-3</v>
      </c>
      <c r="V108">
        <v>6.90641151904793E-3</v>
      </c>
      <c r="W108">
        <v>7.68155481017302E-3</v>
      </c>
      <c r="X108">
        <v>6.8835515066350897E-3</v>
      </c>
      <c r="Y108">
        <v>3.3064037655620802E-3</v>
      </c>
      <c r="Z108">
        <v>2.3368956109642101E-3</v>
      </c>
      <c r="AA108">
        <v>3.1708539612940599E-3</v>
      </c>
      <c r="AB108">
        <v>7.3787333698098496E-3</v>
      </c>
      <c r="AC108">
        <v>8.46646242140979E-3</v>
      </c>
      <c r="AD108">
        <v>6.8415489224602699E-3</v>
      </c>
      <c r="AE108">
        <v>1.14578354460793E-2</v>
      </c>
      <c r="AF108">
        <f t="shared" si="1"/>
        <v>4.4610975034454648E-3</v>
      </c>
    </row>
    <row r="109" spans="1:32" x14ac:dyDescent="0.3">
      <c r="A109" t="s">
        <v>496</v>
      </c>
      <c r="B109" s="1" t="s">
        <v>497</v>
      </c>
      <c r="C109" t="s">
        <v>292</v>
      </c>
      <c r="D109" s="1" t="s">
        <v>293</v>
      </c>
      <c r="E109">
        <v>3.1652615696383502E-4</v>
      </c>
      <c r="F109">
        <v>2.9476968973622501E-4</v>
      </c>
      <c r="G109">
        <v>2.39481600331087E-4</v>
      </c>
      <c r="H109">
        <v>3.5515250253039497E-5</v>
      </c>
      <c r="I109">
        <v>4.6115890268242198E-5</v>
      </c>
      <c r="J109">
        <v>2.85725649604128E-4</v>
      </c>
      <c r="K109">
        <v>4.8116746754974898E-4</v>
      </c>
      <c r="L109">
        <v>3.2394599072994E-4</v>
      </c>
      <c r="M109">
        <v>2.3710532933595999E-4</v>
      </c>
      <c r="N109">
        <v>2.7969018357535899E-4</v>
      </c>
      <c r="O109">
        <v>2.0702258900867201E-4</v>
      </c>
      <c r="P109">
        <v>9.5462056698817799E-2</v>
      </c>
      <c r="Q109">
        <v>1.6207200152596E-4</v>
      </c>
      <c r="R109">
        <v>2.67087056866113E-4</v>
      </c>
      <c r="S109">
        <v>3.3568440854105802E-4</v>
      </c>
      <c r="T109">
        <v>8.8222605006281195E-5</v>
      </c>
      <c r="U109">
        <v>7.4860282316386399E-5</v>
      </c>
      <c r="V109">
        <v>1.5144900469669101E-4</v>
      </c>
      <c r="W109">
        <v>1.36316341731475E-4</v>
      </c>
      <c r="X109">
        <v>7.2919597903261797E-5</v>
      </c>
      <c r="Y109">
        <v>6.6220017400727899E-5</v>
      </c>
      <c r="Z109">
        <v>5.0439762560901898E-5</v>
      </c>
      <c r="AA109">
        <v>5.84473503480182E-5</v>
      </c>
      <c r="AB109">
        <v>7.3133624275544296E-5</v>
      </c>
      <c r="AC109">
        <v>3.5470688092364802E-5</v>
      </c>
      <c r="AD109">
        <v>1.97113564430777E-6</v>
      </c>
      <c r="AE109">
        <v>6.08786635979016E-5</v>
      </c>
      <c r="AF109">
        <f t="shared" si="1"/>
        <v>3.6979368532104079E-3</v>
      </c>
    </row>
    <row r="110" spans="1:32" x14ac:dyDescent="0.3">
      <c r="A110" t="s">
        <v>496</v>
      </c>
      <c r="B110" s="1" t="s">
        <v>497</v>
      </c>
      <c r="C110" t="s">
        <v>320</v>
      </c>
      <c r="D110" s="1" t="s">
        <v>321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2.4807711564443401E-2</v>
      </c>
      <c r="AC110">
        <v>2.5053696737684698E-2</v>
      </c>
      <c r="AD110">
        <v>1.76684406437786E-2</v>
      </c>
      <c r="AE110">
        <v>3.0313693486068799E-2</v>
      </c>
      <c r="AF110">
        <f t="shared" si="1"/>
        <v>3.6238349048879812E-3</v>
      </c>
    </row>
    <row r="111" spans="1:32" x14ac:dyDescent="0.3">
      <c r="A111" t="s">
        <v>496</v>
      </c>
      <c r="B111" s="1" t="s">
        <v>497</v>
      </c>
      <c r="C111" t="s">
        <v>72</v>
      </c>
      <c r="D111" s="1" t="s">
        <v>73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1.2406585955482699E-2</v>
      </c>
      <c r="U111">
        <v>2.03645268625787E-2</v>
      </c>
      <c r="V111">
        <v>1.53731327815479E-2</v>
      </c>
      <c r="W111">
        <v>5.9190944349549199E-3</v>
      </c>
      <c r="X111">
        <v>7.2804603213085803E-3</v>
      </c>
      <c r="Y111">
        <v>3.7060105918705001E-3</v>
      </c>
      <c r="Z111">
        <v>1.55713039584368E-3</v>
      </c>
      <c r="AA111">
        <v>1.5939212837048299E-3</v>
      </c>
      <c r="AB111">
        <v>3.0619881387516702E-3</v>
      </c>
      <c r="AC111">
        <v>2.47122713963401E-3</v>
      </c>
      <c r="AD111">
        <v>1.22004390763011E-3</v>
      </c>
      <c r="AE111">
        <v>1.6512454161137799E-3</v>
      </c>
      <c r="AF111">
        <f t="shared" si="1"/>
        <v>2.837235823311903E-3</v>
      </c>
    </row>
    <row r="112" spans="1:32" x14ac:dyDescent="0.3">
      <c r="A112" t="s">
        <v>496</v>
      </c>
      <c r="B112" s="1" t="s">
        <v>497</v>
      </c>
      <c r="C112" t="s">
        <v>170</v>
      </c>
      <c r="D112" s="1" t="s">
        <v>171</v>
      </c>
      <c r="E112">
        <v>5.2553636215025403E-3</v>
      </c>
      <c r="F112">
        <v>4.3447754422377902E-3</v>
      </c>
      <c r="G112">
        <v>4.5927040737675897E-3</v>
      </c>
      <c r="H112">
        <v>5.00524447339392E-4</v>
      </c>
      <c r="I112">
        <v>4.4699778479824601E-4</v>
      </c>
      <c r="J112">
        <v>2.9950657905807401E-3</v>
      </c>
      <c r="K112">
        <v>6.3578362105501099E-3</v>
      </c>
      <c r="L112">
        <v>4.23334274640622E-3</v>
      </c>
      <c r="M112">
        <v>3.3223645531099502E-3</v>
      </c>
      <c r="N112">
        <v>2.2083480987080098E-3</v>
      </c>
      <c r="O112">
        <v>1.48807022362251E-3</v>
      </c>
      <c r="P112">
        <v>3.6644600177254002E-3</v>
      </c>
      <c r="Q112">
        <v>2.8542799234592799E-3</v>
      </c>
      <c r="R112">
        <v>4.1638138860201398E-3</v>
      </c>
      <c r="S112">
        <v>3.0013145449839401E-3</v>
      </c>
      <c r="T112">
        <v>2.32971591807025E-3</v>
      </c>
      <c r="U112">
        <v>2.5865182340428301E-3</v>
      </c>
      <c r="V112">
        <v>2.5828883032251101E-3</v>
      </c>
      <c r="W112">
        <v>1.5493248242741001E-3</v>
      </c>
      <c r="X112">
        <v>4.7187651683295198E-5</v>
      </c>
      <c r="Y112">
        <v>6.2380326009974004E-5</v>
      </c>
      <c r="Z112">
        <v>3.4448732540520301E-5</v>
      </c>
      <c r="AA112">
        <v>3.5823535442516902E-5</v>
      </c>
      <c r="AB112">
        <v>2.9248974970257101E-5</v>
      </c>
      <c r="AC112">
        <v>3.8472611056052498E-5</v>
      </c>
      <c r="AD112">
        <v>2.13920330256276E-5</v>
      </c>
      <c r="AE112">
        <v>1.3779568674090101E-4</v>
      </c>
      <c r="AF112">
        <f t="shared" si="1"/>
        <v>2.180905859107159E-3</v>
      </c>
    </row>
    <row r="113" spans="1:32" x14ac:dyDescent="0.3">
      <c r="A113" t="s">
        <v>496</v>
      </c>
      <c r="B113" s="1" t="s">
        <v>497</v>
      </c>
      <c r="C113" t="s">
        <v>242</v>
      </c>
      <c r="D113" s="1" t="s">
        <v>243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1.34458483003077E-3</v>
      </c>
      <c r="O113">
        <v>4.5793537016513997E-3</v>
      </c>
      <c r="P113">
        <v>2.9059429734621701E-3</v>
      </c>
      <c r="Q113">
        <v>2.53355126596425E-3</v>
      </c>
      <c r="R113">
        <v>3.14333646957568E-3</v>
      </c>
      <c r="S113">
        <v>3.5177285279006298E-3</v>
      </c>
      <c r="T113">
        <v>3.6050078043883601E-3</v>
      </c>
      <c r="U113">
        <v>2.97918053953984E-3</v>
      </c>
      <c r="V113">
        <v>2.7206161612154801E-3</v>
      </c>
      <c r="W113">
        <v>2.8328691488789899E-3</v>
      </c>
      <c r="X113">
        <v>2.2569821681547898E-3</v>
      </c>
      <c r="Y113">
        <v>1.62378207382868E-3</v>
      </c>
      <c r="Z113">
        <v>1.33201099970313E-3</v>
      </c>
      <c r="AA113">
        <v>2.6478234498813601E-3</v>
      </c>
      <c r="AB113">
        <v>4.0776666433177703E-3</v>
      </c>
      <c r="AC113">
        <v>4.9699083054345798E-3</v>
      </c>
      <c r="AD113">
        <v>4.34773092204482E-3</v>
      </c>
      <c r="AE113">
        <v>5.1989680684581098E-3</v>
      </c>
      <c r="AF113">
        <f t="shared" si="1"/>
        <v>2.0969275575344749E-3</v>
      </c>
    </row>
    <row r="114" spans="1:32" x14ac:dyDescent="0.3">
      <c r="A114" t="s">
        <v>496</v>
      </c>
      <c r="B114" s="1" t="s">
        <v>497</v>
      </c>
      <c r="C114" t="s">
        <v>122</v>
      </c>
      <c r="D114" s="1" t="s">
        <v>123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5.1376957111961396E-3</v>
      </c>
      <c r="Q114">
        <v>8.5533364806232495E-3</v>
      </c>
      <c r="R114">
        <v>8.9632354159290394E-3</v>
      </c>
      <c r="S114">
        <v>8.1376594459377696E-3</v>
      </c>
      <c r="T114">
        <v>7.79976296726188E-3</v>
      </c>
      <c r="U114">
        <v>9.5730701789558809E-3</v>
      </c>
      <c r="V114" t="s">
        <v>34</v>
      </c>
      <c r="W114" t="s">
        <v>34</v>
      </c>
      <c r="X114">
        <v>5.6101688827506603E-4</v>
      </c>
      <c r="Y114">
        <v>2.1856597277561E-4</v>
      </c>
      <c r="Z114">
        <v>4.5910066400621098E-5</v>
      </c>
      <c r="AA114">
        <v>4.8541490130210399E-5</v>
      </c>
      <c r="AB114">
        <v>6.1229890605840601E-5</v>
      </c>
      <c r="AC114">
        <v>6.0417279686476501E-5</v>
      </c>
      <c r="AD114">
        <v>0</v>
      </c>
      <c r="AE114">
        <v>0</v>
      </c>
      <c r="AF114">
        <f t="shared" si="1"/>
        <v>1.9664176715111113E-3</v>
      </c>
    </row>
    <row r="115" spans="1:32" x14ac:dyDescent="0.3">
      <c r="A115" t="s">
        <v>496</v>
      </c>
      <c r="B115" s="1" t="s">
        <v>497</v>
      </c>
      <c r="C115" t="s">
        <v>382</v>
      </c>
      <c r="D115" s="1" t="s">
        <v>383</v>
      </c>
      <c r="E115">
        <v>2.1958997093581398E-3</v>
      </c>
      <c r="F115">
        <v>1.50084034222837E-3</v>
      </c>
      <c r="G115">
        <v>1.5589682640078501E-3</v>
      </c>
      <c r="H115">
        <v>1.2678486823438099E-4</v>
      </c>
      <c r="I115">
        <v>8.5889141278865496E-5</v>
      </c>
      <c r="J115">
        <v>8.0925034849162897E-4</v>
      </c>
      <c r="K115">
        <v>1.43395279994485E-3</v>
      </c>
      <c r="L115">
        <v>9.6295973756298095E-4</v>
      </c>
      <c r="M115">
        <v>6.9022323651969804E-4</v>
      </c>
      <c r="N115">
        <v>5.3054118328901996E-4</v>
      </c>
      <c r="O115">
        <v>3.4173835666426102E-4</v>
      </c>
      <c r="P115">
        <v>6.9983232492084604E-4</v>
      </c>
      <c r="Q115">
        <v>4.4519335430345201E-4</v>
      </c>
      <c r="R115">
        <v>6.9581439650710504E-4</v>
      </c>
      <c r="S115">
        <v>5.4162871983456397E-4</v>
      </c>
      <c r="T115">
        <v>1.18709277855289E-3</v>
      </c>
      <c r="U115">
        <v>4.8844783789609803E-4</v>
      </c>
      <c r="V115">
        <v>5.6636019335546501E-4</v>
      </c>
      <c r="W115">
        <v>8.0215237515331704E-4</v>
      </c>
      <c r="X115">
        <v>5.5481512752941298E-4</v>
      </c>
      <c r="Y115">
        <v>4.7591716761233202E-4</v>
      </c>
      <c r="Z115">
        <v>4.5244252600591998E-4</v>
      </c>
      <c r="AA115">
        <v>9.7145979926599403E-4</v>
      </c>
      <c r="AB115">
        <v>2.6510687563406402E-3</v>
      </c>
      <c r="AC115">
        <v>7.9106213906991599E-4</v>
      </c>
      <c r="AD115">
        <v>3.0952431465098901E-4</v>
      </c>
      <c r="AE115">
        <v>1.4338782731892501E-3</v>
      </c>
      <c r="AF115">
        <f t="shared" si="1"/>
        <v>8.6310141006549026E-4</v>
      </c>
    </row>
    <row r="116" spans="1:32" x14ac:dyDescent="0.3">
      <c r="A116" t="s">
        <v>496</v>
      </c>
      <c r="B116" s="1" t="s">
        <v>497</v>
      </c>
      <c r="C116" t="s">
        <v>194</v>
      </c>
      <c r="D116" s="1" t="s">
        <v>195</v>
      </c>
      <c r="E116">
        <v>7.2808214376551405E-4</v>
      </c>
      <c r="F116">
        <v>7.0444021559523998E-4</v>
      </c>
      <c r="G116">
        <v>6.1689488276132302E-4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8.1641932107994301E-3</v>
      </c>
      <c r="AC116">
        <v>1.1848495306506E-2</v>
      </c>
      <c r="AD116">
        <v>5.23901249052368E-5</v>
      </c>
      <c r="AE116">
        <v>7.6703186967067399E-5</v>
      </c>
      <c r="AF116">
        <f t="shared" si="1"/>
        <v>8.2189626189999303E-4</v>
      </c>
    </row>
    <row r="117" spans="1:32" x14ac:dyDescent="0.3">
      <c r="A117" t="s">
        <v>496</v>
      </c>
      <c r="B117" s="1" t="s">
        <v>497</v>
      </c>
      <c r="C117" t="s">
        <v>110</v>
      </c>
      <c r="D117" s="1" t="s">
        <v>111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3.6785463425189398E-3</v>
      </c>
      <c r="AE117">
        <v>1.3490946600622E-2</v>
      </c>
      <c r="AF117">
        <f t="shared" si="1"/>
        <v>6.3590714604225707E-4</v>
      </c>
    </row>
    <row r="118" spans="1:32" x14ac:dyDescent="0.3">
      <c r="A118" t="s">
        <v>496</v>
      </c>
      <c r="B118" s="1" t="s">
        <v>497</v>
      </c>
      <c r="C118" t="s">
        <v>392</v>
      </c>
      <c r="D118" s="1" t="s">
        <v>393</v>
      </c>
      <c r="E118">
        <v>3.3054228582663598E-4</v>
      </c>
      <c r="F118">
        <v>1.67903831537922E-4</v>
      </c>
      <c r="G118">
        <v>6.4643438837313203E-4</v>
      </c>
      <c r="H118">
        <v>5.20928087999325E-5</v>
      </c>
      <c r="I118">
        <v>6.5758083907265104E-5</v>
      </c>
      <c r="J118">
        <v>5.74298800955914E-4</v>
      </c>
      <c r="K118">
        <v>3.6885047102891799E-3</v>
      </c>
      <c r="L118">
        <v>2.4888325002170499E-3</v>
      </c>
      <c r="M118">
        <v>1.02716767032723E-3</v>
      </c>
      <c r="N118">
        <v>1.0470210972523301E-3</v>
      </c>
      <c r="O118">
        <v>3.7531638835149001E-4</v>
      </c>
      <c r="P118">
        <v>3.0716542339041298E-4</v>
      </c>
      <c r="Q118">
        <v>8.3338451777759795E-5</v>
      </c>
      <c r="R118">
        <v>1.21351888769049E-4</v>
      </c>
      <c r="S118">
        <v>8.1727543443788395E-5</v>
      </c>
      <c r="T118">
        <v>2.98892223443581E-4</v>
      </c>
      <c r="U118">
        <v>3.9108502139005103E-4</v>
      </c>
      <c r="V118">
        <v>5.2050604641303304E-4</v>
      </c>
      <c r="W118">
        <v>5.3947476331586003E-4</v>
      </c>
      <c r="X118">
        <v>1.6092734064790799E-4</v>
      </c>
      <c r="Y118">
        <v>3.50962287631232E-4</v>
      </c>
      <c r="Z118">
        <v>1.79721487811782E-4</v>
      </c>
      <c r="AA118">
        <v>1.15964213353521E-4</v>
      </c>
      <c r="AB118">
        <v>5.4436665351805197E-4</v>
      </c>
      <c r="AC118">
        <v>5.9504319685153601E-4</v>
      </c>
      <c r="AD118">
        <v>1.1369527281599E-4</v>
      </c>
      <c r="AE118">
        <v>5.6721973043526597E-4</v>
      </c>
      <c r="AF118">
        <f t="shared" si="1"/>
        <v>5.7167830040173717E-4</v>
      </c>
    </row>
    <row r="119" spans="1:32" x14ac:dyDescent="0.3">
      <c r="A119" t="s">
        <v>496</v>
      </c>
      <c r="B119" s="1" t="s">
        <v>497</v>
      </c>
      <c r="C119" t="s">
        <v>186</v>
      </c>
      <c r="D119" s="1" t="s">
        <v>187</v>
      </c>
      <c r="E119">
        <v>9.65662229836479E-4</v>
      </c>
      <c r="F119">
        <v>9.2022485033765899E-4</v>
      </c>
      <c r="G119">
        <v>9.8356791671409599E-4</v>
      </c>
      <c r="H119">
        <v>1.1420740290162799E-4</v>
      </c>
      <c r="I119">
        <v>7.0510895136999496E-6</v>
      </c>
      <c r="J119">
        <v>8.8146655751828904E-4</v>
      </c>
      <c r="K119">
        <v>1.71117129151837E-3</v>
      </c>
      <c r="L119">
        <v>1.2030842472653101E-3</v>
      </c>
      <c r="M119">
        <v>7.3241303028309505E-4</v>
      </c>
      <c r="N119">
        <v>5.0402041907904804E-4</v>
      </c>
      <c r="O119">
        <v>2.6549425870367699E-4</v>
      </c>
      <c r="P119">
        <v>7.6323351218726102E-4</v>
      </c>
      <c r="Q119">
        <v>5.7372933640639605E-4</v>
      </c>
      <c r="R119">
        <v>6.1886331448716004E-4</v>
      </c>
      <c r="S119">
        <v>3.7545497454794202E-4</v>
      </c>
      <c r="T119">
        <v>2.4438011290477601E-4</v>
      </c>
      <c r="U119">
        <v>3.3276152375997598E-4</v>
      </c>
      <c r="V119">
        <v>4.3733951341739299E-4</v>
      </c>
      <c r="W119">
        <v>3.6575906174457701E-4</v>
      </c>
      <c r="X119">
        <v>2.4838161019536097E-4</v>
      </c>
      <c r="Y119">
        <v>1.9133431686088601E-4</v>
      </c>
      <c r="Z119">
        <v>2.3502277943880301E-4</v>
      </c>
      <c r="AA119">
        <v>2.9813204482225398E-4</v>
      </c>
      <c r="AB119">
        <v>6.2943198390369296E-4</v>
      </c>
      <c r="AC119">
        <v>3.4076043750813802E-4</v>
      </c>
      <c r="AD119">
        <v>1.2825382199286101E-4</v>
      </c>
      <c r="AE119">
        <v>3.8517487781225399E-4</v>
      </c>
      <c r="AF119">
        <f t="shared" si="1"/>
        <v>5.3542135243189173E-4</v>
      </c>
    </row>
    <row r="120" spans="1:32" x14ac:dyDescent="0.3">
      <c r="A120" t="s">
        <v>496</v>
      </c>
      <c r="B120" s="1" t="s">
        <v>497</v>
      </c>
      <c r="C120" t="s">
        <v>70</v>
      </c>
      <c r="D120" s="1" t="s">
        <v>71</v>
      </c>
      <c r="E120">
        <v>2.2484642137534098E-6</v>
      </c>
      <c r="F120">
        <v>1.7855072248067301E-5</v>
      </c>
      <c r="G120">
        <v>1.6011073101014401E-6</v>
      </c>
      <c r="H120">
        <v>0</v>
      </c>
      <c r="I120">
        <v>5.6568124018491499E-7</v>
      </c>
      <c r="J120">
        <v>2.3689397485837501E-5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3.9858488940706502E-5</v>
      </c>
      <c r="AD120">
        <v>3.1334986268440901E-5</v>
      </c>
      <c r="AE120">
        <v>1.3677918433223501E-4</v>
      </c>
      <c r="AF120">
        <f t="shared" si="1"/>
        <v>9.4049030384935921E-6</v>
      </c>
    </row>
    <row r="121" spans="1:32" x14ac:dyDescent="0.3">
      <c r="A121" t="s">
        <v>496</v>
      </c>
      <c r="B121" s="1" t="s">
        <v>497</v>
      </c>
      <c r="C121" t="s">
        <v>40</v>
      </c>
      <c r="D121" s="1" t="s">
        <v>41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f t="shared" si="1"/>
        <v>0</v>
      </c>
    </row>
    <row r="122" spans="1:32" x14ac:dyDescent="0.3">
      <c r="A122" t="s">
        <v>496</v>
      </c>
      <c r="B122" s="1" t="s">
        <v>497</v>
      </c>
      <c r="C122" t="s">
        <v>46</v>
      </c>
      <c r="D122" s="1" t="s">
        <v>47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f t="shared" si="1"/>
        <v>0</v>
      </c>
    </row>
    <row r="123" spans="1:32" x14ac:dyDescent="0.3">
      <c r="A123" t="s">
        <v>496</v>
      </c>
      <c r="B123" s="1" t="s">
        <v>497</v>
      </c>
      <c r="C123" t="s">
        <v>50</v>
      </c>
      <c r="D123" s="1" t="s">
        <v>51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f t="shared" si="1"/>
        <v>0</v>
      </c>
    </row>
    <row r="124" spans="1:32" x14ac:dyDescent="0.3">
      <c r="A124" t="s">
        <v>496</v>
      </c>
      <c r="B124" s="1" t="s">
        <v>497</v>
      </c>
      <c r="C124" t="s">
        <v>52</v>
      </c>
      <c r="D124" s="1" t="s">
        <v>53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f t="shared" si="1"/>
        <v>0</v>
      </c>
    </row>
    <row r="125" spans="1:32" x14ac:dyDescent="0.3">
      <c r="A125" t="s">
        <v>496</v>
      </c>
      <c r="B125" s="1" t="s">
        <v>497</v>
      </c>
      <c r="C125" t="s">
        <v>60</v>
      </c>
      <c r="D125" s="1" t="s">
        <v>61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f t="shared" si="1"/>
        <v>0</v>
      </c>
    </row>
    <row r="126" spans="1:32" x14ac:dyDescent="0.3">
      <c r="A126" t="s">
        <v>496</v>
      </c>
      <c r="B126" s="1" t="s">
        <v>497</v>
      </c>
      <c r="C126" t="s">
        <v>74</v>
      </c>
      <c r="D126" s="1" t="s">
        <v>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f t="shared" si="1"/>
        <v>0</v>
      </c>
    </row>
    <row r="127" spans="1:32" x14ac:dyDescent="0.3">
      <c r="A127" t="s">
        <v>496</v>
      </c>
      <c r="B127" s="1" t="s">
        <v>497</v>
      </c>
      <c r="C127" t="s">
        <v>76</v>
      </c>
      <c r="D127" s="1" t="s">
        <v>77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f t="shared" si="1"/>
        <v>0</v>
      </c>
    </row>
    <row r="128" spans="1:32" x14ac:dyDescent="0.3">
      <c r="A128" t="s">
        <v>496</v>
      </c>
      <c r="B128" s="1" t="s">
        <v>497</v>
      </c>
      <c r="C128" t="s">
        <v>78</v>
      </c>
      <c r="D128" s="1" t="s">
        <v>79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f t="shared" si="1"/>
        <v>0</v>
      </c>
    </row>
    <row r="129" spans="1:32" x14ac:dyDescent="0.3">
      <c r="A129" t="s">
        <v>496</v>
      </c>
      <c r="B129" s="1" t="s">
        <v>497</v>
      </c>
      <c r="C129" t="s">
        <v>84</v>
      </c>
      <c r="D129" s="1" t="s">
        <v>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f t="shared" si="1"/>
        <v>0</v>
      </c>
    </row>
    <row r="130" spans="1:32" x14ac:dyDescent="0.3">
      <c r="A130" t="s">
        <v>496</v>
      </c>
      <c r="B130" s="1" t="s">
        <v>497</v>
      </c>
      <c r="C130" t="s">
        <v>94</v>
      </c>
      <c r="D130" s="1" t="s">
        <v>95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f t="shared" ref="AF130:AF193" si="2">IFERROR(AVERAGE(E130:AE130),"NA")</f>
        <v>0</v>
      </c>
    </row>
    <row r="131" spans="1:32" x14ac:dyDescent="0.3">
      <c r="A131" t="s">
        <v>496</v>
      </c>
      <c r="B131" s="1" t="s">
        <v>497</v>
      </c>
      <c r="C131" t="s">
        <v>96</v>
      </c>
      <c r="D131" s="1" t="s">
        <v>97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f t="shared" si="2"/>
        <v>0</v>
      </c>
    </row>
    <row r="132" spans="1:32" x14ac:dyDescent="0.3">
      <c r="A132" t="s">
        <v>496</v>
      </c>
      <c r="B132" s="1" t="s">
        <v>497</v>
      </c>
      <c r="C132" t="s">
        <v>98</v>
      </c>
      <c r="D132" s="1" t="s">
        <v>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f t="shared" si="2"/>
        <v>0</v>
      </c>
    </row>
    <row r="133" spans="1:32" x14ac:dyDescent="0.3">
      <c r="A133" t="s">
        <v>496</v>
      </c>
      <c r="B133" s="1" t="s">
        <v>497</v>
      </c>
      <c r="C133" t="s">
        <v>100</v>
      </c>
      <c r="D133" s="1" t="s">
        <v>101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f t="shared" si="2"/>
        <v>0</v>
      </c>
    </row>
    <row r="134" spans="1:32" x14ac:dyDescent="0.3">
      <c r="A134" t="s">
        <v>496</v>
      </c>
      <c r="B134" s="1" t="s">
        <v>497</v>
      </c>
      <c r="C134" t="s">
        <v>106</v>
      </c>
      <c r="D134" s="1" t="s">
        <v>107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f t="shared" si="2"/>
        <v>0</v>
      </c>
    </row>
    <row r="135" spans="1:32" x14ac:dyDescent="0.3">
      <c r="A135" t="s">
        <v>496</v>
      </c>
      <c r="B135" s="1" t="s">
        <v>497</v>
      </c>
      <c r="C135" t="s">
        <v>108</v>
      </c>
      <c r="D135" s="1" t="s">
        <v>109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f t="shared" si="2"/>
        <v>0</v>
      </c>
    </row>
    <row r="136" spans="1:32" x14ac:dyDescent="0.3">
      <c r="A136" t="s">
        <v>496</v>
      </c>
      <c r="B136" s="1" t="s">
        <v>497</v>
      </c>
      <c r="C136" t="s">
        <v>120</v>
      </c>
      <c r="D136" s="1" t="s">
        <v>121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f t="shared" si="2"/>
        <v>0</v>
      </c>
    </row>
    <row r="137" spans="1:32" x14ac:dyDescent="0.3">
      <c r="A137" t="s">
        <v>496</v>
      </c>
      <c r="B137" s="1" t="s">
        <v>497</v>
      </c>
      <c r="C137" t="s">
        <v>126</v>
      </c>
      <c r="D137" s="1" t="s">
        <v>127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f t="shared" si="2"/>
        <v>0</v>
      </c>
    </row>
    <row r="138" spans="1:32" x14ac:dyDescent="0.3">
      <c r="A138" t="s">
        <v>496</v>
      </c>
      <c r="B138" s="1" t="s">
        <v>497</v>
      </c>
      <c r="C138" t="s">
        <v>136</v>
      </c>
      <c r="D138" s="1" t="s">
        <v>137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f t="shared" si="2"/>
        <v>0</v>
      </c>
    </row>
    <row r="139" spans="1:32" x14ac:dyDescent="0.3">
      <c r="A139" t="s">
        <v>496</v>
      </c>
      <c r="B139" s="1" t="s">
        <v>497</v>
      </c>
      <c r="C139" t="s">
        <v>142</v>
      </c>
      <c r="D139" s="1" t="s">
        <v>143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f t="shared" si="2"/>
        <v>0</v>
      </c>
    </row>
    <row r="140" spans="1:32" x14ac:dyDescent="0.3">
      <c r="A140" t="s">
        <v>496</v>
      </c>
      <c r="B140" s="1" t="s">
        <v>497</v>
      </c>
      <c r="C140" t="s">
        <v>144</v>
      </c>
      <c r="D140" s="1" t="s">
        <v>145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f t="shared" si="2"/>
        <v>0</v>
      </c>
    </row>
    <row r="141" spans="1:32" x14ac:dyDescent="0.3">
      <c r="A141" t="s">
        <v>496</v>
      </c>
      <c r="B141" s="1" t="s">
        <v>497</v>
      </c>
      <c r="C141" t="s">
        <v>146</v>
      </c>
      <c r="D141" s="1" t="s">
        <v>147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f t="shared" si="2"/>
        <v>0</v>
      </c>
    </row>
    <row r="142" spans="1:32" x14ac:dyDescent="0.3">
      <c r="A142" t="s">
        <v>496</v>
      </c>
      <c r="B142" s="1" t="s">
        <v>497</v>
      </c>
      <c r="C142" t="s">
        <v>152</v>
      </c>
      <c r="D142" s="1" t="s">
        <v>153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f t="shared" si="2"/>
        <v>0</v>
      </c>
    </row>
    <row r="143" spans="1:32" x14ac:dyDescent="0.3">
      <c r="A143" t="s">
        <v>496</v>
      </c>
      <c r="B143" s="1" t="s">
        <v>497</v>
      </c>
      <c r="C143" t="s">
        <v>156</v>
      </c>
      <c r="D143" s="1" t="s">
        <v>157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34</v>
      </c>
      <c r="W143" t="s">
        <v>34</v>
      </c>
      <c r="X143" t="s">
        <v>34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  <c r="AD143" t="s">
        <v>34</v>
      </c>
      <c r="AE143" t="s">
        <v>34</v>
      </c>
      <c r="AF143">
        <f t="shared" si="2"/>
        <v>0</v>
      </c>
    </row>
    <row r="144" spans="1:32" x14ac:dyDescent="0.3">
      <c r="A144" t="s">
        <v>496</v>
      </c>
      <c r="B144" s="1" t="s">
        <v>497</v>
      </c>
      <c r="C144" t="s">
        <v>158</v>
      </c>
      <c r="D144" s="1" t="s">
        <v>159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f t="shared" si="2"/>
        <v>0</v>
      </c>
    </row>
    <row r="145" spans="1:32" x14ac:dyDescent="0.3">
      <c r="A145" t="s">
        <v>496</v>
      </c>
      <c r="B145" s="1" t="s">
        <v>497</v>
      </c>
      <c r="C145" t="s">
        <v>160</v>
      </c>
      <c r="D145" s="1" t="s">
        <v>161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f t="shared" si="2"/>
        <v>0</v>
      </c>
    </row>
    <row r="146" spans="1:32" x14ac:dyDescent="0.3">
      <c r="A146" t="s">
        <v>496</v>
      </c>
      <c r="B146" s="1" t="s">
        <v>497</v>
      </c>
      <c r="C146" t="s">
        <v>162</v>
      </c>
      <c r="D146" s="1" t="s">
        <v>163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f t="shared" si="2"/>
        <v>0</v>
      </c>
    </row>
    <row r="147" spans="1:32" x14ac:dyDescent="0.3">
      <c r="A147" t="s">
        <v>496</v>
      </c>
      <c r="B147" s="1" t="s">
        <v>497</v>
      </c>
      <c r="C147" t="s">
        <v>164</v>
      </c>
      <c r="D147" s="1" t="s">
        <v>165</v>
      </c>
      <c r="E147" t="s">
        <v>34</v>
      </c>
      <c r="F147" t="s">
        <v>34</v>
      </c>
      <c r="G147" t="s">
        <v>34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f t="shared" si="2"/>
        <v>0</v>
      </c>
    </row>
    <row r="148" spans="1:32" x14ac:dyDescent="0.3">
      <c r="A148" t="s">
        <v>496</v>
      </c>
      <c r="B148" s="1" t="s">
        <v>497</v>
      </c>
      <c r="C148" t="s">
        <v>166</v>
      </c>
      <c r="D148" s="1" t="s">
        <v>167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f t="shared" si="2"/>
        <v>0</v>
      </c>
    </row>
    <row r="149" spans="1:32" x14ac:dyDescent="0.3">
      <c r="A149" t="s">
        <v>496</v>
      </c>
      <c r="B149" s="1" t="s">
        <v>497</v>
      </c>
      <c r="C149" t="s">
        <v>168</v>
      </c>
      <c r="D149" s="1" t="s">
        <v>169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f t="shared" si="2"/>
        <v>0</v>
      </c>
    </row>
    <row r="150" spans="1:32" x14ac:dyDescent="0.3">
      <c r="A150" t="s">
        <v>496</v>
      </c>
      <c r="B150" s="1" t="s">
        <v>497</v>
      </c>
      <c r="C150" t="s">
        <v>172</v>
      </c>
      <c r="D150" s="1" t="s">
        <v>173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f t="shared" si="2"/>
        <v>0</v>
      </c>
    </row>
    <row r="151" spans="1:32" x14ac:dyDescent="0.3">
      <c r="A151" t="s">
        <v>496</v>
      </c>
      <c r="B151" s="1" t="s">
        <v>497</v>
      </c>
      <c r="C151" t="s">
        <v>176</v>
      </c>
      <c r="D151" s="1" t="s">
        <v>177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f t="shared" si="2"/>
        <v>0</v>
      </c>
    </row>
    <row r="152" spans="1:32" x14ac:dyDescent="0.3">
      <c r="A152" t="s">
        <v>496</v>
      </c>
      <c r="B152" s="1" t="s">
        <v>497</v>
      </c>
      <c r="C152" t="s">
        <v>188</v>
      </c>
      <c r="D152" s="1" t="s">
        <v>189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34</v>
      </c>
      <c r="AF152">
        <f t="shared" si="2"/>
        <v>0</v>
      </c>
    </row>
    <row r="153" spans="1:32" x14ac:dyDescent="0.3">
      <c r="A153" t="s">
        <v>496</v>
      </c>
      <c r="B153" s="1" t="s">
        <v>497</v>
      </c>
      <c r="C153" t="s">
        <v>190</v>
      </c>
      <c r="D153" s="1" t="s">
        <v>191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f t="shared" si="2"/>
        <v>0</v>
      </c>
    </row>
    <row r="154" spans="1:32" x14ac:dyDescent="0.3">
      <c r="A154" t="s">
        <v>496</v>
      </c>
      <c r="B154" s="1" t="s">
        <v>497</v>
      </c>
      <c r="C154" t="s">
        <v>192</v>
      </c>
      <c r="D154" s="1" t="s">
        <v>193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f t="shared" si="2"/>
        <v>0</v>
      </c>
    </row>
    <row r="155" spans="1:32" x14ac:dyDescent="0.3">
      <c r="A155" t="s">
        <v>496</v>
      </c>
      <c r="B155" s="1" t="s">
        <v>497</v>
      </c>
      <c r="C155" t="s">
        <v>196</v>
      </c>
      <c r="D155" s="1" t="s">
        <v>197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f t="shared" si="2"/>
        <v>0</v>
      </c>
    </row>
    <row r="156" spans="1:32" x14ac:dyDescent="0.3">
      <c r="A156" t="s">
        <v>496</v>
      </c>
      <c r="B156" s="1" t="s">
        <v>497</v>
      </c>
      <c r="C156" t="s">
        <v>198</v>
      </c>
      <c r="D156" s="1" t="s">
        <v>199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f t="shared" si="2"/>
        <v>0</v>
      </c>
    </row>
    <row r="157" spans="1:32" x14ac:dyDescent="0.3">
      <c r="A157" t="s">
        <v>496</v>
      </c>
      <c r="B157" s="1" t="s">
        <v>497</v>
      </c>
      <c r="C157" t="s">
        <v>200</v>
      </c>
      <c r="D157" s="1" t="s">
        <v>201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f t="shared" si="2"/>
        <v>0</v>
      </c>
    </row>
    <row r="158" spans="1:32" x14ac:dyDescent="0.3">
      <c r="A158" t="s">
        <v>496</v>
      </c>
      <c r="B158" s="1" t="s">
        <v>497</v>
      </c>
      <c r="C158" t="s">
        <v>202</v>
      </c>
      <c r="D158" s="1" t="s">
        <v>203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f t="shared" si="2"/>
        <v>0</v>
      </c>
    </row>
    <row r="159" spans="1:32" x14ac:dyDescent="0.3">
      <c r="A159" t="s">
        <v>496</v>
      </c>
      <c r="B159" s="1" t="s">
        <v>497</v>
      </c>
      <c r="C159" t="s">
        <v>204</v>
      </c>
      <c r="D159" s="1" t="s">
        <v>205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f t="shared" si="2"/>
        <v>0</v>
      </c>
    </row>
    <row r="160" spans="1:32" x14ac:dyDescent="0.3">
      <c r="A160" t="s">
        <v>496</v>
      </c>
      <c r="B160" s="1" t="s">
        <v>497</v>
      </c>
      <c r="C160" t="s">
        <v>206</v>
      </c>
      <c r="D160" s="1" t="s">
        <v>207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f t="shared" si="2"/>
        <v>0</v>
      </c>
    </row>
    <row r="161" spans="1:32" x14ac:dyDescent="0.3">
      <c r="A161" t="s">
        <v>496</v>
      </c>
      <c r="B161" s="1" t="s">
        <v>497</v>
      </c>
      <c r="C161" t="s">
        <v>210</v>
      </c>
      <c r="D161" s="1" t="s">
        <v>211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f t="shared" si="2"/>
        <v>0</v>
      </c>
    </row>
    <row r="162" spans="1:32" x14ac:dyDescent="0.3">
      <c r="A162" t="s">
        <v>496</v>
      </c>
      <c r="B162" s="1" t="s">
        <v>497</v>
      </c>
      <c r="C162" t="s">
        <v>228</v>
      </c>
      <c r="D162" s="1" t="s">
        <v>229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f t="shared" si="2"/>
        <v>0</v>
      </c>
    </row>
    <row r="163" spans="1:32" x14ac:dyDescent="0.3">
      <c r="A163" t="s">
        <v>496</v>
      </c>
      <c r="B163" s="1" t="s">
        <v>497</v>
      </c>
      <c r="C163" t="s">
        <v>236</v>
      </c>
      <c r="D163" s="1" t="s">
        <v>237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f t="shared" si="2"/>
        <v>0</v>
      </c>
    </row>
    <row r="164" spans="1:32" x14ac:dyDescent="0.3">
      <c r="A164" t="s">
        <v>496</v>
      </c>
      <c r="B164" s="1" t="s">
        <v>497</v>
      </c>
      <c r="C164" t="s">
        <v>238</v>
      </c>
      <c r="D164" s="1" t="s">
        <v>239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f t="shared" si="2"/>
        <v>0</v>
      </c>
    </row>
    <row r="165" spans="1:32" x14ac:dyDescent="0.3">
      <c r="A165" t="s">
        <v>496</v>
      </c>
      <c r="B165" s="1" t="s">
        <v>497</v>
      </c>
      <c r="C165" t="s">
        <v>244</v>
      </c>
      <c r="D165" s="1" t="s">
        <v>245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f t="shared" si="2"/>
        <v>0</v>
      </c>
    </row>
    <row r="166" spans="1:32" x14ac:dyDescent="0.3">
      <c r="A166" t="s">
        <v>496</v>
      </c>
      <c r="B166" s="1" t="s">
        <v>497</v>
      </c>
      <c r="C166" t="s">
        <v>250</v>
      </c>
      <c r="D166" s="1" t="s">
        <v>251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f t="shared" si="2"/>
        <v>0</v>
      </c>
    </row>
    <row r="167" spans="1:32" x14ac:dyDescent="0.3">
      <c r="A167" t="s">
        <v>496</v>
      </c>
      <c r="B167" s="1" t="s">
        <v>497</v>
      </c>
      <c r="C167" t="s">
        <v>252</v>
      </c>
      <c r="D167" s="1" t="s">
        <v>253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f t="shared" si="2"/>
        <v>0</v>
      </c>
    </row>
    <row r="168" spans="1:32" x14ac:dyDescent="0.3">
      <c r="A168" t="s">
        <v>496</v>
      </c>
      <c r="B168" s="1" t="s">
        <v>497</v>
      </c>
      <c r="C168" t="s">
        <v>254</v>
      </c>
      <c r="D168" s="1" t="s">
        <v>255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f t="shared" si="2"/>
        <v>0</v>
      </c>
    </row>
    <row r="169" spans="1:32" x14ac:dyDescent="0.3">
      <c r="A169" t="s">
        <v>496</v>
      </c>
      <c r="B169" s="1" t="s">
        <v>497</v>
      </c>
      <c r="C169" t="s">
        <v>256</v>
      </c>
      <c r="D169" s="1" t="s">
        <v>257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f t="shared" si="2"/>
        <v>0</v>
      </c>
    </row>
    <row r="170" spans="1:32" x14ac:dyDescent="0.3">
      <c r="A170" t="s">
        <v>496</v>
      </c>
      <c r="B170" s="1" t="s">
        <v>497</v>
      </c>
      <c r="C170" t="s">
        <v>258</v>
      </c>
      <c r="D170" s="1" t="s">
        <v>259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f t="shared" si="2"/>
        <v>0</v>
      </c>
    </row>
    <row r="171" spans="1:32" x14ac:dyDescent="0.3">
      <c r="A171" t="s">
        <v>496</v>
      </c>
      <c r="B171" s="1" t="s">
        <v>497</v>
      </c>
      <c r="C171" t="s">
        <v>264</v>
      </c>
      <c r="D171" s="1" t="s">
        <v>265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f t="shared" si="2"/>
        <v>0</v>
      </c>
    </row>
    <row r="172" spans="1:32" x14ac:dyDescent="0.3">
      <c r="A172" t="s">
        <v>496</v>
      </c>
      <c r="B172" s="1" t="s">
        <v>497</v>
      </c>
      <c r="C172" t="s">
        <v>266</v>
      </c>
      <c r="D172" s="1" t="s">
        <v>267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f t="shared" si="2"/>
        <v>0</v>
      </c>
    </row>
    <row r="173" spans="1:32" x14ac:dyDescent="0.3">
      <c r="A173" t="s">
        <v>496</v>
      </c>
      <c r="B173" s="1" t="s">
        <v>497</v>
      </c>
      <c r="C173" t="s">
        <v>268</v>
      </c>
      <c r="D173" s="1" t="s">
        <v>269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f t="shared" si="2"/>
        <v>0</v>
      </c>
    </row>
    <row r="174" spans="1:32" x14ac:dyDescent="0.3">
      <c r="A174" t="s">
        <v>496</v>
      </c>
      <c r="B174" s="1" t="s">
        <v>497</v>
      </c>
      <c r="C174" t="s">
        <v>270</v>
      </c>
      <c r="D174" s="1" t="s">
        <v>271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f t="shared" si="2"/>
        <v>0</v>
      </c>
    </row>
    <row r="175" spans="1:32" x14ac:dyDescent="0.3">
      <c r="A175" t="s">
        <v>496</v>
      </c>
      <c r="B175" s="1" t="s">
        <v>497</v>
      </c>
      <c r="C175" t="s">
        <v>272</v>
      </c>
      <c r="D175" s="1" t="s">
        <v>273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f t="shared" si="2"/>
        <v>0</v>
      </c>
    </row>
    <row r="176" spans="1:32" x14ac:dyDescent="0.3">
      <c r="A176" t="s">
        <v>496</v>
      </c>
      <c r="B176" s="1" t="s">
        <v>497</v>
      </c>
      <c r="C176" t="s">
        <v>276</v>
      </c>
      <c r="D176" s="1" t="s">
        <v>277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f t="shared" si="2"/>
        <v>0</v>
      </c>
    </row>
    <row r="177" spans="1:32" x14ac:dyDescent="0.3">
      <c r="A177" t="s">
        <v>496</v>
      </c>
      <c r="B177" s="1" t="s">
        <v>497</v>
      </c>
      <c r="C177" t="s">
        <v>278</v>
      </c>
      <c r="D177" s="1" t="s">
        <v>279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f t="shared" si="2"/>
        <v>0</v>
      </c>
    </row>
    <row r="178" spans="1:32" x14ac:dyDescent="0.3">
      <c r="A178" t="s">
        <v>496</v>
      </c>
      <c r="B178" s="1" t="s">
        <v>497</v>
      </c>
      <c r="C178" t="s">
        <v>280</v>
      </c>
      <c r="D178" s="1" t="s">
        <v>281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f t="shared" si="2"/>
        <v>0</v>
      </c>
    </row>
    <row r="179" spans="1:32" x14ac:dyDescent="0.3">
      <c r="A179" t="s">
        <v>496</v>
      </c>
      <c r="B179" s="1" t="s">
        <v>497</v>
      </c>
      <c r="C179" t="s">
        <v>284</v>
      </c>
      <c r="D179" s="1" t="s">
        <v>285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f t="shared" si="2"/>
        <v>0</v>
      </c>
    </row>
    <row r="180" spans="1:32" x14ac:dyDescent="0.3">
      <c r="A180" t="s">
        <v>496</v>
      </c>
      <c r="B180" s="1" t="s">
        <v>497</v>
      </c>
      <c r="C180" t="s">
        <v>286</v>
      </c>
      <c r="D180" s="1" t="s">
        <v>287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f t="shared" si="2"/>
        <v>0</v>
      </c>
    </row>
    <row r="181" spans="1:32" x14ac:dyDescent="0.3">
      <c r="A181" t="s">
        <v>496</v>
      </c>
      <c r="B181" s="1" t="s">
        <v>497</v>
      </c>
      <c r="C181" t="s">
        <v>290</v>
      </c>
      <c r="D181" s="1" t="s">
        <v>291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f t="shared" si="2"/>
        <v>0</v>
      </c>
    </row>
    <row r="182" spans="1:32" x14ac:dyDescent="0.3">
      <c r="A182" t="s">
        <v>496</v>
      </c>
      <c r="B182" s="1" t="s">
        <v>497</v>
      </c>
      <c r="C182" t="s">
        <v>296</v>
      </c>
      <c r="D182" s="1" t="s">
        <v>297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f t="shared" si="2"/>
        <v>0</v>
      </c>
    </row>
    <row r="183" spans="1:32" x14ac:dyDescent="0.3">
      <c r="A183" t="s">
        <v>496</v>
      </c>
      <c r="B183" s="1" t="s">
        <v>497</v>
      </c>
      <c r="C183" t="s">
        <v>298</v>
      </c>
      <c r="D183" s="1" t="s">
        <v>299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f t="shared" si="2"/>
        <v>0</v>
      </c>
    </row>
    <row r="184" spans="1:32" x14ac:dyDescent="0.3">
      <c r="A184" t="s">
        <v>496</v>
      </c>
      <c r="B184" s="1" t="s">
        <v>497</v>
      </c>
      <c r="C184" t="s">
        <v>306</v>
      </c>
      <c r="D184" s="1" t="s">
        <v>307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f t="shared" si="2"/>
        <v>0</v>
      </c>
    </row>
    <row r="185" spans="1:32" x14ac:dyDescent="0.3">
      <c r="A185" t="s">
        <v>496</v>
      </c>
      <c r="B185" s="1" t="s">
        <v>497</v>
      </c>
      <c r="C185" t="s">
        <v>308</v>
      </c>
      <c r="D185" s="1" t="s">
        <v>309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f t="shared" si="2"/>
        <v>0</v>
      </c>
    </row>
    <row r="186" spans="1:32" x14ac:dyDescent="0.3">
      <c r="A186" t="s">
        <v>496</v>
      </c>
      <c r="B186" s="1" t="s">
        <v>497</v>
      </c>
      <c r="C186" t="s">
        <v>310</v>
      </c>
      <c r="D186" s="1" t="s">
        <v>311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f t="shared" si="2"/>
        <v>0</v>
      </c>
    </row>
    <row r="187" spans="1:32" x14ac:dyDescent="0.3">
      <c r="A187" t="s">
        <v>496</v>
      </c>
      <c r="B187" s="1" t="s">
        <v>497</v>
      </c>
      <c r="C187" t="s">
        <v>314</v>
      </c>
      <c r="D187" s="1" t="s">
        <v>315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f t="shared" si="2"/>
        <v>0</v>
      </c>
    </row>
    <row r="188" spans="1:32" x14ac:dyDescent="0.3">
      <c r="A188" t="s">
        <v>496</v>
      </c>
      <c r="B188" s="1" t="s">
        <v>497</v>
      </c>
      <c r="C188" t="s">
        <v>318</v>
      </c>
      <c r="D188" s="1" t="s">
        <v>319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f t="shared" si="2"/>
        <v>0</v>
      </c>
    </row>
    <row r="189" spans="1:32" x14ac:dyDescent="0.3">
      <c r="A189" t="s">
        <v>496</v>
      </c>
      <c r="B189" s="1" t="s">
        <v>497</v>
      </c>
      <c r="C189" t="s">
        <v>324</v>
      </c>
      <c r="D189" s="1" t="s">
        <v>325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f t="shared" si="2"/>
        <v>0</v>
      </c>
    </row>
    <row r="190" spans="1:32" x14ac:dyDescent="0.3">
      <c r="A190" t="s">
        <v>496</v>
      </c>
      <c r="B190" s="1" t="s">
        <v>497</v>
      </c>
      <c r="C190" t="s">
        <v>326</v>
      </c>
      <c r="D190" s="1" t="s">
        <v>327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  <c r="J190" t="s">
        <v>34</v>
      </c>
      <c r="K190" t="s">
        <v>34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34</v>
      </c>
      <c r="AE190" t="s">
        <v>34</v>
      </c>
      <c r="AF190">
        <f t="shared" si="2"/>
        <v>0</v>
      </c>
    </row>
    <row r="191" spans="1:32" x14ac:dyDescent="0.3">
      <c r="A191" t="s">
        <v>496</v>
      </c>
      <c r="B191" s="1" t="s">
        <v>497</v>
      </c>
      <c r="C191" t="s">
        <v>336</v>
      </c>
      <c r="D191" s="1" t="s">
        <v>337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f t="shared" si="2"/>
        <v>0</v>
      </c>
    </row>
    <row r="192" spans="1:32" x14ac:dyDescent="0.3">
      <c r="A192" t="s">
        <v>496</v>
      </c>
      <c r="B192" s="1" t="s">
        <v>497</v>
      </c>
      <c r="C192" t="s">
        <v>340</v>
      </c>
      <c r="D192" s="1" t="s">
        <v>341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f t="shared" si="2"/>
        <v>0</v>
      </c>
    </row>
    <row r="193" spans="1:32" x14ac:dyDescent="0.3">
      <c r="A193" t="s">
        <v>496</v>
      </c>
      <c r="B193" s="1" t="s">
        <v>497</v>
      </c>
      <c r="C193" t="s">
        <v>348</v>
      </c>
      <c r="D193" s="1" t="s">
        <v>349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f t="shared" si="2"/>
        <v>0</v>
      </c>
    </row>
    <row r="194" spans="1:32" x14ac:dyDescent="0.3">
      <c r="A194" t="s">
        <v>496</v>
      </c>
      <c r="B194" s="1" t="s">
        <v>497</v>
      </c>
      <c r="C194" t="s">
        <v>350</v>
      </c>
      <c r="D194" s="1" t="s">
        <v>351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f t="shared" ref="AF194:AF218" si="3">IFERROR(AVERAGE(E194:AE194),"NA")</f>
        <v>0</v>
      </c>
    </row>
    <row r="195" spans="1:32" x14ac:dyDescent="0.3">
      <c r="A195" t="s">
        <v>496</v>
      </c>
      <c r="B195" s="1" t="s">
        <v>497</v>
      </c>
      <c r="C195" t="s">
        <v>360</v>
      </c>
      <c r="D195" s="1" t="s">
        <v>361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f t="shared" si="3"/>
        <v>0</v>
      </c>
    </row>
    <row r="196" spans="1:32" x14ac:dyDescent="0.3">
      <c r="A196" t="s">
        <v>496</v>
      </c>
      <c r="B196" s="1" t="s">
        <v>497</v>
      </c>
      <c r="C196" t="s">
        <v>364</v>
      </c>
      <c r="D196" s="1" t="s">
        <v>365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f t="shared" si="3"/>
        <v>0</v>
      </c>
    </row>
    <row r="197" spans="1:32" x14ac:dyDescent="0.3">
      <c r="A197" t="s">
        <v>496</v>
      </c>
      <c r="B197" s="1" t="s">
        <v>497</v>
      </c>
      <c r="C197" t="s">
        <v>372</v>
      </c>
      <c r="D197" s="1" t="s">
        <v>373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f t="shared" si="3"/>
        <v>0</v>
      </c>
    </row>
    <row r="198" spans="1:32" x14ac:dyDescent="0.3">
      <c r="A198" t="s">
        <v>496</v>
      </c>
      <c r="B198" s="1" t="s">
        <v>497</v>
      </c>
      <c r="C198" t="s">
        <v>376</v>
      </c>
      <c r="D198" s="1" t="s">
        <v>377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f t="shared" si="3"/>
        <v>0</v>
      </c>
    </row>
    <row r="199" spans="1:32" x14ac:dyDescent="0.3">
      <c r="A199" t="s">
        <v>496</v>
      </c>
      <c r="B199" s="1" t="s">
        <v>497</v>
      </c>
      <c r="C199" t="s">
        <v>384</v>
      </c>
      <c r="D199" s="1" t="s">
        <v>385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f t="shared" si="3"/>
        <v>0</v>
      </c>
    </row>
    <row r="200" spans="1:32" x14ac:dyDescent="0.3">
      <c r="A200" t="s">
        <v>496</v>
      </c>
      <c r="B200" s="1" t="s">
        <v>497</v>
      </c>
      <c r="C200" t="s">
        <v>386</v>
      </c>
      <c r="D200" s="1" t="s">
        <v>387</v>
      </c>
      <c r="E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f t="shared" si="3"/>
        <v>0</v>
      </c>
    </row>
    <row r="201" spans="1:32" x14ac:dyDescent="0.3">
      <c r="A201" t="s">
        <v>496</v>
      </c>
      <c r="B201" s="1" t="s">
        <v>497</v>
      </c>
      <c r="C201" t="s">
        <v>390</v>
      </c>
      <c r="D201" s="1" t="s">
        <v>391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>
        <v>0</v>
      </c>
      <c r="W201">
        <v>0</v>
      </c>
      <c r="X201">
        <v>0</v>
      </c>
      <c r="Y201">
        <v>0</v>
      </c>
      <c r="Z201" t="s">
        <v>34</v>
      </c>
      <c r="AA201" t="s">
        <v>34</v>
      </c>
      <c r="AB201" t="s">
        <v>34</v>
      </c>
      <c r="AC201" t="s">
        <v>34</v>
      </c>
      <c r="AD201" t="s">
        <v>34</v>
      </c>
      <c r="AE201" t="s">
        <v>34</v>
      </c>
      <c r="AF201">
        <f t="shared" si="3"/>
        <v>0</v>
      </c>
    </row>
    <row r="202" spans="1:32" x14ac:dyDescent="0.3">
      <c r="A202" t="s">
        <v>496</v>
      </c>
      <c r="B202" s="1" t="s">
        <v>497</v>
      </c>
      <c r="C202" t="s">
        <v>394</v>
      </c>
      <c r="D202" s="1" t="s">
        <v>395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f t="shared" si="3"/>
        <v>0</v>
      </c>
    </row>
    <row r="203" spans="1:32" x14ac:dyDescent="0.3">
      <c r="A203" t="s">
        <v>496</v>
      </c>
      <c r="B203" s="1" t="s">
        <v>497</v>
      </c>
      <c r="C203" t="s">
        <v>396</v>
      </c>
      <c r="D203" s="1" t="s">
        <v>397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f t="shared" si="3"/>
        <v>0</v>
      </c>
    </row>
    <row r="204" spans="1:32" x14ac:dyDescent="0.3">
      <c r="A204" t="s">
        <v>496</v>
      </c>
      <c r="B204" s="1" t="s">
        <v>497</v>
      </c>
      <c r="C204" t="s">
        <v>398</v>
      </c>
      <c r="D204" s="1" t="s">
        <v>399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f t="shared" si="3"/>
        <v>0</v>
      </c>
    </row>
    <row r="205" spans="1:32" x14ac:dyDescent="0.3">
      <c r="A205" t="s">
        <v>496</v>
      </c>
      <c r="B205" s="1" t="s">
        <v>497</v>
      </c>
      <c r="C205" t="s">
        <v>402</v>
      </c>
      <c r="D205" s="1" t="s">
        <v>403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f t="shared" si="3"/>
        <v>0</v>
      </c>
    </row>
    <row r="206" spans="1:32" x14ac:dyDescent="0.3">
      <c r="A206" t="s">
        <v>496</v>
      </c>
      <c r="B206" s="1" t="s">
        <v>497</v>
      </c>
      <c r="C206" t="s">
        <v>404</v>
      </c>
      <c r="D206" s="1" t="s">
        <v>405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f t="shared" si="3"/>
        <v>0</v>
      </c>
    </row>
    <row r="207" spans="1:32" x14ac:dyDescent="0.3">
      <c r="A207" t="s">
        <v>496</v>
      </c>
      <c r="B207" s="1" t="s">
        <v>497</v>
      </c>
      <c r="C207" t="s">
        <v>408</v>
      </c>
      <c r="D207" s="1" t="s">
        <v>409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f t="shared" si="3"/>
        <v>0</v>
      </c>
    </row>
    <row r="208" spans="1:32" x14ac:dyDescent="0.3">
      <c r="A208" t="s">
        <v>496</v>
      </c>
      <c r="B208" s="1" t="s">
        <v>497</v>
      </c>
      <c r="C208" t="s">
        <v>410</v>
      </c>
      <c r="D208" s="1" t="s">
        <v>411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f t="shared" si="3"/>
        <v>0</v>
      </c>
    </row>
    <row r="209" spans="1:32" x14ac:dyDescent="0.3">
      <c r="A209" t="s">
        <v>496</v>
      </c>
      <c r="B209" s="1" t="s">
        <v>497</v>
      </c>
      <c r="C209" t="s">
        <v>422</v>
      </c>
      <c r="D209" s="1" t="s">
        <v>423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f t="shared" si="3"/>
        <v>0</v>
      </c>
    </row>
    <row r="210" spans="1:32" x14ac:dyDescent="0.3">
      <c r="A210" t="s">
        <v>496</v>
      </c>
      <c r="B210" s="1" t="s">
        <v>497</v>
      </c>
      <c r="C210" t="s">
        <v>424</v>
      </c>
      <c r="D210" s="1" t="s">
        <v>425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f t="shared" si="3"/>
        <v>0</v>
      </c>
    </row>
    <row r="211" spans="1:32" x14ac:dyDescent="0.3">
      <c r="A211" t="s">
        <v>496</v>
      </c>
      <c r="B211" s="1" t="s">
        <v>497</v>
      </c>
      <c r="C211" t="s">
        <v>434</v>
      </c>
      <c r="D211" s="1" t="s">
        <v>435</v>
      </c>
      <c r="E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f t="shared" si="3"/>
        <v>0</v>
      </c>
    </row>
    <row r="212" spans="1:32" x14ac:dyDescent="0.3">
      <c r="A212" t="s">
        <v>496</v>
      </c>
      <c r="B212" s="1" t="s">
        <v>497</v>
      </c>
      <c r="C212" t="s">
        <v>436</v>
      </c>
      <c r="D212" s="1" t="s">
        <v>437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f t="shared" si="3"/>
        <v>0</v>
      </c>
    </row>
    <row r="213" spans="1:32" x14ac:dyDescent="0.3">
      <c r="A213" t="s">
        <v>496</v>
      </c>
      <c r="B213" s="1" t="s">
        <v>497</v>
      </c>
      <c r="C213" t="s">
        <v>438</v>
      </c>
      <c r="D213" s="1" t="s">
        <v>439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f t="shared" si="3"/>
        <v>0</v>
      </c>
    </row>
    <row r="214" spans="1:32" x14ac:dyDescent="0.3">
      <c r="A214" t="s">
        <v>496</v>
      </c>
      <c r="B214" s="1" t="s">
        <v>497</v>
      </c>
      <c r="C214" t="s">
        <v>448</v>
      </c>
      <c r="D214" s="1" t="s">
        <v>449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f t="shared" si="3"/>
        <v>0</v>
      </c>
    </row>
    <row r="215" spans="1:32" x14ac:dyDescent="0.3">
      <c r="A215" t="s">
        <v>496</v>
      </c>
      <c r="B215" s="1" t="s">
        <v>497</v>
      </c>
      <c r="C215" t="s">
        <v>452</v>
      </c>
      <c r="D215" s="1" t="s">
        <v>453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f t="shared" si="3"/>
        <v>0</v>
      </c>
    </row>
    <row r="216" spans="1:32" x14ac:dyDescent="0.3">
      <c r="A216" t="s">
        <v>496</v>
      </c>
      <c r="B216" s="1" t="s">
        <v>497</v>
      </c>
      <c r="C216" t="s">
        <v>458</v>
      </c>
      <c r="D216" s="1" t="s">
        <v>459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34</v>
      </c>
      <c r="AF216">
        <f t="shared" si="3"/>
        <v>0</v>
      </c>
    </row>
    <row r="217" spans="1:32" x14ac:dyDescent="0.3">
      <c r="A217" t="s">
        <v>496</v>
      </c>
      <c r="B217" s="1" t="s">
        <v>497</v>
      </c>
      <c r="C217" t="s">
        <v>464</v>
      </c>
      <c r="D217" s="1" t="s">
        <v>465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f t="shared" si="3"/>
        <v>0</v>
      </c>
    </row>
    <row r="218" spans="1:32" x14ac:dyDescent="0.3">
      <c r="A218" t="s">
        <v>496</v>
      </c>
      <c r="B218" s="1" t="s">
        <v>497</v>
      </c>
      <c r="C218" t="s">
        <v>466</v>
      </c>
      <c r="D218" s="1" t="s">
        <v>467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f t="shared" si="3"/>
        <v>0</v>
      </c>
    </row>
  </sheetData>
  <sortState xmlns:xlrd2="http://schemas.microsoft.com/office/spreadsheetml/2017/richdata2" ref="A2:AF218">
    <sortCondition descending="1" ref="AF2:AF21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6027-18D5-4D5A-9C24-1275D0C0417A}">
  <dimension ref="A1:AG218"/>
  <sheetViews>
    <sheetView tabSelected="1" topLeftCell="C1" workbookViewId="0">
      <pane xSplit="1" topLeftCell="AB1" activePane="topRight" state="frozen"/>
      <selection activeCell="D18" sqref="D18:D19"/>
      <selection pane="topRight" activeCell="D18" sqref="D18:D19"/>
    </sheetView>
  </sheetViews>
  <sheetFormatPr baseColWidth="10" defaultRowHeight="14.4" x14ac:dyDescent="0.3"/>
  <sheetData>
    <row r="1" spans="1:33" x14ac:dyDescent="0.3">
      <c r="A1" t="s">
        <v>493</v>
      </c>
      <c r="B1" s="1" t="s">
        <v>494</v>
      </c>
      <c r="C1" t="s">
        <v>31</v>
      </c>
      <c r="D1" s="1" t="s">
        <v>32</v>
      </c>
      <c r="E1" t="s">
        <v>34</v>
      </c>
      <c r="F1" t="s">
        <v>34</v>
      </c>
      <c r="G1" t="s">
        <v>34</v>
      </c>
      <c r="H1" t="s">
        <v>34</v>
      </c>
      <c r="I1" t="s">
        <v>34</v>
      </c>
      <c r="J1" t="s">
        <v>34</v>
      </c>
      <c r="K1" t="s">
        <v>34</v>
      </c>
      <c r="L1">
        <v>3.0789275783499E-2</v>
      </c>
      <c r="M1">
        <v>2.5632802566127801E-2</v>
      </c>
      <c r="N1">
        <v>2.5605159769705101E-2</v>
      </c>
      <c r="O1">
        <v>2.58476198749782E-2</v>
      </c>
      <c r="P1">
        <v>2.1407037258504801E-2</v>
      </c>
      <c r="Q1">
        <v>1.4446463981820401E-2</v>
      </c>
      <c r="R1">
        <v>1.5736313879498001E-2</v>
      </c>
      <c r="S1">
        <v>5.2417380028876599E-3</v>
      </c>
      <c r="T1">
        <v>5.1494556486691503E-3</v>
      </c>
      <c r="U1">
        <v>6.6023954370691904E-3</v>
      </c>
      <c r="V1">
        <v>0.10982388394602099</v>
      </c>
      <c r="W1">
        <v>6.7290161842476701E-2</v>
      </c>
      <c r="X1">
        <v>4.0743865571695702E-2</v>
      </c>
      <c r="Y1">
        <v>1.3635799604131599E-2</v>
      </c>
      <c r="Z1">
        <v>9.4450804292938693E-3</v>
      </c>
      <c r="AA1">
        <v>1.34270806666745E-2</v>
      </c>
      <c r="AB1">
        <v>1.8854416706035E-2</v>
      </c>
      <c r="AC1">
        <v>1.2777289751702401E-2</v>
      </c>
      <c r="AD1">
        <v>5.1776190588676803E-3</v>
      </c>
      <c r="AE1">
        <v>1.7869505658190898E-2</v>
      </c>
      <c r="AF1">
        <f t="shared" ref="AF1:AF48" si="0">IFERROR(AVERAGE(E1:AE1),"NA")</f>
        <v>2.4275148271892429E-2</v>
      </c>
      <c r="AG1">
        <v>0</v>
      </c>
    </row>
    <row r="2" spans="1:33" x14ac:dyDescent="0.3">
      <c r="A2" t="s">
        <v>493</v>
      </c>
      <c r="B2" s="1" t="s">
        <v>494</v>
      </c>
      <c r="C2" t="s">
        <v>35</v>
      </c>
      <c r="D2" s="1" t="s">
        <v>36</v>
      </c>
      <c r="E2">
        <v>1.15951602844704</v>
      </c>
      <c r="F2">
        <v>1.1607025940548501</v>
      </c>
      <c r="G2">
        <v>1.08835644606329</v>
      </c>
      <c r="H2">
        <v>0.23349463043351201</v>
      </c>
      <c r="I2">
        <v>0.49472540367999801</v>
      </c>
      <c r="J2">
        <v>1.07150056484779</v>
      </c>
      <c r="K2">
        <v>0.69992213759202104</v>
      </c>
      <c r="L2">
        <v>0.68717762738624599</v>
      </c>
      <c r="M2">
        <v>0.69272277459013898</v>
      </c>
      <c r="N2">
        <v>0.79315316300522098</v>
      </c>
      <c r="O2">
        <v>1.0209537462924301</v>
      </c>
      <c r="P2">
        <v>1.19244921679704</v>
      </c>
      <c r="Q2">
        <v>1.24943402811758</v>
      </c>
      <c r="R2">
        <v>1.60465469310703</v>
      </c>
      <c r="S2">
        <v>0.92366011571038198</v>
      </c>
      <c r="T2">
        <v>1.3095431718146699</v>
      </c>
      <c r="U2">
        <v>2.4548890851062999</v>
      </c>
      <c r="V2">
        <v>2.8663510430539398</v>
      </c>
      <c r="W2">
        <v>3.0339240752561198</v>
      </c>
      <c r="X2">
        <v>3.1220761571134199</v>
      </c>
      <c r="Y2">
        <v>1.4526061846907901</v>
      </c>
      <c r="Z2">
        <v>0.88441071828718798</v>
      </c>
      <c r="AA2">
        <v>1.12614227560188</v>
      </c>
      <c r="AB2">
        <v>1.4698338188784199</v>
      </c>
      <c r="AC2">
        <v>1.4243710958412401</v>
      </c>
      <c r="AD2">
        <v>0.58222570133042295</v>
      </c>
      <c r="AE2">
        <v>1.04218369204761</v>
      </c>
      <c r="AF2">
        <f t="shared" si="0"/>
        <v>1.2904066736720949</v>
      </c>
      <c r="AG2">
        <v>0</v>
      </c>
    </row>
    <row r="3" spans="1:33" x14ac:dyDescent="0.3">
      <c r="A3" t="s">
        <v>493</v>
      </c>
      <c r="B3" s="1" t="s">
        <v>494</v>
      </c>
      <c r="C3" s="7" t="s">
        <v>38</v>
      </c>
      <c r="D3" s="1" t="s">
        <v>39</v>
      </c>
      <c r="E3">
        <v>14.1774813179102</v>
      </c>
      <c r="F3">
        <v>16.313592398390899</v>
      </c>
      <c r="G3">
        <v>14.790134957027799</v>
      </c>
      <c r="H3">
        <v>9.0175633197393807</v>
      </c>
      <c r="I3">
        <v>12.955667382787</v>
      </c>
      <c r="J3">
        <v>20.203894510089501</v>
      </c>
      <c r="K3">
        <v>16.719771361217202</v>
      </c>
      <c r="L3">
        <v>17.703706765696001</v>
      </c>
      <c r="M3">
        <v>19.6786326659537</v>
      </c>
      <c r="N3">
        <v>22.126973327222299</v>
      </c>
      <c r="O3">
        <v>27.914114150565499</v>
      </c>
      <c r="P3">
        <v>29.534393547245401</v>
      </c>
      <c r="Q3">
        <v>27.926708766248499</v>
      </c>
      <c r="R3">
        <v>29.108640132372098</v>
      </c>
      <c r="S3">
        <v>19.904626365749198</v>
      </c>
      <c r="T3">
        <v>21.993999323666401</v>
      </c>
      <c r="U3">
        <v>25.0260096148481</v>
      </c>
      <c r="V3">
        <v>22.6025382987382</v>
      </c>
      <c r="W3">
        <v>20.872431390127801</v>
      </c>
      <c r="X3">
        <v>19.316729473284799</v>
      </c>
      <c r="Y3">
        <v>11.7459031918092</v>
      </c>
      <c r="Z3">
        <v>10.026218914296299</v>
      </c>
      <c r="AA3">
        <v>12.1565741270026</v>
      </c>
      <c r="AB3">
        <v>15.9428081774505</v>
      </c>
      <c r="AC3">
        <v>14.142103150430501</v>
      </c>
      <c r="AD3">
        <v>9.0384137967942397</v>
      </c>
      <c r="AE3">
        <v>14.4615654623053</v>
      </c>
      <c r="AF3">
        <f t="shared" si="0"/>
        <v>18.34819244033217</v>
      </c>
      <c r="AG3">
        <v>1</v>
      </c>
    </row>
    <row r="4" spans="1:33" x14ac:dyDescent="0.3">
      <c r="A4" t="s">
        <v>493</v>
      </c>
      <c r="B4" s="1" t="s">
        <v>494</v>
      </c>
      <c r="C4" t="s">
        <v>40</v>
      </c>
      <c r="D4" s="1" t="s">
        <v>41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f t="shared" si="0"/>
        <v>0</v>
      </c>
      <c r="AG4">
        <v>0</v>
      </c>
    </row>
    <row r="5" spans="1:33" x14ac:dyDescent="0.3">
      <c r="A5" t="s">
        <v>493</v>
      </c>
      <c r="B5" s="1" t="s">
        <v>494</v>
      </c>
      <c r="C5" t="s">
        <v>42</v>
      </c>
      <c r="D5" s="1" t="s">
        <v>43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tr">
        <f t="shared" si="0"/>
        <v>NA</v>
      </c>
      <c r="AG5">
        <v>0</v>
      </c>
    </row>
    <row r="6" spans="1:33" x14ac:dyDescent="0.3">
      <c r="A6" t="s">
        <v>493</v>
      </c>
      <c r="B6" s="1" t="s">
        <v>494</v>
      </c>
      <c r="C6" s="7" t="s">
        <v>44</v>
      </c>
      <c r="D6" s="1" t="s">
        <v>45</v>
      </c>
      <c r="E6">
        <v>41.018815672093602</v>
      </c>
      <c r="F6">
        <v>39.074143965324403</v>
      </c>
      <c r="G6">
        <v>37.349023250680702</v>
      </c>
      <c r="H6">
        <v>21.7476800076135</v>
      </c>
      <c r="I6">
        <v>38.524269840531602</v>
      </c>
      <c r="J6">
        <v>57.513483961620601</v>
      </c>
      <c r="K6">
        <v>42.591576679107298</v>
      </c>
      <c r="L6">
        <v>31.7610292464785</v>
      </c>
      <c r="M6">
        <v>27.1162657537214</v>
      </c>
      <c r="N6">
        <v>32.962695507850299</v>
      </c>
      <c r="O6">
        <v>42.220678315861299</v>
      </c>
      <c r="P6">
        <v>40.278652091247501</v>
      </c>
      <c r="Q6">
        <v>45.397603652159198</v>
      </c>
      <c r="R6">
        <v>52.101358124354498</v>
      </c>
      <c r="S6">
        <v>29.778299519199201</v>
      </c>
      <c r="T6">
        <v>37.708509183273499</v>
      </c>
      <c r="U6">
        <v>38.618435819785901</v>
      </c>
      <c r="V6">
        <v>34.332838954091201</v>
      </c>
      <c r="W6">
        <v>29.001484610750101</v>
      </c>
      <c r="X6">
        <v>21.736607448329</v>
      </c>
      <c r="Y6">
        <v>12.718730309027199</v>
      </c>
      <c r="Z6">
        <v>19.7483988340046</v>
      </c>
      <c r="AA6">
        <v>24.711006005538199</v>
      </c>
      <c r="AB6">
        <v>30.730402728590501</v>
      </c>
      <c r="AC6">
        <v>27.504828641195999</v>
      </c>
      <c r="AD6">
        <v>18.571959505383699</v>
      </c>
      <c r="AE6">
        <v>28.274439882584399</v>
      </c>
      <c r="AF6">
        <f t="shared" si="0"/>
        <v>33.447896944829552</v>
      </c>
      <c r="AG6">
        <v>1</v>
      </c>
    </row>
    <row r="7" spans="1:33" x14ac:dyDescent="0.3">
      <c r="A7" t="s">
        <v>493</v>
      </c>
      <c r="B7" s="1" t="s">
        <v>494</v>
      </c>
      <c r="C7" t="s">
        <v>46</v>
      </c>
      <c r="D7" s="1" t="s">
        <v>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f t="shared" si="0"/>
        <v>0</v>
      </c>
      <c r="AG7">
        <v>0</v>
      </c>
    </row>
    <row r="8" spans="1:33" x14ac:dyDescent="0.3">
      <c r="A8" t="s">
        <v>493</v>
      </c>
      <c r="B8" s="1" t="s">
        <v>494</v>
      </c>
      <c r="C8" t="s">
        <v>48</v>
      </c>
      <c r="D8" s="1" t="s">
        <v>49</v>
      </c>
      <c r="E8">
        <v>1.11368338221007</v>
      </c>
      <c r="F8">
        <v>1.42093287722449</v>
      </c>
      <c r="G8">
        <v>1.27158678591403</v>
      </c>
      <c r="H8">
        <v>0.67625546126761005</v>
      </c>
      <c r="I8">
        <v>1.1822291161485201</v>
      </c>
      <c r="J8">
        <v>2.0392123189640201</v>
      </c>
      <c r="K8">
        <v>1.57828961704899</v>
      </c>
      <c r="L8">
        <v>4.5880110225387103</v>
      </c>
      <c r="M8">
        <v>3.79526357487009</v>
      </c>
      <c r="N8">
        <v>3.6281504557944402</v>
      </c>
      <c r="O8">
        <v>4.3608304438174503</v>
      </c>
      <c r="P8">
        <v>4.4908906469106604</v>
      </c>
      <c r="Q8">
        <v>3.7057777202787601</v>
      </c>
      <c r="R8">
        <v>4.0390009660220798</v>
      </c>
      <c r="S8">
        <v>2.1245348807117801</v>
      </c>
      <c r="T8">
        <v>2.30522041977185</v>
      </c>
      <c r="U8">
        <v>2.7453314654749099</v>
      </c>
      <c r="V8">
        <v>2.5564987241688502</v>
      </c>
      <c r="W8">
        <v>2.2538729864768801</v>
      </c>
      <c r="X8">
        <v>2.0927056510554798</v>
      </c>
      <c r="Y8">
        <v>0.69391205497667097</v>
      </c>
      <c r="Z8">
        <v>0.54955201163802903</v>
      </c>
      <c r="AA8">
        <v>0.66356586623894198</v>
      </c>
      <c r="AB8">
        <v>1.31095340723836</v>
      </c>
      <c r="AC8">
        <v>1.29099565501431</v>
      </c>
      <c r="AD8">
        <v>0.67705556581910598</v>
      </c>
      <c r="AE8">
        <v>1.54438228879011</v>
      </c>
      <c r="AF8">
        <f t="shared" si="0"/>
        <v>2.1740257543105623</v>
      </c>
      <c r="AG8">
        <v>0</v>
      </c>
    </row>
    <row r="9" spans="1:33" x14ac:dyDescent="0.3">
      <c r="A9" t="s">
        <v>493</v>
      </c>
      <c r="B9" s="1" t="s">
        <v>494</v>
      </c>
      <c r="C9" t="s">
        <v>50</v>
      </c>
      <c r="D9" s="1" t="s">
        <v>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f t="shared" si="0"/>
        <v>0</v>
      </c>
      <c r="AG9">
        <v>0</v>
      </c>
    </row>
    <row r="10" spans="1:33" x14ac:dyDescent="0.3">
      <c r="A10" t="s">
        <v>493</v>
      </c>
      <c r="B10" s="1" t="s">
        <v>494</v>
      </c>
      <c r="C10" t="s">
        <v>52</v>
      </c>
      <c r="D10" s="1" t="s">
        <v>53</v>
      </c>
      <c r="E10">
        <v>0</v>
      </c>
      <c r="F10">
        <v>0</v>
      </c>
      <c r="G10">
        <v>0</v>
      </c>
      <c r="H10">
        <v>0</v>
      </c>
      <c r="I10">
        <v>0</v>
      </c>
      <c r="J10">
        <v>9.5948888614726395E-4</v>
      </c>
      <c r="K10">
        <v>6.9823216789400698E-4</v>
      </c>
      <c r="L10">
        <v>7.2070291931889405E-4</v>
      </c>
      <c r="M10">
        <v>7.6065108655982701E-4</v>
      </c>
      <c r="N10">
        <v>9.0616659608259303E-4</v>
      </c>
      <c r="O10">
        <v>1.3140529343261501E-3</v>
      </c>
      <c r="P10">
        <v>1.5257728032441701E-3</v>
      </c>
      <c r="Q10">
        <v>1.53973985727839E-3</v>
      </c>
      <c r="R10">
        <v>1.9564000845910799E-3</v>
      </c>
      <c r="S10">
        <v>1.09429704736333E-3</v>
      </c>
      <c r="T10">
        <v>1.5696065369167401E-3</v>
      </c>
      <c r="U10">
        <v>1.9268976544637799E-3</v>
      </c>
      <c r="V10">
        <v>1.4903062981530899E-3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f t="shared" si="0"/>
        <v>6.0971536564219679E-4</v>
      </c>
      <c r="AG10">
        <v>0</v>
      </c>
    </row>
    <row r="11" spans="1:33" x14ac:dyDescent="0.3">
      <c r="A11" t="s">
        <v>493</v>
      </c>
      <c r="B11" s="1" t="s">
        <v>494</v>
      </c>
      <c r="C11" t="s">
        <v>54</v>
      </c>
      <c r="D11" s="1" t="s">
        <v>55</v>
      </c>
      <c r="E11">
        <v>0.47262123660385502</v>
      </c>
      <c r="F11">
        <v>0.49172140428228001</v>
      </c>
      <c r="G11">
        <v>0.39018812760525401</v>
      </c>
      <c r="H11">
        <v>0.21485961360278699</v>
      </c>
      <c r="I11">
        <v>0.30202111773892498</v>
      </c>
      <c r="J11">
        <v>0.87674534538925897</v>
      </c>
      <c r="K11">
        <v>0.72045260416364498</v>
      </c>
      <c r="L11">
        <v>0.80394089360265597</v>
      </c>
      <c r="M11">
        <v>0.75762617034317503</v>
      </c>
      <c r="N11">
        <v>0.73789012235772999</v>
      </c>
      <c r="O11">
        <v>0.88735526298553402</v>
      </c>
      <c r="P11">
        <v>0.86599207512171195</v>
      </c>
      <c r="Q11">
        <v>0.87198212628596405</v>
      </c>
      <c r="R11">
        <v>0.93596098549554296</v>
      </c>
      <c r="S11">
        <v>0.55306918284637097</v>
      </c>
      <c r="T11">
        <v>0.70685444314311097</v>
      </c>
      <c r="U11">
        <v>0.87782880539178898</v>
      </c>
      <c r="V11">
        <v>0.67938565326524702</v>
      </c>
      <c r="W11">
        <v>0.53851550394120296</v>
      </c>
      <c r="X11">
        <v>0.48887250092220202</v>
      </c>
      <c r="Y11">
        <v>0.19789925436314099</v>
      </c>
      <c r="Z11">
        <v>0.17316897594292499</v>
      </c>
      <c r="AA11">
        <v>0.198665473505862</v>
      </c>
      <c r="AB11">
        <v>0.264744671813473</v>
      </c>
      <c r="AC11">
        <v>0.22919944792639499</v>
      </c>
      <c r="AD11">
        <v>0.108188865636013</v>
      </c>
      <c r="AE11">
        <v>0.26420137526892401</v>
      </c>
      <c r="AF11">
        <f t="shared" si="0"/>
        <v>0.54110930516833244</v>
      </c>
      <c r="AG11">
        <v>0</v>
      </c>
    </row>
    <row r="12" spans="1:33" x14ac:dyDescent="0.3">
      <c r="A12" t="s">
        <v>493</v>
      </c>
      <c r="B12" s="1" t="s">
        <v>494</v>
      </c>
      <c r="C12" t="s">
        <v>56</v>
      </c>
      <c r="D12" s="1" t="s">
        <v>57</v>
      </c>
      <c r="E12">
        <v>2.4055678926543301E-2</v>
      </c>
      <c r="F12">
        <v>3.2850191717391002E-2</v>
      </c>
      <c r="G12">
        <v>2.8035190808964199E-2</v>
      </c>
      <c r="H12">
        <v>8.3748684983236295E-3</v>
      </c>
      <c r="I12">
        <v>2.6292282564807999E-2</v>
      </c>
      <c r="J12">
        <v>6.10377226881713E-2</v>
      </c>
      <c r="K12">
        <v>4.4088402706561398E-2</v>
      </c>
      <c r="L12">
        <v>4.2053365643561602E-2</v>
      </c>
      <c r="M12">
        <v>3.9205023825723703E-2</v>
      </c>
      <c r="N12">
        <v>4.8536725746941997E-2</v>
      </c>
      <c r="O12">
        <v>6.0495702750532003E-2</v>
      </c>
      <c r="P12">
        <v>6.6274364212735304E-2</v>
      </c>
      <c r="Q12">
        <v>5.8689956210208102E-2</v>
      </c>
      <c r="R12">
        <v>8.8444503378929701E-2</v>
      </c>
      <c r="S12">
        <v>5.34302351399535E-2</v>
      </c>
      <c r="T12">
        <v>5.9914936118531402E-2</v>
      </c>
      <c r="U12">
        <v>7.3845969443668003E-2</v>
      </c>
      <c r="V12">
        <v>8.4334238659359503E-2</v>
      </c>
      <c r="W12">
        <v>7.4950156883204097E-2</v>
      </c>
      <c r="X12">
        <v>7.6914031088563498E-2</v>
      </c>
      <c r="Y12">
        <v>3.4077695553443699E-2</v>
      </c>
      <c r="Z12">
        <v>2.3251876228334401E-2</v>
      </c>
      <c r="AA12">
        <v>3.0163833351820699E-2</v>
      </c>
      <c r="AB12">
        <v>4.2658845610728899E-2</v>
      </c>
      <c r="AC12">
        <v>3.6825508539960299E-2</v>
      </c>
      <c r="AD12">
        <v>1.7275692077744199E-2</v>
      </c>
      <c r="AE12">
        <v>3.7803786817320197E-2</v>
      </c>
      <c r="AF12">
        <f t="shared" si="0"/>
        <v>4.7180769821926934E-2</v>
      </c>
      <c r="AG12">
        <v>0</v>
      </c>
    </row>
    <row r="13" spans="1:33" x14ac:dyDescent="0.3">
      <c r="A13" t="s">
        <v>493</v>
      </c>
      <c r="B13" s="1" t="s">
        <v>494</v>
      </c>
      <c r="C13" s="7" t="s">
        <v>58</v>
      </c>
      <c r="D13" s="1" t="s">
        <v>59</v>
      </c>
      <c r="E13">
        <v>20.087202730857001</v>
      </c>
      <c r="F13">
        <v>21.6088403332231</v>
      </c>
      <c r="G13">
        <v>15.0224092579053</v>
      </c>
      <c r="H13">
        <v>4.8840188982701997</v>
      </c>
      <c r="I13">
        <v>17.009998027668701</v>
      </c>
      <c r="J13">
        <v>32.945747625415699</v>
      </c>
      <c r="K13">
        <v>23.701995399235599</v>
      </c>
      <c r="L13">
        <v>23.253719476433801</v>
      </c>
      <c r="M13">
        <v>23.651013813951199</v>
      </c>
      <c r="N13">
        <v>26.8343888172544</v>
      </c>
      <c r="O13">
        <v>37.446629601663801</v>
      </c>
      <c r="P13">
        <v>39.581307380719601</v>
      </c>
      <c r="Q13">
        <v>36.8683513686981</v>
      </c>
      <c r="R13">
        <v>39.500773033145201</v>
      </c>
      <c r="S13">
        <v>26.678830089575399</v>
      </c>
      <c r="T13">
        <v>25.5154476387508</v>
      </c>
      <c r="U13">
        <v>29.797954997987802</v>
      </c>
      <c r="V13">
        <v>25.8177819240506</v>
      </c>
      <c r="W13">
        <v>22.5837832214089</v>
      </c>
      <c r="X13">
        <v>20.2463063109853</v>
      </c>
      <c r="Y13">
        <v>12.069575141695999</v>
      </c>
      <c r="Z13">
        <v>12.7825654497772</v>
      </c>
      <c r="AA13">
        <v>17.1235678602694</v>
      </c>
      <c r="AB13">
        <v>24.172410009490701</v>
      </c>
      <c r="AC13">
        <v>20.457710499268799</v>
      </c>
      <c r="AD13">
        <v>11.147682731575401</v>
      </c>
      <c r="AE13">
        <v>20.983375083624001</v>
      </c>
      <c r="AF13">
        <f t="shared" si="0"/>
        <v>23.399014323070443</v>
      </c>
      <c r="AG13">
        <v>1</v>
      </c>
    </row>
    <row r="14" spans="1:33" x14ac:dyDescent="0.3">
      <c r="A14" t="s">
        <v>493</v>
      </c>
      <c r="B14" s="1" t="s">
        <v>494</v>
      </c>
      <c r="C14" t="s">
        <v>60</v>
      </c>
      <c r="D14" s="1" t="s">
        <v>61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f t="shared" si="0"/>
        <v>0</v>
      </c>
      <c r="AG14">
        <v>0</v>
      </c>
    </row>
    <row r="15" spans="1:33" x14ac:dyDescent="0.3">
      <c r="A15" t="s">
        <v>493</v>
      </c>
      <c r="B15" s="1" t="s">
        <v>494</v>
      </c>
      <c r="C15" s="7" t="s">
        <v>62</v>
      </c>
      <c r="D15" s="1" t="s">
        <v>63</v>
      </c>
      <c r="E15">
        <v>15.2459702602519</v>
      </c>
      <c r="F15">
        <v>18.4494024419669</v>
      </c>
      <c r="G15">
        <v>16.418731399957998</v>
      </c>
      <c r="H15">
        <v>10.6376958646887</v>
      </c>
      <c r="I15">
        <v>14.794079975646101</v>
      </c>
      <c r="J15">
        <v>18.711078045796999</v>
      </c>
      <c r="K15">
        <v>15.0074471454831</v>
      </c>
      <c r="L15">
        <v>14.490653854674299</v>
      </c>
      <c r="M15">
        <v>14.988027404012501</v>
      </c>
      <c r="N15">
        <v>16.6530213443367</v>
      </c>
      <c r="O15">
        <v>20.093121739665399</v>
      </c>
      <c r="P15">
        <v>20.367061471308201</v>
      </c>
      <c r="Q15">
        <v>18.990604819192601</v>
      </c>
      <c r="R15">
        <v>21.681576876821101</v>
      </c>
      <c r="S15">
        <v>14.4351176966592</v>
      </c>
      <c r="T15">
        <v>17.315632953596499</v>
      </c>
      <c r="U15">
        <v>23.398055951889599</v>
      </c>
      <c r="V15">
        <v>20.0940234657871</v>
      </c>
      <c r="W15">
        <v>20.866013700782698</v>
      </c>
      <c r="X15">
        <v>18.870926692455701</v>
      </c>
      <c r="Y15">
        <v>9.8247443691896201</v>
      </c>
      <c r="Z15">
        <v>7.6296043274857199</v>
      </c>
      <c r="AA15">
        <v>8.9379525972770395</v>
      </c>
      <c r="AB15">
        <v>11.3900811220261</v>
      </c>
      <c r="AC15">
        <v>9.8481886760226001</v>
      </c>
      <c r="AD15">
        <v>6.6955892323719404</v>
      </c>
      <c r="AE15">
        <v>10.937675636599399</v>
      </c>
      <c r="AF15">
        <f t="shared" si="0"/>
        <v>15.436002928368362</v>
      </c>
      <c r="AG15">
        <v>1</v>
      </c>
    </row>
    <row r="16" spans="1:33" x14ac:dyDescent="0.3">
      <c r="A16" t="s">
        <v>493</v>
      </c>
      <c r="B16" s="1" t="s">
        <v>494</v>
      </c>
      <c r="C16" t="s">
        <v>64</v>
      </c>
      <c r="D16" s="1" t="s">
        <v>65</v>
      </c>
      <c r="E16">
        <v>1.3196470506830199E-2</v>
      </c>
      <c r="F16">
        <v>1.7801030292113901E-2</v>
      </c>
      <c r="G16">
        <v>1.7330873828421099E-2</v>
      </c>
      <c r="H16">
        <v>8.0104572643324105E-3</v>
      </c>
      <c r="I16">
        <v>1.7950738801108899E-2</v>
      </c>
      <c r="J16">
        <v>3.5323148213421598E-2</v>
      </c>
      <c r="K16">
        <v>5.43710423247111E-2</v>
      </c>
      <c r="L16">
        <v>8.3750111485824105E-2</v>
      </c>
      <c r="M16">
        <v>7.0842253894210894E-2</v>
      </c>
      <c r="N16">
        <v>8.8665738847039197E-2</v>
      </c>
      <c r="O16">
        <v>8.5431476005708398E-2</v>
      </c>
      <c r="P16">
        <v>0.101110752410513</v>
      </c>
      <c r="Q16">
        <v>0.14663140106483299</v>
      </c>
      <c r="R16">
        <v>0.20760255792138699</v>
      </c>
      <c r="S16">
        <v>8.0921544599996106E-2</v>
      </c>
      <c r="T16">
        <v>0.11040137611416501</v>
      </c>
      <c r="U16">
        <v>0.148237511200664</v>
      </c>
      <c r="V16">
        <v>0.16523932870337901</v>
      </c>
      <c r="W16">
        <v>0.13654757711952101</v>
      </c>
      <c r="X16">
        <v>9.5958161148412199E-2</v>
      </c>
      <c r="Y16">
        <v>5.1618323419544199E-2</v>
      </c>
      <c r="Z16">
        <v>3.1494025600477801E-2</v>
      </c>
      <c r="AA16">
        <v>4.6039527397764402E-2</v>
      </c>
      <c r="AB16">
        <v>6.1302760902466197E-2</v>
      </c>
      <c r="AC16">
        <v>4.0160916793921302E-2</v>
      </c>
      <c r="AD16">
        <v>1.6478831900958502E-2</v>
      </c>
      <c r="AE16">
        <v>3.1577188582690603E-2</v>
      </c>
      <c r="AF16">
        <f t="shared" si="0"/>
        <v>7.2740560234978324E-2</v>
      </c>
      <c r="AG16">
        <v>0</v>
      </c>
    </row>
    <row r="17" spans="1:33" x14ac:dyDescent="0.3">
      <c r="A17" t="s">
        <v>493</v>
      </c>
      <c r="B17" s="1" t="s">
        <v>494</v>
      </c>
      <c r="C17" t="s">
        <v>66</v>
      </c>
      <c r="D17" s="1" t="s">
        <v>67</v>
      </c>
      <c r="E17">
        <v>0.23589004398015001</v>
      </c>
      <c r="F17">
        <v>0.21516011900613799</v>
      </c>
      <c r="G17">
        <v>0.16364458574617</v>
      </c>
      <c r="H17">
        <v>0.13378831719151299</v>
      </c>
      <c r="I17">
        <v>0.26082973078009503</v>
      </c>
      <c r="J17">
        <v>0.36697571587139199</v>
      </c>
      <c r="K17">
        <v>0.23396857511216099</v>
      </c>
      <c r="L17">
        <v>0.23334587476537699</v>
      </c>
      <c r="M17">
        <v>0.216001790781783</v>
      </c>
      <c r="N17">
        <v>0.231208899358295</v>
      </c>
      <c r="O17">
        <v>0.34476889511147801</v>
      </c>
      <c r="P17">
        <v>0.381788552150649</v>
      </c>
      <c r="Q17">
        <v>0.33702900167553501</v>
      </c>
      <c r="R17">
        <v>0.38115234737158299</v>
      </c>
      <c r="S17">
        <v>0.19537973557645599</v>
      </c>
      <c r="T17">
        <v>0.27499586250103603</v>
      </c>
      <c r="U17">
        <v>0.44650222837092002</v>
      </c>
      <c r="V17">
        <v>0.42175481876564302</v>
      </c>
      <c r="W17">
        <v>0.34579086307930501</v>
      </c>
      <c r="X17">
        <v>0.293287641580527</v>
      </c>
      <c r="Y17">
        <v>0.105085270554838</v>
      </c>
      <c r="Z17">
        <v>7.8611395524519304E-2</v>
      </c>
      <c r="AA17">
        <v>0.113958458217943</v>
      </c>
      <c r="AB17">
        <v>0.193101287398602</v>
      </c>
      <c r="AC17">
        <v>0.21131814718185599</v>
      </c>
      <c r="AD17">
        <v>0.118477272101359</v>
      </c>
      <c r="AE17">
        <v>0.30936290019160301</v>
      </c>
      <c r="AF17">
        <f t="shared" si="0"/>
        <v>0.25345104925729356</v>
      </c>
      <c r="AG17">
        <v>0</v>
      </c>
    </row>
    <row r="18" spans="1:33" x14ac:dyDescent="0.3">
      <c r="A18" t="s">
        <v>493</v>
      </c>
      <c r="B18" s="1" t="s">
        <v>494</v>
      </c>
      <c r="C18" t="s">
        <v>68</v>
      </c>
      <c r="D18" s="1" t="s">
        <v>69</v>
      </c>
      <c r="E18">
        <v>0.76455176643068301</v>
      </c>
      <c r="F18">
        <v>0.96236380323967596</v>
      </c>
      <c r="G18">
        <v>0.78213721130066505</v>
      </c>
      <c r="H18">
        <v>0.225994396151491</v>
      </c>
      <c r="I18">
        <v>0.85206070825105695</v>
      </c>
      <c r="J18">
        <v>1.7884448758050799</v>
      </c>
      <c r="K18">
        <v>1.3486524985752599</v>
      </c>
      <c r="L18">
        <v>1.1777644704908199</v>
      </c>
      <c r="M18">
        <v>1.1317163327844699</v>
      </c>
      <c r="N18">
        <v>1.1746798782904</v>
      </c>
      <c r="O18">
        <v>1.28297270844558</v>
      </c>
      <c r="P18">
        <v>1.2106519470119701</v>
      </c>
      <c r="Q18">
        <v>1.0929534029752599</v>
      </c>
      <c r="R18">
        <v>1.1998245861582999</v>
      </c>
      <c r="S18">
        <v>0.73028671993500505</v>
      </c>
      <c r="T18">
        <v>0.77280620428275804</v>
      </c>
      <c r="U18">
        <v>1.17084554095057</v>
      </c>
      <c r="V18">
        <v>1.0446465009086101</v>
      </c>
      <c r="W18">
        <v>0.83227080409630105</v>
      </c>
      <c r="X18">
        <v>0.73477184934775697</v>
      </c>
      <c r="Y18">
        <v>0.43912603084486801</v>
      </c>
      <c r="Z18">
        <v>0.386692377932086</v>
      </c>
      <c r="AA18">
        <v>0.50919277184303702</v>
      </c>
      <c r="AB18">
        <v>0.81482381135106996</v>
      </c>
      <c r="AC18">
        <v>0.65217460447728304</v>
      </c>
      <c r="AD18">
        <v>0.36508491305746998</v>
      </c>
      <c r="AE18">
        <v>0.81410582144289001</v>
      </c>
      <c r="AF18">
        <f t="shared" si="0"/>
        <v>0.89857764949557084</v>
      </c>
      <c r="AG18">
        <v>0</v>
      </c>
    </row>
    <row r="19" spans="1:33" x14ac:dyDescent="0.3">
      <c r="A19" t="s">
        <v>493</v>
      </c>
      <c r="B19" s="1" t="s">
        <v>494</v>
      </c>
      <c r="C19" t="s">
        <v>70</v>
      </c>
      <c r="D19" s="1" t="s">
        <v>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5.7432986861046401E-5</v>
      </c>
      <c r="P19">
        <v>1.5350435137962901E-3</v>
      </c>
      <c r="Q19">
        <v>0</v>
      </c>
      <c r="R19">
        <v>0</v>
      </c>
      <c r="S19">
        <v>0</v>
      </c>
      <c r="T19">
        <v>2.76859283389536E-2</v>
      </c>
      <c r="U19">
        <v>4.6560845542730801E-2</v>
      </c>
      <c r="V19">
        <v>4.4732366692878903E-2</v>
      </c>
      <c r="W19">
        <v>3.9772883207987601E-2</v>
      </c>
      <c r="X19">
        <v>4.8118822461713999E-2</v>
      </c>
      <c r="Y19">
        <v>1.5727964979481601E-2</v>
      </c>
      <c r="Z19">
        <v>1.1567822048640699E-2</v>
      </c>
      <c r="AA19">
        <v>2.0516434767580801E-2</v>
      </c>
      <c r="AB19">
        <v>2.9217776231573001E-2</v>
      </c>
      <c r="AC19">
        <v>2.71254076077426E-2</v>
      </c>
      <c r="AD19">
        <v>1.47576977551149E-2</v>
      </c>
      <c r="AE19">
        <v>3.12735679835233E-2</v>
      </c>
      <c r="AF19">
        <f t="shared" si="0"/>
        <v>1.3283333115502933E-2</v>
      </c>
      <c r="AG19">
        <v>0</v>
      </c>
    </row>
    <row r="20" spans="1:33" x14ac:dyDescent="0.3">
      <c r="A20" t="s">
        <v>493</v>
      </c>
      <c r="B20" s="1" t="s">
        <v>494</v>
      </c>
      <c r="C20" t="s">
        <v>72</v>
      </c>
      <c r="D20" s="1" t="s">
        <v>73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3.0235666290863699E-2</v>
      </c>
      <c r="P20">
        <v>2.1564696584243999</v>
      </c>
      <c r="Q20">
        <v>2.82529999150958</v>
      </c>
      <c r="R20">
        <v>4.5472647881435302</v>
      </c>
      <c r="S20">
        <v>2.9704178827190799</v>
      </c>
      <c r="T20">
        <v>3.81365912702217</v>
      </c>
      <c r="U20">
        <v>5.3917735913951503</v>
      </c>
      <c r="V20">
        <v>3.6162029498038502</v>
      </c>
      <c r="W20">
        <v>2.3781592372639899</v>
      </c>
      <c r="X20">
        <v>1.6682169847120401</v>
      </c>
      <c r="Y20">
        <v>0.50187422826991002</v>
      </c>
      <c r="Z20">
        <v>0.32417304782825201</v>
      </c>
      <c r="AA20">
        <v>0.38306680612761101</v>
      </c>
      <c r="AB20">
        <v>0.50236460686308404</v>
      </c>
      <c r="AC20">
        <v>0.33650408861172298</v>
      </c>
      <c r="AD20">
        <v>0.13564032659516401</v>
      </c>
      <c r="AE20">
        <v>0.28028195642853299</v>
      </c>
      <c r="AF20">
        <f t="shared" si="0"/>
        <v>1.1800594421484787</v>
      </c>
      <c r="AG20">
        <v>0</v>
      </c>
    </row>
    <row r="21" spans="1:33" x14ac:dyDescent="0.3">
      <c r="A21" t="s">
        <v>493</v>
      </c>
      <c r="B21" s="1" t="s">
        <v>494</v>
      </c>
      <c r="C21" t="s">
        <v>74</v>
      </c>
      <c r="D21" s="1" t="s">
        <v>75</v>
      </c>
      <c r="E21">
        <v>0.54286469566943996</v>
      </c>
      <c r="F21">
        <v>0.39565441570923798</v>
      </c>
      <c r="G21">
        <v>0.30394217823213698</v>
      </c>
      <c r="H21">
        <v>0.101033020834667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5.3374652036922397E-2</v>
      </c>
      <c r="Z21">
        <v>5.14773561767198E-2</v>
      </c>
      <c r="AA21">
        <v>8.7496551993823501E-2</v>
      </c>
      <c r="AB21">
        <v>0.116502415263534</v>
      </c>
      <c r="AC21">
        <v>9.7887259134740001E-2</v>
      </c>
      <c r="AD21">
        <v>4.51182412067022E-2</v>
      </c>
      <c r="AE21">
        <v>0</v>
      </c>
      <c r="AF21">
        <f t="shared" si="0"/>
        <v>8.1606853920814737E-2</v>
      </c>
      <c r="AG21">
        <v>0</v>
      </c>
    </row>
    <row r="22" spans="1:33" x14ac:dyDescent="0.3">
      <c r="A22" t="s">
        <v>493</v>
      </c>
      <c r="B22" s="1" t="s">
        <v>494</v>
      </c>
      <c r="C22" t="s">
        <v>76</v>
      </c>
      <c r="D22" s="1" t="s">
        <v>77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0</v>
      </c>
      <c r="AG22">
        <v>0</v>
      </c>
    </row>
    <row r="23" spans="1:33" x14ac:dyDescent="0.3">
      <c r="A23" t="s">
        <v>493</v>
      </c>
      <c r="B23" s="1" t="s">
        <v>494</v>
      </c>
      <c r="C23" t="s">
        <v>78</v>
      </c>
      <c r="D23" s="1" t="s">
        <v>79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f t="shared" si="0"/>
        <v>0</v>
      </c>
      <c r="AG23">
        <v>0</v>
      </c>
    </row>
    <row r="24" spans="1:33" x14ac:dyDescent="0.3">
      <c r="A24" t="s">
        <v>493</v>
      </c>
      <c r="B24" s="1" t="s">
        <v>494</v>
      </c>
      <c r="C24" t="s">
        <v>80</v>
      </c>
      <c r="D24" s="1" t="s">
        <v>81</v>
      </c>
      <c r="E24">
        <v>1.6753909346087099</v>
      </c>
      <c r="F24">
        <v>2.0826662143873498</v>
      </c>
      <c r="G24">
        <v>1.6455708871686801</v>
      </c>
      <c r="H24">
        <v>1.24033297671521</v>
      </c>
      <c r="I24">
        <v>1.8314809930192399</v>
      </c>
      <c r="J24">
        <v>3.20071915897547</v>
      </c>
      <c r="K24">
        <v>2.7019145452114799</v>
      </c>
      <c r="L24">
        <v>3.20143436722118</v>
      </c>
      <c r="M24">
        <v>3.5784097614480399</v>
      </c>
      <c r="N24">
        <v>5.0886809265652904</v>
      </c>
      <c r="O24">
        <v>7.3308030003014499</v>
      </c>
      <c r="P24">
        <v>6.90511113358437</v>
      </c>
      <c r="Q24">
        <v>4.87482833139779</v>
      </c>
      <c r="R24">
        <v>5.13358898631882</v>
      </c>
      <c r="S24">
        <v>1.99901854108232</v>
      </c>
      <c r="T24">
        <v>2.8112041419402298</v>
      </c>
      <c r="U24">
        <v>3.5788212983796099</v>
      </c>
      <c r="V24">
        <v>3.58582706729094</v>
      </c>
      <c r="W24">
        <v>3.3183883780707202</v>
      </c>
      <c r="X24">
        <v>3.0333235575707902</v>
      </c>
      <c r="Y24">
        <v>1.14024731448316</v>
      </c>
      <c r="Z24">
        <v>0.78811469837591497</v>
      </c>
      <c r="AA24">
        <v>1.02986757658124</v>
      </c>
      <c r="AB24">
        <v>1.4498952900262001</v>
      </c>
      <c r="AC24">
        <v>1.0303191682966</v>
      </c>
      <c r="AD24">
        <v>0.49734630596691198</v>
      </c>
      <c r="AE24">
        <v>1.26335187425347</v>
      </c>
      <c r="AF24">
        <f t="shared" si="0"/>
        <v>2.8154317566385632</v>
      </c>
      <c r="AG24">
        <v>0</v>
      </c>
    </row>
    <row r="25" spans="1:33" x14ac:dyDescent="0.3">
      <c r="A25" t="s">
        <v>493</v>
      </c>
      <c r="B25" s="1" t="s">
        <v>494</v>
      </c>
      <c r="C25" t="s">
        <v>82</v>
      </c>
      <c r="D25" s="1" t="s">
        <v>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f t="shared" si="0"/>
        <v>0</v>
      </c>
      <c r="AG25">
        <v>0</v>
      </c>
    </row>
    <row r="26" spans="1:33" x14ac:dyDescent="0.3">
      <c r="A26" t="s">
        <v>493</v>
      </c>
      <c r="B26" s="1" t="s">
        <v>494</v>
      </c>
      <c r="C26" t="s">
        <v>84</v>
      </c>
      <c r="D26" s="1" t="s">
        <v>85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f t="shared" si="0"/>
        <v>0</v>
      </c>
      <c r="AG26">
        <v>0</v>
      </c>
    </row>
    <row r="27" spans="1:33" x14ac:dyDescent="0.3">
      <c r="A27" t="s">
        <v>493</v>
      </c>
      <c r="B27" s="1" t="s">
        <v>494</v>
      </c>
      <c r="C27" t="s">
        <v>86</v>
      </c>
      <c r="D27" s="1" t="s">
        <v>87</v>
      </c>
      <c r="E27">
        <v>0.36200491874171498</v>
      </c>
      <c r="F27">
        <v>0.47136783706853702</v>
      </c>
      <c r="G27">
        <v>0.42530155373565498</v>
      </c>
      <c r="H27">
        <v>0.26958454225955703</v>
      </c>
      <c r="I27">
        <v>0.75529326619299997</v>
      </c>
      <c r="J27">
        <v>1.4117987080229699</v>
      </c>
      <c r="K27">
        <v>1.2714769593639501</v>
      </c>
      <c r="L27">
        <v>1.67933238308169</v>
      </c>
      <c r="M27">
        <v>1.73818665052402</v>
      </c>
      <c r="N27">
        <v>1.8870713396099199</v>
      </c>
      <c r="O27">
        <v>2.3691301699563501</v>
      </c>
      <c r="P27">
        <v>2.4455656020140899</v>
      </c>
      <c r="Q27">
        <v>2.06708286540223</v>
      </c>
      <c r="R27">
        <v>2.4424371467614798</v>
      </c>
      <c r="S27">
        <v>1.3304849820814899</v>
      </c>
      <c r="T27">
        <v>1.4943676560881201</v>
      </c>
      <c r="U27">
        <v>2.0462872053278902</v>
      </c>
      <c r="V27">
        <v>2.0437081764266201</v>
      </c>
      <c r="W27">
        <v>1.82332429100899</v>
      </c>
      <c r="X27">
        <v>1.8637449096409799</v>
      </c>
      <c r="Y27">
        <v>1.0392698789461201</v>
      </c>
      <c r="Z27">
        <v>0.83228047374343495</v>
      </c>
      <c r="AA27">
        <v>1.1283685391859799</v>
      </c>
      <c r="AB27">
        <v>1.90111531664903</v>
      </c>
      <c r="AC27">
        <v>1.6761311575078</v>
      </c>
      <c r="AD27">
        <v>1.0787277860536899</v>
      </c>
      <c r="AE27">
        <v>2.6044573369842698</v>
      </c>
      <c r="AF27">
        <f t="shared" si="0"/>
        <v>1.498440801939984</v>
      </c>
      <c r="AG27">
        <v>0</v>
      </c>
    </row>
    <row r="28" spans="1:33" x14ac:dyDescent="0.3">
      <c r="A28" t="s">
        <v>493</v>
      </c>
      <c r="B28" s="1" t="s">
        <v>494</v>
      </c>
      <c r="C28" t="s">
        <v>88</v>
      </c>
      <c r="D28" s="1" t="s">
        <v>89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tr">
        <f t="shared" si="0"/>
        <v>NA</v>
      </c>
      <c r="AG28">
        <v>0</v>
      </c>
    </row>
    <row r="29" spans="1:33" x14ac:dyDescent="0.3">
      <c r="A29" t="s">
        <v>493</v>
      </c>
      <c r="B29" s="1" t="s">
        <v>494</v>
      </c>
      <c r="C29" s="7" t="s">
        <v>90</v>
      </c>
      <c r="D29" s="1" t="s">
        <v>91</v>
      </c>
      <c r="E29">
        <v>13.7981248795186</v>
      </c>
      <c r="F29">
        <v>16.066427347689999</v>
      </c>
      <c r="G29">
        <v>14.8382113343604</v>
      </c>
      <c r="H29">
        <v>8.7864524447592007</v>
      </c>
      <c r="I29">
        <v>14.7734214326029</v>
      </c>
      <c r="J29">
        <v>23.4896305488652</v>
      </c>
      <c r="K29">
        <v>16.742683402114</v>
      </c>
      <c r="L29">
        <v>16.1096999175722</v>
      </c>
      <c r="M29">
        <v>16.687610771020399</v>
      </c>
      <c r="N29">
        <v>19.778008543705901</v>
      </c>
      <c r="O29">
        <v>25.956729633830999</v>
      </c>
      <c r="P29">
        <v>30.500356671909</v>
      </c>
      <c r="Q29">
        <v>27.5236863460397</v>
      </c>
      <c r="R29">
        <v>26.3149392802544</v>
      </c>
      <c r="S29">
        <v>16.691880953891701</v>
      </c>
      <c r="T29">
        <v>20.380857066164499</v>
      </c>
      <c r="U29">
        <v>24.192575555550501</v>
      </c>
      <c r="V29">
        <v>20.240541665537801</v>
      </c>
      <c r="W29">
        <v>16.496289516531998</v>
      </c>
      <c r="X29">
        <v>14.6726548413146</v>
      </c>
      <c r="Y29">
        <v>7.6794140320007598</v>
      </c>
      <c r="Z29">
        <v>6.6107686265625603</v>
      </c>
      <c r="AA29">
        <v>8.3358203911999507</v>
      </c>
      <c r="AB29">
        <v>11.046476859895</v>
      </c>
      <c r="AC29">
        <v>9.0004947131079103</v>
      </c>
      <c r="AD29">
        <v>3.4581178119525799</v>
      </c>
      <c r="AE29">
        <v>10.3734034426076</v>
      </c>
      <c r="AF29">
        <f t="shared" si="0"/>
        <v>16.316491778909644</v>
      </c>
      <c r="AG29">
        <v>1</v>
      </c>
    </row>
    <row r="30" spans="1:33" x14ac:dyDescent="0.3">
      <c r="A30" t="s">
        <v>493</v>
      </c>
      <c r="B30" s="1" t="s">
        <v>494</v>
      </c>
      <c r="C30" t="s">
        <v>92</v>
      </c>
      <c r="D30" s="1" t="s">
        <v>93</v>
      </c>
      <c r="E30">
        <v>1.4559559494404699E-2</v>
      </c>
      <c r="F30">
        <v>2.1771523313204501E-2</v>
      </c>
      <c r="G30">
        <v>1.6131318784783799E-2</v>
      </c>
      <c r="H30">
        <v>5.0276720983796997E-3</v>
      </c>
      <c r="I30">
        <v>1.6364593181780601E-2</v>
      </c>
      <c r="J30">
        <v>7.4139152563175104E-2</v>
      </c>
      <c r="K30">
        <v>1.9228425232935799E-2</v>
      </c>
      <c r="L30">
        <v>2.10526231438115E-2</v>
      </c>
      <c r="M30">
        <v>1.6183034996676199E-2</v>
      </c>
      <c r="N30">
        <v>2.8655075670680302E-2</v>
      </c>
      <c r="O30">
        <v>3.7174267548741001E-2</v>
      </c>
      <c r="P30">
        <v>3.7211467137326801E-2</v>
      </c>
      <c r="Q30">
        <v>3.2067929991172001E-2</v>
      </c>
      <c r="R30">
        <v>3.8592843605619702E-2</v>
      </c>
      <c r="S30">
        <v>2.1653352636249401E-2</v>
      </c>
      <c r="T30">
        <v>2.5329159685935101E-2</v>
      </c>
      <c r="U30">
        <v>3.6727851638498399E-2</v>
      </c>
      <c r="V30">
        <v>3.7776158159145798E-2</v>
      </c>
      <c r="W30">
        <v>3.4005616395049398E-2</v>
      </c>
      <c r="X30">
        <v>3.09655080286577E-2</v>
      </c>
      <c r="Y30">
        <v>1.48484893305972E-2</v>
      </c>
      <c r="Z30">
        <v>1.07367793608996E-2</v>
      </c>
      <c r="AA30">
        <v>1.5053994541198599E-2</v>
      </c>
      <c r="AB30">
        <v>2.15683047004454E-2</v>
      </c>
      <c r="AC30">
        <v>1.84983412131835E-2</v>
      </c>
      <c r="AD30">
        <v>9.6733360627292795E-3</v>
      </c>
      <c r="AE30">
        <v>1.9392646288590699E-2</v>
      </c>
      <c r="AF30">
        <f t="shared" si="0"/>
        <v>2.4977371289032286E-2</v>
      </c>
      <c r="AG30">
        <v>0</v>
      </c>
    </row>
    <row r="31" spans="1:33" x14ac:dyDescent="0.3">
      <c r="A31" t="s">
        <v>493</v>
      </c>
      <c r="B31" s="1" t="s">
        <v>494</v>
      </c>
      <c r="C31" t="s">
        <v>94</v>
      </c>
      <c r="D31" s="1" t="s">
        <v>95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f t="shared" si="0"/>
        <v>0</v>
      </c>
      <c r="AG31">
        <v>0</v>
      </c>
    </row>
    <row r="32" spans="1:33" x14ac:dyDescent="0.3">
      <c r="A32" t="s">
        <v>493</v>
      </c>
      <c r="B32" s="1" t="s">
        <v>494</v>
      </c>
      <c r="C32" t="s">
        <v>96</v>
      </c>
      <c r="D32" s="1" t="s">
        <v>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f t="shared" si="0"/>
        <v>0</v>
      </c>
      <c r="AG32">
        <v>0</v>
      </c>
    </row>
    <row r="33" spans="1:33" x14ac:dyDescent="0.3">
      <c r="A33" t="s">
        <v>493</v>
      </c>
      <c r="B33" s="1" t="s">
        <v>494</v>
      </c>
      <c r="C33" t="s">
        <v>98</v>
      </c>
      <c r="D33" s="1" t="s">
        <v>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f t="shared" si="0"/>
        <v>0</v>
      </c>
      <c r="AG33">
        <v>0</v>
      </c>
    </row>
    <row r="34" spans="1:33" x14ac:dyDescent="0.3">
      <c r="A34" t="s">
        <v>493</v>
      </c>
      <c r="B34" s="1" t="s">
        <v>494</v>
      </c>
      <c r="C34" t="s">
        <v>100</v>
      </c>
      <c r="D34" s="1" t="s">
        <v>101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34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1.36728305235044E-4</v>
      </c>
      <c r="AE34">
        <v>4.1031757226877803E-2</v>
      </c>
      <c r="AF34">
        <f t="shared" si="0"/>
        <v>1.5834032896966479E-3</v>
      </c>
      <c r="AG34">
        <v>0</v>
      </c>
    </row>
    <row r="35" spans="1:33" x14ac:dyDescent="0.3">
      <c r="A35" t="s">
        <v>493</v>
      </c>
      <c r="B35" s="1" t="s">
        <v>494</v>
      </c>
      <c r="C35" t="s">
        <v>102</v>
      </c>
      <c r="D35" s="1" t="s">
        <v>103</v>
      </c>
      <c r="E35">
        <v>3.7645468556202002</v>
      </c>
      <c r="F35">
        <v>4.2159479335700096</v>
      </c>
      <c r="G35">
        <v>4.6007888436196804</v>
      </c>
      <c r="H35">
        <v>2.0516754025480002</v>
      </c>
      <c r="I35">
        <v>2.7393088165397002</v>
      </c>
      <c r="J35">
        <v>5.6535010631801699</v>
      </c>
      <c r="K35">
        <v>3.59717199204675</v>
      </c>
      <c r="L35">
        <v>3.0528410793473699</v>
      </c>
      <c r="M35">
        <v>2.3167639515435501</v>
      </c>
      <c r="N35">
        <v>2.75939445890458</v>
      </c>
      <c r="O35">
        <v>5.2843943339448796</v>
      </c>
      <c r="P35">
        <v>6.1834296918882297</v>
      </c>
      <c r="Q35">
        <v>6.0395889182960696</v>
      </c>
      <c r="R35">
        <v>7.1210758412810096</v>
      </c>
      <c r="S35">
        <v>3.18641938368574</v>
      </c>
      <c r="T35">
        <v>4.1419142173669297</v>
      </c>
      <c r="U35">
        <v>5.2580431074853804</v>
      </c>
      <c r="V35">
        <v>5.2617034483307599</v>
      </c>
      <c r="W35">
        <v>4.19597685270569</v>
      </c>
      <c r="X35">
        <v>3.6783562865868502</v>
      </c>
      <c r="Y35">
        <v>1.8966434448079801</v>
      </c>
      <c r="Z35">
        <v>1.55546940126434</v>
      </c>
      <c r="AA35">
        <v>2.1970756283975401</v>
      </c>
      <c r="AB35">
        <v>2.7843013369779301</v>
      </c>
      <c r="AC35">
        <v>2.42269397588966</v>
      </c>
      <c r="AD35">
        <v>1.2805877928334599</v>
      </c>
      <c r="AE35">
        <v>2.3615995323854699</v>
      </c>
      <c r="AF35">
        <f t="shared" si="0"/>
        <v>3.6889338367054787</v>
      </c>
      <c r="AG35">
        <v>0</v>
      </c>
    </row>
    <row r="36" spans="1:33" x14ac:dyDescent="0.3">
      <c r="A36" t="s">
        <v>493</v>
      </c>
      <c r="B36" s="1" t="s">
        <v>494</v>
      </c>
      <c r="C36" t="s">
        <v>104</v>
      </c>
      <c r="D36" s="1" t="s">
        <v>105</v>
      </c>
      <c r="E36">
        <v>1.03435296028991</v>
      </c>
      <c r="F36">
        <v>1.2967420282029201</v>
      </c>
      <c r="G36">
        <v>0.80657144596767305</v>
      </c>
      <c r="H36">
        <v>0.35126817314169001</v>
      </c>
      <c r="I36">
        <v>0.76404556659195699</v>
      </c>
      <c r="J36">
        <v>1.47117947256471</v>
      </c>
      <c r="K36">
        <v>0.85885750911278202</v>
      </c>
      <c r="L36">
        <v>0.95594343920129299</v>
      </c>
      <c r="M36">
        <v>1.1257857617274101</v>
      </c>
      <c r="N36">
        <v>1.4975594449905401</v>
      </c>
      <c r="O36">
        <v>1.7849868147788399</v>
      </c>
      <c r="P36">
        <v>1.7978448720470199</v>
      </c>
      <c r="Q36">
        <v>1.7957286043484599</v>
      </c>
      <c r="R36">
        <v>2.5400235234303401</v>
      </c>
      <c r="S36">
        <v>1.3314217118165601</v>
      </c>
      <c r="T36">
        <v>1.3603598172426501</v>
      </c>
      <c r="U36">
        <v>1.65206257737853</v>
      </c>
      <c r="V36">
        <v>0.87303516231897504</v>
      </c>
      <c r="W36">
        <v>1.25009355545576</v>
      </c>
      <c r="X36">
        <v>1.1651269952005301</v>
      </c>
      <c r="Y36">
        <v>3.4589157821876902E-2</v>
      </c>
      <c r="Z36">
        <v>0.47172470930175597</v>
      </c>
      <c r="AA36">
        <v>0.81676663520673898</v>
      </c>
      <c r="AB36">
        <v>1.5056287292807899</v>
      </c>
      <c r="AC36">
        <v>1.6199500962193001</v>
      </c>
      <c r="AD36">
        <v>0.88890848208179996</v>
      </c>
      <c r="AE36">
        <v>2.8297852886547399</v>
      </c>
      <c r="AF36">
        <f t="shared" si="0"/>
        <v>1.2548275012731684</v>
      </c>
      <c r="AG36">
        <v>0</v>
      </c>
    </row>
    <row r="37" spans="1:33" x14ac:dyDescent="0.3">
      <c r="A37" t="s">
        <v>493</v>
      </c>
      <c r="B37" s="1" t="s">
        <v>494</v>
      </c>
      <c r="C37" t="s">
        <v>106</v>
      </c>
      <c r="D37" s="1" t="s">
        <v>107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f t="shared" si="0"/>
        <v>0</v>
      </c>
      <c r="AG37">
        <v>0</v>
      </c>
    </row>
    <row r="38" spans="1:33" x14ac:dyDescent="0.3">
      <c r="A38" t="s">
        <v>493</v>
      </c>
      <c r="B38" s="1" t="s">
        <v>494</v>
      </c>
      <c r="C38" t="s">
        <v>108</v>
      </c>
      <c r="D38" s="1" t="s">
        <v>109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f t="shared" si="0"/>
        <v>0</v>
      </c>
      <c r="AG38">
        <v>0</v>
      </c>
    </row>
    <row r="39" spans="1:33" x14ac:dyDescent="0.3">
      <c r="A39" t="s">
        <v>493</v>
      </c>
      <c r="B39" s="1" t="s">
        <v>494</v>
      </c>
      <c r="C39" t="s">
        <v>110</v>
      </c>
      <c r="D39" s="1" t="s">
        <v>111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4.7438344780489103</v>
      </c>
      <c r="N39">
        <v>29.859964467077202</v>
      </c>
      <c r="O39">
        <v>32.666625992400398</v>
      </c>
      <c r="P39">
        <v>30.8512410137952</v>
      </c>
      <c r="Q39">
        <v>28.9574096374403</v>
      </c>
      <c r="R39">
        <v>29.664294155619402</v>
      </c>
      <c r="S39">
        <v>14.675615936122201</v>
      </c>
      <c r="T39">
        <v>20.031746589784198</v>
      </c>
      <c r="U39">
        <v>24.398373048637701</v>
      </c>
      <c r="V39">
        <v>20.531195077609901</v>
      </c>
      <c r="W39">
        <v>15.7791942816497</v>
      </c>
      <c r="X39">
        <v>11.367933908653299</v>
      </c>
      <c r="Y39">
        <v>6.2969962979887999</v>
      </c>
      <c r="Z39">
        <v>6.5968787622343497</v>
      </c>
      <c r="AA39">
        <v>10.2750096848343</v>
      </c>
      <c r="AB39">
        <v>16.612167366561199</v>
      </c>
      <c r="AC39">
        <v>15.5707595430138</v>
      </c>
      <c r="AD39">
        <v>9.2281714786327491</v>
      </c>
      <c r="AE39">
        <v>16.751566161141699</v>
      </c>
      <c r="AF39">
        <f t="shared" si="0"/>
        <v>12.772554736342419</v>
      </c>
      <c r="AG39">
        <v>0</v>
      </c>
    </row>
    <row r="40" spans="1:33" x14ac:dyDescent="0.3">
      <c r="A40" t="s">
        <v>493</v>
      </c>
      <c r="B40" s="1" t="s">
        <v>494</v>
      </c>
      <c r="C40" t="s">
        <v>112</v>
      </c>
      <c r="D40" s="1" t="s">
        <v>113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tr">
        <f t="shared" si="0"/>
        <v>NA</v>
      </c>
      <c r="AG40">
        <v>0</v>
      </c>
    </row>
    <row r="41" spans="1:33" x14ac:dyDescent="0.3">
      <c r="A41" t="s">
        <v>493</v>
      </c>
      <c r="B41" s="1" t="s">
        <v>494</v>
      </c>
      <c r="C41" t="s">
        <v>114</v>
      </c>
      <c r="D41" s="1" t="s">
        <v>115</v>
      </c>
      <c r="E41">
        <v>5.7797010115058098E-2</v>
      </c>
      <c r="F41">
        <v>5.9695938910935303E-2</v>
      </c>
      <c r="G41">
        <v>3.8289499179926002E-2</v>
      </c>
      <c r="H41">
        <v>2.3470087428148802E-2</v>
      </c>
      <c r="I41">
        <v>4.1825029693721399E-2</v>
      </c>
      <c r="J41">
        <v>6.4809315417819605E-2</v>
      </c>
      <c r="K41">
        <v>5.1019074354873198E-2</v>
      </c>
      <c r="L41">
        <v>5.0170940179253602E-2</v>
      </c>
      <c r="M41">
        <v>5.0628331823275398E-2</v>
      </c>
      <c r="N41">
        <v>4.8041803469317697E-2</v>
      </c>
      <c r="O41">
        <v>4.6668149831073501E-2</v>
      </c>
      <c r="P41">
        <v>3.0520000296569101E-2</v>
      </c>
      <c r="Q41">
        <v>2.4441295514176498E-2</v>
      </c>
      <c r="R41">
        <v>3.94143420844663E-2</v>
      </c>
      <c r="S41">
        <v>2.4196315352848899E-2</v>
      </c>
      <c r="T41">
        <v>1.77167005915164E-2</v>
      </c>
      <c r="U41">
        <v>2.0299690192858402E-2</v>
      </c>
      <c r="V41">
        <v>3.3924269907175203E-2</v>
      </c>
      <c r="W41">
        <v>3.7141922785678502E-2</v>
      </c>
      <c r="X41">
        <v>2.9954582313452799E-2</v>
      </c>
      <c r="Y41">
        <v>7.0217503844221896E-3</v>
      </c>
      <c r="Z41">
        <v>7.16567782254964E-3</v>
      </c>
      <c r="AA41">
        <v>8.3333916899708399E-3</v>
      </c>
      <c r="AB41">
        <v>1.22096396579944E-2</v>
      </c>
      <c r="AC41">
        <v>1.138461169495E-2</v>
      </c>
      <c r="AD41">
        <v>7.3483419512708299E-3</v>
      </c>
      <c r="AE41">
        <v>1.2698324254989801E-2</v>
      </c>
      <c r="AF41">
        <f t="shared" si="0"/>
        <v>3.1710593959196016E-2</v>
      </c>
      <c r="AG41">
        <v>0</v>
      </c>
    </row>
    <row r="42" spans="1:33" x14ac:dyDescent="0.3">
      <c r="A42" t="s">
        <v>493</v>
      </c>
      <c r="B42" s="1" t="s">
        <v>494</v>
      </c>
      <c r="C42" t="s">
        <v>116</v>
      </c>
      <c r="D42" s="1" t="s">
        <v>117</v>
      </c>
      <c r="E42">
        <v>1.6234240197757901</v>
      </c>
      <c r="F42">
        <v>1.8423215230901699</v>
      </c>
      <c r="G42">
        <v>1.4430335201698601</v>
      </c>
      <c r="H42">
        <v>0.63459160125474201</v>
      </c>
      <c r="I42">
        <v>1.0872772006931899</v>
      </c>
      <c r="J42">
        <v>2.03905175243341</v>
      </c>
      <c r="K42">
        <v>1.32058497741337</v>
      </c>
      <c r="L42">
        <v>1.2440936945479899</v>
      </c>
      <c r="M42">
        <v>1.2855924898606601</v>
      </c>
      <c r="N42">
        <v>1.63506369666261</v>
      </c>
      <c r="O42">
        <v>2.23061473485701</v>
      </c>
      <c r="P42">
        <v>2.2255244607283</v>
      </c>
      <c r="Q42">
        <v>1.7598305356658099</v>
      </c>
      <c r="R42">
        <v>1.9902860340032</v>
      </c>
      <c r="S42">
        <v>0.89905053999034301</v>
      </c>
      <c r="T42">
        <v>1.22257362123247</v>
      </c>
      <c r="U42">
        <v>1.54520918045373</v>
      </c>
      <c r="V42">
        <v>1.2834867922781299</v>
      </c>
      <c r="W42">
        <v>1.07614082250695</v>
      </c>
      <c r="X42">
        <v>0.88810039046657197</v>
      </c>
      <c r="Y42">
        <v>0.33524361605199099</v>
      </c>
      <c r="Z42">
        <v>0.24586684845377199</v>
      </c>
      <c r="AA42">
        <v>0.31380404102499898</v>
      </c>
      <c r="AB42">
        <v>0.413038667779282</v>
      </c>
      <c r="AC42">
        <v>0.29845775488277898</v>
      </c>
      <c r="AD42">
        <v>0.114304451775114</v>
      </c>
      <c r="AE42">
        <v>0.308578757061099</v>
      </c>
      <c r="AF42">
        <f t="shared" si="0"/>
        <v>1.1594498416708647</v>
      </c>
      <c r="AG42">
        <v>0</v>
      </c>
    </row>
    <row r="43" spans="1:33" x14ac:dyDescent="0.3">
      <c r="A43" t="s">
        <v>493</v>
      </c>
      <c r="B43" s="1" t="s">
        <v>494</v>
      </c>
      <c r="C43" t="s">
        <v>118</v>
      </c>
      <c r="D43" s="1" t="s">
        <v>119</v>
      </c>
      <c r="E43">
        <v>2.53983784015495</v>
      </c>
      <c r="F43">
        <v>3.2906217147319201</v>
      </c>
      <c r="G43">
        <v>2.7307898597565199</v>
      </c>
      <c r="H43">
        <v>1.79752139116737</v>
      </c>
      <c r="I43">
        <v>3.8918228076425101</v>
      </c>
      <c r="J43">
        <v>5.1369145744231401</v>
      </c>
      <c r="K43">
        <v>3.3895291211657002</v>
      </c>
      <c r="L43">
        <v>3.4723491449574002</v>
      </c>
      <c r="M43">
        <v>3.7007331332344102</v>
      </c>
      <c r="N43">
        <v>3.8464028485443098</v>
      </c>
      <c r="O43">
        <v>4.6618753019502002</v>
      </c>
      <c r="P43">
        <v>5.1462795607998801</v>
      </c>
      <c r="Q43">
        <v>4.2370892815719197</v>
      </c>
      <c r="R43">
        <v>5.5339262932846296</v>
      </c>
      <c r="S43">
        <v>3.27049268265203</v>
      </c>
      <c r="T43">
        <v>4.3920797872856401</v>
      </c>
      <c r="U43">
        <v>6.9326406719440001</v>
      </c>
      <c r="V43">
        <v>6.20532168790636</v>
      </c>
      <c r="W43">
        <v>5.8741221783700803</v>
      </c>
      <c r="X43">
        <v>5.2637617820318896</v>
      </c>
      <c r="Y43">
        <v>2.6277080878416199</v>
      </c>
      <c r="Z43">
        <v>1.8617673184590799</v>
      </c>
      <c r="AA43">
        <v>2.4258423497389701</v>
      </c>
      <c r="AB43">
        <v>3.6400666038234699</v>
      </c>
      <c r="AC43">
        <v>3.1427100818561202</v>
      </c>
      <c r="AD43">
        <v>1.5627979026171399</v>
      </c>
      <c r="AE43">
        <v>3.4240248759337399</v>
      </c>
      <c r="AF43">
        <f t="shared" si="0"/>
        <v>3.8518158845868529</v>
      </c>
      <c r="AG43">
        <v>0</v>
      </c>
    </row>
    <row r="44" spans="1:33" x14ac:dyDescent="0.3">
      <c r="A44" t="s">
        <v>493</v>
      </c>
      <c r="B44" s="1" t="s">
        <v>494</v>
      </c>
      <c r="C44" t="s">
        <v>120</v>
      </c>
      <c r="D44" s="1" t="s">
        <v>121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f t="shared" si="0"/>
        <v>0</v>
      </c>
      <c r="AG44">
        <v>0</v>
      </c>
    </row>
    <row r="45" spans="1:33" x14ac:dyDescent="0.3">
      <c r="A45" t="s">
        <v>493</v>
      </c>
      <c r="B45" s="1" t="s">
        <v>494</v>
      </c>
      <c r="C45" t="s">
        <v>122</v>
      </c>
      <c r="D45" s="1" t="s">
        <v>123</v>
      </c>
      <c r="E45">
        <v>1.8044047302603601</v>
      </c>
      <c r="F45">
        <v>2.19515258214803</v>
      </c>
      <c r="G45">
        <v>1.8203081208373999</v>
      </c>
      <c r="H45">
        <v>0.79707859574900297</v>
      </c>
      <c r="I45">
        <v>1.73975706615301</v>
      </c>
      <c r="J45">
        <v>0.86262954524772795</v>
      </c>
      <c r="K45">
        <v>1.71728779678104</v>
      </c>
      <c r="L45">
        <v>1.4521433685398799</v>
      </c>
      <c r="M45">
        <v>1.59353042142954</v>
      </c>
      <c r="N45">
        <v>2.1375232973120202</v>
      </c>
      <c r="O45">
        <v>2.66413154294407</v>
      </c>
      <c r="P45">
        <v>2.5833318365434099</v>
      </c>
      <c r="Q45">
        <v>2.5464218497401299</v>
      </c>
      <c r="R45">
        <v>2.8329356811640301</v>
      </c>
      <c r="S45">
        <v>1.37907393656144</v>
      </c>
      <c r="T45">
        <v>1.8060629117995299</v>
      </c>
      <c r="U45">
        <v>2.44284320183572</v>
      </c>
      <c r="V45">
        <v>2.0573595023842701</v>
      </c>
      <c r="W45">
        <v>1.5624595976329001</v>
      </c>
      <c r="X45">
        <v>1.0574581164718999</v>
      </c>
      <c r="Y45">
        <v>0.34553412182913401</v>
      </c>
      <c r="Z45">
        <v>0.30667811004498602</v>
      </c>
      <c r="AA45">
        <v>0.65990241078133505</v>
      </c>
      <c r="AB45">
        <v>0.78349511350266698</v>
      </c>
      <c r="AC45">
        <v>0.62930938333432895</v>
      </c>
      <c r="AD45">
        <v>0.35885056115007102</v>
      </c>
      <c r="AE45">
        <v>0.64983690301921904</v>
      </c>
      <c r="AF45">
        <f t="shared" si="0"/>
        <v>1.5105740853776723</v>
      </c>
      <c r="AG45">
        <v>0</v>
      </c>
    </row>
    <row r="46" spans="1:33" x14ac:dyDescent="0.3">
      <c r="A46" t="s">
        <v>493</v>
      </c>
      <c r="B46" s="1" t="s">
        <v>494</v>
      </c>
      <c r="C46" s="7" t="s">
        <v>124</v>
      </c>
      <c r="D46" s="1" t="s">
        <v>125</v>
      </c>
      <c r="E46">
        <v>31.390524809793401</v>
      </c>
      <c r="F46">
        <v>34.246629082169498</v>
      </c>
      <c r="G46">
        <v>38.842981560638201</v>
      </c>
      <c r="H46">
        <v>23.402629059193899</v>
      </c>
      <c r="I46">
        <v>34.470921683085301</v>
      </c>
      <c r="J46">
        <v>55.953366554260299</v>
      </c>
      <c r="K46">
        <v>43.2924415564204</v>
      </c>
      <c r="L46">
        <v>40.633910248294498</v>
      </c>
      <c r="M46">
        <v>32.820322824362499</v>
      </c>
      <c r="N46">
        <v>36.7574181614469</v>
      </c>
      <c r="O46">
        <v>44.945617381471401</v>
      </c>
      <c r="P46">
        <v>50.120809342864199</v>
      </c>
      <c r="Q46">
        <v>43.953635305711202</v>
      </c>
      <c r="R46">
        <v>48.860373569648502</v>
      </c>
      <c r="S46">
        <v>32.019392372583702</v>
      </c>
      <c r="T46">
        <v>40.941025164133201</v>
      </c>
      <c r="U46">
        <v>48.666133151759198</v>
      </c>
      <c r="V46">
        <v>38.087524607663298</v>
      </c>
      <c r="W46">
        <v>29.685807401914701</v>
      </c>
      <c r="X46">
        <v>24.8226399767107</v>
      </c>
      <c r="Y46">
        <v>12.274670066884299</v>
      </c>
      <c r="Z46">
        <v>12.800497196849699</v>
      </c>
      <c r="AA46">
        <v>25.0227768251894</v>
      </c>
      <c r="AB46">
        <v>38.248715891350997</v>
      </c>
      <c r="AC46">
        <v>35.851799111034303</v>
      </c>
      <c r="AD46">
        <v>22.408412542925099</v>
      </c>
      <c r="AE46">
        <v>34.3828809069635</v>
      </c>
      <c r="AF46">
        <f t="shared" si="0"/>
        <v>35.366809494641579</v>
      </c>
      <c r="AG46">
        <v>1</v>
      </c>
    </row>
    <row r="47" spans="1:33" x14ac:dyDescent="0.3">
      <c r="A47" t="s">
        <v>493</v>
      </c>
      <c r="B47" s="1" t="s">
        <v>494</v>
      </c>
      <c r="C47" t="s">
        <v>126</v>
      </c>
      <c r="D47" s="1" t="s">
        <v>127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2.8390807341601799E-2</v>
      </c>
      <c r="M47">
        <v>3.7459597947972802E-2</v>
      </c>
      <c r="N47">
        <v>6.1378150766344799E-2</v>
      </c>
      <c r="O47">
        <v>0.13263457054308</v>
      </c>
      <c r="P47">
        <v>0.145655110180747</v>
      </c>
      <c r="Q47">
        <v>0.17766114945837599</v>
      </c>
      <c r="R47">
        <v>0.177814056910713</v>
      </c>
      <c r="S47">
        <v>4.4248921758735897E-2</v>
      </c>
      <c r="T47">
        <v>0</v>
      </c>
      <c r="U47">
        <v>0</v>
      </c>
      <c r="V47">
        <v>6.4985026786190905E-2</v>
      </c>
      <c r="W47">
        <v>5.7758425215237698E-2</v>
      </c>
      <c r="X47">
        <v>5.1830150825805901E-2</v>
      </c>
      <c r="Y47">
        <v>2.0096057838420799E-2</v>
      </c>
      <c r="Z47">
        <v>1.58677459016205E-2</v>
      </c>
      <c r="AA47">
        <v>5.8555348343444598E-3</v>
      </c>
      <c r="AB47">
        <v>9.0072249417001704E-3</v>
      </c>
      <c r="AC47">
        <v>6.9863479612975298E-3</v>
      </c>
      <c r="AD47">
        <v>3.4159082601099302E-3</v>
      </c>
      <c r="AE47">
        <v>8.9657936912584304E-3</v>
      </c>
      <c r="AF47">
        <f t="shared" si="0"/>
        <v>3.8889280783835467E-2</v>
      </c>
      <c r="AG47">
        <v>0</v>
      </c>
    </row>
    <row r="48" spans="1:33" x14ac:dyDescent="0.3">
      <c r="A48" t="s">
        <v>493</v>
      </c>
      <c r="B48" s="1" t="s">
        <v>494</v>
      </c>
      <c r="C48" t="s">
        <v>128</v>
      </c>
      <c r="D48" s="1" t="s">
        <v>129</v>
      </c>
      <c r="E48">
        <v>0.23081586845903801</v>
      </c>
      <c r="F48">
        <v>0.38035977373874802</v>
      </c>
      <c r="G48">
        <v>0.31986275744342701</v>
      </c>
      <c r="H48">
        <v>0.101604151054954</v>
      </c>
      <c r="I48">
        <v>0.162964832198363</v>
      </c>
      <c r="J48">
        <v>0.30801312143931198</v>
      </c>
      <c r="K48">
        <v>0.184450908626382</v>
      </c>
      <c r="L48">
        <v>0.44987178839248398</v>
      </c>
      <c r="M48">
        <v>0.54753615769011399</v>
      </c>
      <c r="N48">
        <v>0.86835824283274299</v>
      </c>
      <c r="O48">
        <v>2.1271916254033099</v>
      </c>
      <c r="P48">
        <v>3.7062734752789201</v>
      </c>
      <c r="Q48">
        <v>2.9298475003269702</v>
      </c>
      <c r="R48">
        <v>3.2368519844942698</v>
      </c>
      <c r="S48">
        <v>1.5532360872676301</v>
      </c>
      <c r="T48">
        <v>1.9760751684520601</v>
      </c>
      <c r="U48">
        <v>2.3856876651041898</v>
      </c>
      <c r="V48">
        <v>2.0161071388430098</v>
      </c>
      <c r="W48">
        <v>1.32089224861062</v>
      </c>
      <c r="X48">
        <v>0.69178950052394195</v>
      </c>
      <c r="Y48">
        <v>0.366602851194199</v>
      </c>
      <c r="Z48">
        <v>0.38437072825208701</v>
      </c>
      <c r="AA48">
        <v>0.81141280770289403</v>
      </c>
      <c r="AB48">
        <v>0.93049705297061702</v>
      </c>
      <c r="AC48">
        <v>0.85746500354930599</v>
      </c>
      <c r="AD48">
        <v>0.37121718136016602</v>
      </c>
      <c r="AE48">
        <v>0.70017290136454002</v>
      </c>
      <c r="AF48">
        <f t="shared" si="0"/>
        <v>1.1081306860212699</v>
      </c>
      <c r="AG48">
        <v>0</v>
      </c>
    </row>
    <row r="49" spans="1:33" x14ac:dyDescent="0.3">
      <c r="A49" t="s">
        <v>2</v>
      </c>
      <c r="B49" s="1" t="s">
        <v>495</v>
      </c>
      <c r="C49" t="s">
        <v>0</v>
      </c>
      <c r="D49" s="1" t="s">
        <v>1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  <c r="M49" t="s">
        <v>11</v>
      </c>
      <c r="N49" t="s">
        <v>12</v>
      </c>
      <c r="O49" t="s">
        <v>13</v>
      </c>
      <c r="P49" t="s">
        <v>14</v>
      </c>
      <c r="Q49" t="s">
        <v>15</v>
      </c>
      <c r="R49" t="s">
        <v>16</v>
      </c>
      <c r="S49" t="s">
        <v>17</v>
      </c>
      <c r="T49" t="s">
        <v>18</v>
      </c>
      <c r="U49" t="s">
        <v>19</v>
      </c>
      <c r="V49" t="s">
        <v>20</v>
      </c>
      <c r="W49" t="s">
        <v>21</v>
      </c>
      <c r="X49" t="s">
        <v>22</v>
      </c>
      <c r="Y49" t="s">
        <v>23</v>
      </c>
      <c r="Z49" t="s">
        <v>24</v>
      </c>
      <c r="AA49" t="s">
        <v>25</v>
      </c>
      <c r="AB49" t="s">
        <v>26</v>
      </c>
      <c r="AC49" t="s">
        <v>27</v>
      </c>
      <c r="AD49" t="s">
        <v>28</v>
      </c>
      <c r="AE49" t="s">
        <v>29</v>
      </c>
      <c r="AG49">
        <v>0</v>
      </c>
    </row>
    <row r="50" spans="1:33" x14ac:dyDescent="0.3">
      <c r="A50" t="s">
        <v>493</v>
      </c>
      <c r="B50" s="1" t="s">
        <v>494</v>
      </c>
      <c r="C50" t="s">
        <v>130</v>
      </c>
      <c r="D50" s="1" t="s">
        <v>131</v>
      </c>
      <c r="E50">
        <v>0.40362587889859203</v>
      </c>
      <c r="F50">
        <v>0.47476044585542299</v>
      </c>
      <c r="G50">
        <v>0.36264726315180001</v>
      </c>
      <c r="H50">
        <v>9.1724427178527093E-2</v>
      </c>
      <c r="I50">
        <v>0.28892869941717603</v>
      </c>
      <c r="J50">
        <v>0.63097135943961602</v>
      </c>
      <c r="K50">
        <v>0.407483342326942</v>
      </c>
      <c r="L50">
        <v>0.35622305439199498</v>
      </c>
      <c r="M50">
        <v>0.301237202501552</v>
      </c>
      <c r="N50">
        <v>0.33263743611916802</v>
      </c>
      <c r="O50">
        <v>0.42231730615792401</v>
      </c>
      <c r="P50">
        <v>0.41964438424385198</v>
      </c>
      <c r="Q50">
        <v>0.37049347701470497</v>
      </c>
      <c r="R50">
        <v>0.44105390742852202</v>
      </c>
      <c r="S50">
        <v>0.25727672738652202</v>
      </c>
      <c r="T50">
        <v>0.28312886274670401</v>
      </c>
      <c r="U50">
        <v>0.42223479054955398</v>
      </c>
      <c r="V50">
        <v>0.42475900934181099</v>
      </c>
      <c r="W50">
        <v>0.380362350794203</v>
      </c>
      <c r="X50">
        <v>0.332340412986531</v>
      </c>
      <c r="Y50">
        <v>0.18854900217653101</v>
      </c>
      <c r="Z50">
        <v>0.15240810939409599</v>
      </c>
      <c r="AA50">
        <v>0.22249349227679599</v>
      </c>
      <c r="AB50">
        <v>0.32030385762658797</v>
      </c>
      <c r="AC50">
        <v>0.27614555295541499</v>
      </c>
      <c r="AD50">
        <v>0.14110522503133199</v>
      </c>
      <c r="AE50">
        <v>0.28035803618952598</v>
      </c>
      <c r="AF50">
        <f t="shared" ref="AF50:AF81" si="1">IFERROR(AVERAGE(E50:AE50),"NA")</f>
        <v>0.33278568939190373</v>
      </c>
      <c r="AG50">
        <v>0</v>
      </c>
    </row>
    <row r="51" spans="1:33" x14ac:dyDescent="0.3">
      <c r="A51" t="s">
        <v>493</v>
      </c>
      <c r="B51" s="1" t="s">
        <v>494</v>
      </c>
      <c r="C51" t="s">
        <v>132</v>
      </c>
      <c r="D51" s="1" t="s">
        <v>133</v>
      </c>
      <c r="E51">
        <v>0.36998781709930501</v>
      </c>
      <c r="F51">
        <v>0.67539019577821902</v>
      </c>
      <c r="G51">
        <v>0.62649395154741805</v>
      </c>
      <c r="H51">
        <v>0.300379052764362</v>
      </c>
      <c r="I51">
        <v>0.54394789298984902</v>
      </c>
      <c r="J51">
        <v>1.0339216006773899</v>
      </c>
      <c r="K51">
        <v>0.77989473079266702</v>
      </c>
      <c r="L51">
        <v>0.831779750838195</v>
      </c>
      <c r="M51">
        <v>0.99367553798158603</v>
      </c>
      <c r="N51">
        <v>1.18579942444702</v>
      </c>
      <c r="O51">
        <v>1.3737860723308699</v>
      </c>
      <c r="P51">
        <v>1.4879931750338999</v>
      </c>
      <c r="Q51">
        <v>1.5704638638002</v>
      </c>
      <c r="R51">
        <v>2.0258567047376501</v>
      </c>
      <c r="S51">
        <v>0.98736661039530904</v>
      </c>
      <c r="T51">
        <v>1.34124170669609</v>
      </c>
      <c r="U51">
        <v>1.84020872037107</v>
      </c>
      <c r="V51">
        <v>1.66617403150143</v>
      </c>
      <c r="W51">
        <v>1.44283922428397</v>
      </c>
      <c r="X51">
        <v>1.2554434290240599</v>
      </c>
      <c r="Y51">
        <v>0.43994999055339301</v>
      </c>
      <c r="Z51">
        <v>0.32541983374747702</v>
      </c>
      <c r="AA51">
        <v>0.457704950515475</v>
      </c>
      <c r="AB51">
        <v>0.73149534813667105</v>
      </c>
      <c r="AC51">
        <v>0.54371340697089598</v>
      </c>
      <c r="AD51">
        <v>0.22249989012764901</v>
      </c>
      <c r="AE51" t="s">
        <v>34</v>
      </c>
      <c r="AF51">
        <f t="shared" si="1"/>
        <v>0.96359334281315856</v>
      </c>
      <c r="AG51">
        <v>0</v>
      </c>
    </row>
    <row r="52" spans="1:33" x14ac:dyDescent="0.3">
      <c r="A52" t="s">
        <v>493</v>
      </c>
      <c r="B52" s="1" t="s">
        <v>494</v>
      </c>
      <c r="C52" t="s">
        <v>134</v>
      </c>
      <c r="D52" s="1" t="s">
        <v>135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tr">
        <f t="shared" si="1"/>
        <v>NA</v>
      </c>
      <c r="AG52">
        <v>0</v>
      </c>
    </row>
    <row r="53" spans="1:33" x14ac:dyDescent="0.3">
      <c r="A53" t="s">
        <v>493</v>
      </c>
      <c r="B53" s="1" t="s">
        <v>494</v>
      </c>
      <c r="C53" t="s">
        <v>136</v>
      </c>
      <c r="D53" s="1" t="s">
        <v>137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1.2017716390140499E-3</v>
      </c>
      <c r="P53">
        <v>1.2743349855961401E-3</v>
      </c>
      <c r="Q53">
        <v>1.17988658125929E-3</v>
      </c>
      <c r="R53">
        <v>1.5044566246091301E-2</v>
      </c>
      <c r="S53">
        <v>8.6811159973184705E-3</v>
      </c>
      <c r="T53">
        <v>5.4958172488735399E-3</v>
      </c>
      <c r="U53">
        <v>1.00066330418738E-2</v>
      </c>
      <c r="V53">
        <v>1.05936802654269E-2</v>
      </c>
      <c r="W53">
        <v>3.1621616968066902E-3</v>
      </c>
      <c r="X53">
        <v>2.2848977248968701E-3</v>
      </c>
      <c r="Y53">
        <v>0</v>
      </c>
      <c r="Z53">
        <v>2.7629729123726201E-4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f t="shared" si="1"/>
        <v>2.1926356562368267E-3</v>
      </c>
      <c r="AG53">
        <v>0</v>
      </c>
    </row>
    <row r="54" spans="1:33" x14ac:dyDescent="0.3">
      <c r="A54" t="s">
        <v>493</v>
      </c>
      <c r="B54" s="1" t="s">
        <v>494</v>
      </c>
      <c r="C54" t="s">
        <v>138</v>
      </c>
      <c r="D54" s="1" t="s">
        <v>139</v>
      </c>
      <c r="E54">
        <v>1.3724940482781601E-2</v>
      </c>
      <c r="F54">
        <v>2.3939802355218798E-2</v>
      </c>
      <c r="G54">
        <v>1.5893180149337601E-2</v>
      </c>
      <c r="H54">
        <v>5.0770264010698901E-3</v>
      </c>
      <c r="I54">
        <v>1.59526982087267E-2</v>
      </c>
      <c r="J54">
        <v>3.5074254967205697E-2</v>
      </c>
      <c r="K54">
        <v>2.4458128747359999E-2</v>
      </c>
      <c r="L54">
        <v>3.0461940323198499E-2</v>
      </c>
      <c r="M54">
        <v>3.5170936316261898E-2</v>
      </c>
      <c r="N54">
        <v>3.8329846537160601E-2</v>
      </c>
      <c r="O54">
        <v>5.0808845413156098E-2</v>
      </c>
      <c r="P54">
        <v>4.3607563051713802E-2</v>
      </c>
      <c r="Q54">
        <v>3.6747355390901397E-2</v>
      </c>
      <c r="R54">
        <v>4.2970422261268799E-2</v>
      </c>
      <c r="S54">
        <v>2.4405518934766699E-2</v>
      </c>
      <c r="T54">
        <v>2.1771995083457198E-2</v>
      </c>
      <c r="U54">
        <v>3.0616847296924501E-2</v>
      </c>
      <c r="V54">
        <v>3.0535275891357901E-2</v>
      </c>
      <c r="W54">
        <v>2.74970082447114E-2</v>
      </c>
      <c r="X54">
        <v>2.5268189051045799E-2</v>
      </c>
      <c r="Y54">
        <v>1.0291481120963401E-2</v>
      </c>
      <c r="Z54">
        <v>6.92491287997829E-3</v>
      </c>
      <c r="AA54">
        <v>8.8162227585879601E-3</v>
      </c>
      <c r="AB54">
        <v>1.25584051035841E-2</v>
      </c>
      <c r="AC54">
        <v>8.3220468689857007E-3</v>
      </c>
      <c r="AD54">
        <v>5.0720792275744803E-3</v>
      </c>
      <c r="AE54">
        <v>9.6569642955021805E-3</v>
      </c>
      <c r="AF54">
        <f t="shared" si="1"/>
        <v>2.3479773606029666E-2</v>
      </c>
      <c r="AG54">
        <v>0</v>
      </c>
    </row>
    <row r="55" spans="1:33" x14ac:dyDescent="0.3">
      <c r="A55" t="s">
        <v>493</v>
      </c>
      <c r="B55" s="1" t="s">
        <v>494</v>
      </c>
      <c r="C55" t="s">
        <v>140</v>
      </c>
      <c r="D55" s="1" t="s">
        <v>141</v>
      </c>
      <c r="E55">
        <v>0.27895338800331698</v>
      </c>
      <c r="F55">
        <v>0.433297740669085</v>
      </c>
      <c r="G55">
        <v>0.403535371493423</v>
      </c>
      <c r="H55">
        <v>0.12701561924916299</v>
      </c>
      <c r="I55">
        <v>0.52137144162514304</v>
      </c>
      <c r="J55">
        <v>1.36695481609054</v>
      </c>
      <c r="K55">
        <v>0.95285040740933002</v>
      </c>
      <c r="L55">
        <v>0.97764952193138199</v>
      </c>
      <c r="M55">
        <v>0.93307700460479004</v>
      </c>
      <c r="N55">
        <v>1.1574902357458401</v>
      </c>
      <c r="O55">
        <v>1.5754831224796599</v>
      </c>
      <c r="P55">
        <v>1.5417001087755999</v>
      </c>
      <c r="Q55">
        <v>1.37515571112353</v>
      </c>
      <c r="R55">
        <v>1.70355050889399</v>
      </c>
      <c r="S55">
        <v>0.91483246982382904</v>
      </c>
      <c r="T55">
        <v>0.98329220589511401</v>
      </c>
      <c r="U55">
        <v>1.3683944127568</v>
      </c>
      <c r="V55">
        <v>1.2608873326792001</v>
      </c>
      <c r="W55">
        <v>0.967648067154255</v>
      </c>
      <c r="X55">
        <v>0.83466869447479197</v>
      </c>
      <c r="Y55">
        <v>0.38998066710551199</v>
      </c>
      <c r="Z55">
        <v>0.26175849642945298</v>
      </c>
      <c r="AA55">
        <v>0.36705236411191799</v>
      </c>
      <c r="AB55">
        <v>0.45909884178126897</v>
      </c>
      <c r="AC55">
        <v>0.372447675054216</v>
      </c>
      <c r="AD55">
        <v>0.13703678120076601</v>
      </c>
      <c r="AE55">
        <v>0.270290117190291</v>
      </c>
      <c r="AF55">
        <f t="shared" si="1"/>
        <v>0.81242493050934117</v>
      </c>
      <c r="AG55">
        <v>0</v>
      </c>
    </row>
    <row r="56" spans="1:33" x14ac:dyDescent="0.3">
      <c r="A56" t="s">
        <v>493</v>
      </c>
      <c r="B56" s="1" t="s">
        <v>494</v>
      </c>
      <c r="C56" t="s">
        <v>142</v>
      </c>
      <c r="D56" s="1" t="s">
        <v>143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f t="shared" si="1"/>
        <v>0</v>
      </c>
      <c r="AG56">
        <v>0</v>
      </c>
    </row>
    <row r="57" spans="1:33" x14ac:dyDescent="0.3">
      <c r="A57" t="s">
        <v>493</v>
      </c>
      <c r="B57" s="1" t="s">
        <v>494</v>
      </c>
      <c r="C57" t="s">
        <v>144</v>
      </c>
      <c r="D57" s="1" t="s">
        <v>145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f t="shared" si="1"/>
        <v>0</v>
      </c>
      <c r="AG57">
        <v>0</v>
      </c>
    </row>
    <row r="58" spans="1:33" x14ac:dyDescent="0.3">
      <c r="A58" t="s">
        <v>493</v>
      </c>
      <c r="B58" s="1" t="s">
        <v>494</v>
      </c>
      <c r="C58" t="s">
        <v>146</v>
      </c>
      <c r="D58" s="1" t="s">
        <v>147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f t="shared" si="1"/>
        <v>0</v>
      </c>
      <c r="AG58">
        <v>0</v>
      </c>
    </row>
    <row r="59" spans="1:33" x14ac:dyDescent="0.3">
      <c r="A59" t="s">
        <v>493</v>
      </c>
      <c r="B59" s="1" t="s">
        <v>494</v>
      </c>
      <c r="C59" t="s">
        <v>148</v>
      </c>
      <c r="D59" s="1" t="s">
        <v>149</v>
      </c>
      <c r="E59">
        <v>6.4536514047175801</v>
      </c>
      <c r="F59">
        <v>7.7878700844371904</v>
      </c>
      <c r="G59">
        <v>6.1721968362248898</v>
      </c>
      <c r="H59">
        <v>3.2121431196733301</v>
      </c>
      <c r="I59">
        <v>7.8633081175872102</v>
      </c>
      <c r="J59">
        <v>16.3324950885101</v>
      </c>
      <c r="K59">
        <v>9.0906929093062896</v>
      </c>
      <c r="L59">
        <v>8.0737040583944193</v>
      </c>
      <c r="M59">
        <v>8.3914765341787501</v>
      </c>
      <c r="N59">
        <v>12.2508252521177</v>
      </c>
      <c r="O59">
        <v>16.536639646250599</v>
      </c>
      <c r="P59">
        <v>17.986879109188301</v>
      </c>
      <c r="Q59">
        <v>16.5138217754915</v>
      </c>
      <c r="R59">
        <v>18.654574856840998</v>
      </c>
      <c r="S59">
        <v>8.82457083402611</v>
      </c>
      <c r="T59">
        <v>11.194147846316699</v>
      </c>
      <c r="U59">
        <v>16.0118572281981</v>
      </c>
      <c r="V59">
        <v>13.9638597674194</v>
      </c>
      <c r="W59">
        <v>12.297860511716801</v>
      </c>
      <c r="X59">
        <v>11.0826381316277</v>
      </c>
      <c r="Y59">
        <v>4.1948366050584101</v>
      </c>
      <c r="Z59">
        <v>3.2615855045644802</v>
      </c>
      <c r="AA59">
        <v>4.5128993655574199</v>
      </c>
      <c r="AB59">
        <v>6.7591000987467904</v>
      </c>
      <c r="AC59">
        <v>5.5262982399313501</v>
      </c>
      <c r="AD59">
        <v>2.5627598867460901</v>
      </c>
      <c r="AE59">
        <v>6.4032508330178803</v>
      </c>
      <c r="AF59">
        <f t="shared" si="1"/>
        <v>9.7005905054017063</v>
      </c>
      <c r="AG59">
        <v>0</v>
      </c>
    </row>
    <row r="60" spans="1:33" x14ac:dyDescent="0.3">
      <c r="A60" t="s">
        <v>493</v>
      </c>
      <c r="B60" s="1" t="s">
        <v>494</v>
      </c>
      <c r="C60" t="s">
        <v>150</v>
      </c>
      <c r="D60" s="1" t="s">
        <v>151</v>
      </c>
      <c r="E60">
        <v>7.5090607337909399</v>
      </c>
      <c r="F60">
        <v>8.4031833298321708</v>
      </c>
      <c r="G60">
        <v>6.0992181755987103</v>
      </c>
      <c r="H60">
        <v>3.42870521918816</v>
      </c>
      <c r="I60">
        <v>5.19186775765069</v>
      </c>
      <c r="J60">
        <v>6.4722216061177598</v>
      </c>
      <c r="K60">
        <v>5.17066273278314</v>
      </c>
      <c r="L60">
        <v>5.9058070438604604</v>
      </c>
      <c r="M60">
        <v>7.5063737107704203</v>
      </c>
      <c r="N60">
        <v>9.4944863141939706</v>
      </c>
      <c r="O60">
        <v>11.850931206105701</v>
      </c>
      <c r="P60">
        <v>11.7296934107586</v>
      </c>
      <c r="Q60">
        <v>10.781858833814301</v>
      </c>
      <c r="R60">
        <v>12.4545677729971</v>
      </c>
      <c r="S60">
        <v>6.2475574142453301</v>
      </c>
      <c r="T60">
        <v>7.4177871294265199</v>
      </c>
      <c r="U60">
        <v>9.7418628554974305</v>
      </c>
      <c r="V60">
        <v>8.3834589703721694</v>
      </c>
      <c r="W60">
        <v>7.82863019779494</v>
      </c>
      <c r="X60">
        <v>6.8234001362677201</v>
      </c>
      <c r="Y60">
        <v>3.0552643367405898</v>
      </c>
      <c r="Z60">
        <v>2.3500651696322401</v>
      </c>
      <c r="AA60">
        <v>4.1268326939781899</v>
      </c>
      <c r="AB60">
        <v>5.4765882287494696</v>
      </c>
      <c r="AC60">
        <v>3.8819618632175001</v>
      </c>
      <c r="AD60">
        <v>1.85770095140202</v>
      </c>
      <c r="AE60">
        <v>2.9858145825019702</v>
      </c>
      <c r="AF60">
        <f t="shared" si="1"/>
        <v>6.747243051010674</v>
      </c>
      <c r="AG60">
        <v>0</v>
      </c>
    </row>
    <row r="61" spans="1:33" x14ac:dyDescent="0.3">
      <c r="A61" t="s">
        <v>493</v>
      </c>
      <c r="B61" s="1" t="s">
        <v>494</v>
      </c>
      <c r="C61" t="s">
        <v>152</v>
      </c>
      <c r="D61" s="1" t="s">
        <v>153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1.39375107962022E-2</v>
      </c>
      <c r="M61">
        <v>1.9540878003943801E-2</v>
      </c>
      <c r="N61">
        <v>2.1738567932760199E-2</v>
      </c>
      <c r="O61">
        <v>0.13519593488204801</v>
      </c>
      <c r="P61">
        <v>0.56647035112418997</v>
      </c>
      <c r="Q61">
        <v>0.45891158335322602</v>
      </c>
      <c r="R61">
        <v>0.57791300947603097</v>
      </c>
      <c r="S61">
        <v>0.13848151953893301</v>
      </c>
      <c r="T61">
        <v>0</v>
      </c>
      <c r="U61">
        <v>3.7523102941876599E-4</v>
      </c>
      <c r="V61">
        <v>3.41986807496248E-4</v>
      </c>
      <c r="W61">
        <v>3.0321160474827398E-4</v>
      </c>
      <c r="X61">
        <v>2.6895715465474502E-4</v>
      </c>
      <c r="Y61">
        <v>0</v>
      </c>
      <c r="Z61">
        <v>0</v>
      </c>
      <c r="AA61">
        <v>1.06394703334763E-4</v>
      </c>
      <c r="AB61">
        <v>1.6205248904761001E-4</v>
      </c>
      <c r="AC61">
        <v>1.2556505919760001E-4</v>
      </c>
      <c r="AD61">
        <v>6.4831004064157597E-5</v>
      </c>
      <c r="AE61">
        <v>1.50418698822045E-4</v>
      </c>
      <c r="AF61">
        <f t="shared" si="1"/>
        <v>7.1632889024374771E-2</v>
      </c>
      <c r="AG61">
        <v>0</v>
      </c>
    </row>
    <row r="62" spans="1:33" x14ac:dyDescent="0.3">
      <c r="A62" t="s">
        <v>493</v>
      </c>
      <c r="B62" s="1" t="s">
        <v>494</v>
      </c>
      <c r="C62" s="7" t="s">
        <v>154</v>
      </c>
      <c r="D62" s="1" t="s">
        <v>155</v>
      </c>
      <c r="E62">
        <v>18.174594584541499</v>
      </c>
      <c r="F62">
        <v>46.7999763370726</v>
      </c>
      <c r="G62">
        <v>56.491834563048499</v>
      </c>
      <c r="H62">
        <v>50.386139466476102</v>
      </c>
      <c r="I62">
        <v>56.692247110012502</v>
      </c>
      <c r="J62">
        <v>82.776896134566002</v>
      </c>
      <c r="K62" t="s">
        <v>34</v>
      </c>
      <c r="L62" t="s">
        <v>34</v>
      </c>
      <c r="M62" t="s">
        <v>34</v>
      </c>
      <c r="N62" t="s">
        <v>34</v>
      </c>
      <c r="O62">
        <v>55.196084855693499</v>
      </c>
      <c r="P62">
        <v>52.392789578193799</v>
      </c>
      <c r="Q62">
        <v>48.2167537217234</v>
      </c>
      <c r="R62">
        <v>43.609545492714901</v>
      </c>
      <c r="S62">
        <v>24.438480450624802</v>
      </c>
      <c r="T62">
        <v>33.048507185947699</v>
      </c>
      <c r="U62">
        <v>33.927204271492101</v>
      </c>
      <c r="V62">
        <v>34.994303280426401</v>
      </c>
      <c r="W62">
        <v>29.0020263766332</v>
      </c>
      <c r="X62">
        <v>22.864877498821901</v>
      </c>
      <c r="Y62">
        <v>12.576041460388</v>
      </c>
      <c r="Z62">
        <v>11.7086428410267</v>
      </c>
      <c r="AA62">
        <v>16.136672624174899</v>
      </c>
      <c r="AB62">
        <v>20.326469848454799</v>
      </c>
      <c r="AC62">
        <v>18.813552099542999</v>
      </c>
      <c r="AD62">
        <v>10.7521167179464</v>
      </c>
      <c r="AE62">
        <v>14.9400221325798</v>
      </c>
      <c r="AF62">
        <f t="shared" si="1"/>
        <v>34.533294723134894</v>
      </c>
      <c r="AG62">
        <v>1</v>
      </c>
    </row>
    <row r="63" spans="1:33" x14ac:dyDescent="0.3">
      <c r="A63" t="s">
        <v>493</v>
      </c>
      <c r="B63" s="1" t="s">
        <v>494</v>
      </c>
      <c r="C63" t="s">
        <v>156</v>
      </c>
      <c r="D63" s="1" t="s">
        <v>157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F63">
        <f t="shared" si="1"/>
        <v>0</v>
      </c>
      <c r="AG63">
        <v>0</v>
      </c>
    </row>
    <row r="64" spans="1:33" x14ac:dyDescent="0.3">
      <c r="A64" t="s">
        <v>493</v>
      </c>
      <c r="B64" s="1" t="s">
        <v>494</v>
      </c>
      <c r="C64" t="s">
        <v>158</v>
      </c>
      <c r="D64" s="1" t="s">
        <v>159</v>
      </c>
      <c r="E64">
        <v>1.01486539396069</v>
      </c>
      <c r="F64">
        <v>1.2752680256681299</v>
      </c>
      <c r="G64">
        <v>0.87547758093038797</v>
      </c>
      <c r="H64">
        <v>0.23322161783037401</v>
      </c>
      <c r="I64">
        <v>0.64854610950309399</v>
      </c>
      <c r="J64">
        <v>1.53035528821004</v>
      </c>
      <c r="K64">
        <v>0.94043235061613195</v>
      </c>
      <c r="L64">
        <v>0.76933015985405895</v>
      </c>
      <c r="M64">
        <v>0.628213867743043</v>
      </c>
      <c r="N64">
        <v>0.71860797178123303</v>
      </c>
      <c r="O64">
        <v>1.0090754002462901</v>
      </c>
      <c r="P64">
        <v>1.0580316991490399</v>
      </c>
      <c r="Q64">
        <v>1.12130367695077</v>
      </c>
      <c r="R64">
        <v>1.58302746810645</v>
      </c>
      <c r="S64">
        <v>0.95676978502906695</v>
      </c>
      <c r="T64">
        <v>0.72082642351974102</v>
      </c>
      <c r="U64">
        <v>0.89565200020193603</v>
      </c>
      <c r="V64">
        <v>1.0131486616102201</v>
      </c>
      <c r="W64">
        <v>0.90840597781884502</v>
      </c>
      <c r="X64">
        <v>0.96777993761807402</v>
      </c>
      <c r="Y64">
        <v>0.57787029888367503</v>
      </c>
      <c r="Z64">
        <v>0.39523769510404599</v>
      </c>
      <c r="AA64">
        <v>0.64896967043922205</v>
      </c>
      <c r="AB64">
        <v>0.99546017096561701</v>
      </c>
      <c r="AC64">
        <v>0.92458768984332695</v>
      </c>
      <c r="AD64">
        <v>0.480973513029608</v>
      </c>
      <c r="AE64">
        <v>0.96222921414524698</v>
      </c>
      <c r="AF64">
        <f t="shared" si="1"/>
        <v>0.88346917217623544</v>
      </c>
      <c r="AG64">
        <v>0</v>
      </c>
    </row>
    <row r="65" spans="1:33" x14ac:dyDescent="0.3">
      <c r="A65" t="s">
        <v>493</v>
      </c>
      <c r="B65" s="1" t="s">
        <v>494</v>
      </c>
      <c r="C65" t="s">
        <v>160</v>
      </c>
      <c r="D65" s="1" t="s">
        <v>161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0.170197299227968</v>
      </c>
      <c r="U65">
        <v>0.29856448150731901</v>
      </c>
      <c r="V65">
        <v>0.42623661227343002</v>
      </c>
      <c r="W65">
        <v>0.40565426515451403</v>
      </c>
      <c r="X65">
        <v>0.31269522132442601</v>
      </c>
      <c r="Y65">
        <v>0.124269749067541</v>
      </c>
      <c r="Z65">
        <v>0.11610885983385399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f t="shared" si="1"/>
        <v>6.8656536607001939E-2</v>
      </c>
      <c r="AG65">
        <v>0</v>
      </c>
    </row>
    <row r="66" spans="1:33" x14ac:dyDescent="0.3">
      <c r="A66" t="s">
        <v>493</v>
      </c>
      <c r="B66" s="1" t="s">
        <v>494</v>
      </c>
      <c r="C66" t="s">
        <v>162</v>
      </c>
      <c r="D66" s="1" t="s">
        <v>163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8.96601037346542E-3</v>
      </c>
      <c r="S66">
        <v>3.5679982906305502E-3</v>
      </c>
      <c r="T66">
        <v>5.8556774728312196E-3</v>
      </c>
      <c r="U66">
        <v>8.1746694968384097E-3</v>
      </c>
      <c r="V66">
        <v>5.8150126399149696E-3</v>
      </c>
      <c r="W66">
        <v>7.9039679631487496E-3</v>
      </c>
      <c r="X66">
        <v>6.7708864607757E-3</v>
      </c>
      <c r="Y66">
        <v>2.85682989554231E-3</v>
      </c>
      <c r="Z66">
        <v>2.7240103115128301E-3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f t="shared" si="1"/>
        <v>1.9494467742466727E-3</v>
      </c>
      <c r="AG66">
        <v>0</v>
      </c>
    </row>
    <row r="67" spans="1:33" x14ac:dyDescent="0.3">
      <c r="A67" t="s">
        <v>493</v>
      </c>
      <c r="B67" s="1" t="s">
        <v>494</v>
      </c>
      <c r="C67" t="s">
        <v>164</v>
      </c>
      <c r="D67" s="1" t="s">
        <v>165</v>
      </c>
      <c r="E67" t="s">
        <v>34</v>
      </c>
      <c r="F67" t="s">
        <v>34</v>
      </c>
      <c r="G67" t="s">
        <v>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f t="shared" si="1"/>
        <v>0</v>
      </c>
      <c r="AG67">
        <v>0</v>
      </c>
    </row>
    <row r="68" spans="1:33" x14ac:dyDescent="0.3">
      <c r="A68" t="s">
        <v>493</v>
      </c>
      <c r="B68" s="1" t="s">
        <v>494</v>
      </c>
      <c r="C68" t="s">
        <v>166</v>
      </c>
      <c r="D68" s="1" t="s">
        <v>167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f t="shared" si="1"/>
        <v>0</v>
      </c>
      <c r="AG68">
        <v>0</v>
      </c>
    </row>
    <row r="69" spans="1:33" x14ac:dyDescent="0.3">
      <c r="A69" t="s">
        <v>493</v>
      </c>
      <c r="B69" s="1" t="s">
        <v>494</v>
      </c>
      <c r="C69" t="s">
        <v>168</v>
      </c>
      <c r="D69" s="1" t="s">
        <v>169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1.8946942388690401E-4</v>
      </c>
      <c r="O69">
        <v>1.18934851858091E-3</v>
      </c>
      <c r="P69">
        <v>2.3565839001993402E-3</v>
      </c>
      <c r="Q69">
        <v>0</v>
      </c>
      <c r="R69">
        <v>0</v>
      </c>
      <c r="S69">
        <v>0</v>
      </c>
      <c r="T69">
        <v>3.51012330705767E-2</v>
      </c>
      <c r="U69">
        <v>3.6254127272824697E-2</v>
      </c>
      <c r="V69">
        <v>4.7582684315952903E-2</v>
      </c>
      <c r="W69">
        <v>5.2248493364270801E-2</v>
      </c>
      <c r="X69">
        <v>5.3612190462833401E-2</v>
      </c>
      <c r="Y69">
        <v>3.2156644574980499E-2</v>
      </c>
      <c r="Z69">
        <v>4.9874789259069501E-3</v>
      </c>
      <c r="AA69">
        <v>2.05287132946789E-2</v>
      </c>
      <c r="AB69">
        <v>3.5943006347632603E-2</v>
      </c>
      <c r="AC69">
        <v>3.9523723807927097E-2</v>
      </c>
      <c r="AD69">
        <v>2.0815136743162901E-2</v>
      </c>
      <c r="AE69">
        <v>4.5631489203664298E-2</v>
      </c>
      <c r="AF69">
        <f t="shared" si="1"/>
        <v>1.5856308267669591E-2</v>
      </c>
      <c r="AG69">
        <v>0</v>
      </c>
    </row>
    <row r="70" spans="1:33" x14ac:dyDescent="0.3">
      <c r="A70" t="s">
        <v>493</v>
      </c>
      <c r="B70" s="1" t="s">
        <v>494</v>
      </c>
      <c r="C70" t="s">
        <v>170</v>
      </c>
      <c r="D70" s="1" t="s">
        <v>171</v>
      </c>
      <c r="E70">
        <v>8.7983943219690601E-3</v>
      </c>
      <c r="F70">
        <v>1.0560520182898299E-2</v>
      </c>
      <c r="G70">
        <v>7.7530518573603298E-3</v>
      </c>
      <c r="H70">
        <v>2.2073524421779098E-3</v>
      </c>
      <c r="I70">
        <v>6.0100955132444504E-3</v>
      </c>
      <c r="J70">
        <v>1.2816215393878399E-2</v>
      </c>
      <c r="K70">
        <v>9.3601296341591401E-3</v>
      </c>
      <c r="L70">
        <v>8.3087629463596598E-3</v>
      </c>
      <c r="M70">
        <v>7.37910136174695E-3</v>
      </c>
      <c r="N70">
        <v>8.1039825740849697E-3</v>
      </c>
      <c r="O70">
        <v>1.11412257646513E-2</v>
      </c>
      <c r="P70">
        <v>1.1867928639493999E-2</v>
      </c>
      <c r="Q70">
        <v>1.0590789775420099E-2</v>
      </c>
      <c r="R70">
        <v>1.4247070185208001E-2</v>
      </c>
      <c r="S70">
        <v>7.6761497248791803E-3</v>
      </c>
      <c r="T70">
        <v>8.9175389577351698E-3</v>
      </c>
      <c r="U70">
        <v>1.0819269203698601E-2</v>
      </c>
      <c r="V70">
        <v>1.26937537821637E-2</v>
      </c>
      <c r="W70">
        <v>1.0931425231699999E-2</v>
      </c>
      <c r="X70">
        <v>9.4716180532004E-3</v>
      </c>
      <c r="Y70">
        <v>5.1246206563185697E-3</v>
      </c>
      <c r="Z70">
        <v>3.8516541853126501E-3</v>
      </c>
      <c r="AA70">
        <v>5.1866236409001702E-3</v>
      </c>
      <c r="AB70">
        <v>8.3911303924397804E-3</v>
      </c>
      <c r="AC70">
        <v>6.7826003275288597E-3</v>
      </c>
      <c r="AD70">
        <v>3.2971078988929402E-3</v>
      </c>
      <c r="AE70">
        <v>7.1021867060762E-3</v>
      </c>
      <c r="AF70">
        <f t="shared" si="1"/>
        <v>8.4959370130925482E-3</v>
      </c>
      <c r="AG70">
        <v>0</v>
      </c>
    </row>
    <row r="71" spans="1:33" x14ac:dyDescent="0.3">
      <c r="A71" t="s">
        <v>493</v>
      </c>
      <c r="B71" s="1" t="s">
        <v>494</v>
      </c>
      <c r="C71" t="s">
        <v>172</v>
      </c>
      <c r="D71" s="1" t="s">
        <v>173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f t="shared" si="1"/>
        <v>0</v>
      </c>
      <c r="AG71">
        <v>0</v>
      </c>
    </row>
    <row r="72" spans="1:33" x14ac:dyDescent="0.3">
      <c r="A72" t="s">
        <v>493</v>
      </c>
      <c r="B72" s="1" t="s">
        <v>494</v>
      </c>
      <c r="C72" s="7" t="s">
        <v>174</v>
      </c>
      <c r="D72" s="1" t="s">
        <v>175</v>
      </c>
      <c r="E72">
        <v>27.444689624796499</v>
      </c>
      <c r="F72">
        <v>29.167716089546801</v>
      </c>
      <c r="G72">
        <v>29.770911999932501</v>
      </c>
      <c r="H72">
        <v>15.499721148259001</v>
      </c>
      <c r="I72">
        <v>22.030820661508201</v>
      </c>
      <c r="J72">
        <v>43.693343316605798</v>
      </c>
      <c r="K72">
        <v>28.562139175418899</v>
      </c>
      <c r="L72">
        <v>27.189573562465899</v>
      </c>
      <c r="M72">
        <v>21.250348760108601</v>
      </c>
      <c r="N72">
        <v>25.098847356229399</v>
      </c>
      <c r="O72">
        <v>34.837420996188001</v>
      </c>
      <c r="P72">
        <v>33.908456580109302</v>
      </c>
      <c r="Q72">
        <v>34.283912273452998</v>
      </c>
      <c r="R72">
        <v>37.187729257241998</v>
      </c>
      <c r="S72">
        <v>24.573077270109799</v>
      </c>
      <c r="T72">
        <v>33.5096734280311</v>
      </c>
      <c r="U72">
        <v>37.426175363716098</v>
      </c>
      <c r="V72">
        <v>38.276116307288703</v>
      </c>
      <c r="W72">
        <v>30.241128929207399</v>
      </c>
      <c r="X72">
        <v>22.162753266709199</v>
      </c>
      <c r="Y72">
        <v>9.9864023395535604</v>
      </c>
      <c r="Z72">
        <v>9.0185416132992007</v>
      </c>
      <c r="AA72">
        <v>14.393257769478399</v>
      </c>
      <c r="AB72">
        <v>18.327407679835801</v>
      </c>
      <c r="AC72">
        <v>16.6842425426461</v>
      </c>
      <c r="AD72">
        <v>9.9798241998704498</v>
      </c>
      <c r="AE72">
        <v>15.556509149146301</v>
      </c>
      <c r="AF72">
        <f t="shared" si="1"/>
        <v>25.557805209657634</v>
      </c>
      <c r="AG72">
        <v>1</v>
      </c>
    </row>
    <row r="73" spans="1:33" x14ac:dyDescent="0.3">
      <c r="A73" t="s">
        <v>493</v>
      </c>
      <c r="B73" s="1" t="s">
        <v>494</v>
      </c>
      <c r="C73" t="s">
        <v>176</v>
      </c>
      <c r="D73" s="1" t="s">
        <v>177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f t="shared" si="1"/>
        <v>0</v>
      </c>
      <c r="AG73">
        <v>0</v>
      </c>
    </row>
    <row r="74" spans="1:33" x14ac:dyDescent="0.3">
      <c r="A74" t="s">
        <v>493</v>
      </c>
      <c r="B74" s="1" t="s">
        <v>494</v>
      </c>
      <c r="C74" t="s">
        <v>178</v>
      </c>
      <c r="D74" s="1" t="s">
        <v>179</v>
      </c>
      <c r="E74">
        <v>0.17089186718920901</v>
      </c>
      <c r="F74">
        <v>0.29204683689943201</v>
      </c>
      <c r="G74">
        <v>0.23178705274066</v>
      </c>
      <c r="H74">
        <v>5.7320661154012298E-2</v>
      </c>
      <c r="I74">
        <v>0.21964796290722499</v>
      </c>
      <c r="J74">
        <v>0.40325546339020002</v>
      </c>
      <c r="K74">
        <v>0.24059628500151201</v>
      </c>
      <c r="L74">
        <v>0.20555282836008901</v>
      </c>
      <c r="M74">
        <v>0.38873309779693199</v>
      </c>
      <c r="N74">
        <v>0.292409031788746</v>
      </c>
      <c r="O74">
        <v>0.34517361141444602</v>
      </c>
      <c r="P74">
        <v>0.193175812294926</v>
      </c>
      <c r="Q74">
        <v>0.155450439934669</v>
      </c>
      <c r="R74">
        <v>0.18267146115723901</v>
      </c>
      <c r="S74">
        <v>0.116317204104687</v>
      </c>
      <c r="T74">
        <v>0.108975029413952</v>
      </c>
      <c r="U74">
        <v>0.14342476644267699</v>
      </c>
      <c r="V74">
        <v>0.13010535824841099</v>
      </c>
      <c r="W74">
        <v>0.110437873003737</v>
      </c>
      <c r="X74">
        <v>9.9561569009553E-2</v>
      </c>
      <c r="Y74">
        <v>4.0978034146486597E-2</v>
      </c>
      <c r="Z74">
        <v>2.0465211715703101E-2</v>
      </c>
      <c r="AA74">
        <v>2.77796234542378E-2</v>
      </c>
      <c r="AB74">
        <v>3.4732822674054101E-2</v>
      </c>
      <c r="AC74">
        <v>3.0310894059237901E-2</v>
      </c>
      <c r="AD74">
        <v>1.56199754640174E-2</v>
      </c>
      <c r="AE74">
        <v>2.9294921991280899E-2</v>
      </c>
      <c r="AF74">
        <f t="shared" si="1"/>
        <v>0.15876724799101233</v>
      </c>
      <c r="AG74">
        <v>0</v>
      </c>
    </row>
    <row r="75" spans="1:33" x14ac:dyDescent="0.3">
      <c r="A75" t="s">
        <v>493</v>
      </c>
      <c r="B75" s="1" t="s">
        <v>494</v>
      </c>
      <c r="C75" t="s">
        <v>180</v>
      </c>
      <c r="D75" s="1" t="s">
        <v>181</v>
      </c>
      <c r="E75">
        <v>6.3393390797232699E-3</v>
      </c>
      <c r="F75">
        <v>9.0419036366161006E-3</v>
      </c>
      <c r="G75">
        <v>7.7800806854251203E-3</v>
      </c>
      <c r="H75">
        <v>2.4977050695113401E-3</v>
      </c>
      <c r="I75">
        <v>7.1320679965299902E-3</v>
      </c>
      <c r="J75">
        <v>2.0156230363804602E-2</v>
      </c>
      <c r="K75">
        <v>1.53289209077331E-2</v>
      </c>
      <c r="L75">
        <v>1.6056222546191001E-2</v>
      </c>
      <c r="M75">
        <v>1.6503738212642598E-2</v>
      </c>
      <c r="N75">
        <v>1.85417711460884E-2</v>
      </c>
      <c r="O75">
        <v>2.7268431145627998E-2</v>
      </c>
      <c r="P75">
        <v>2.91731982459974E-2</v>
      </c>
      <c r="Q75">
        <v>2.8013355499561E-2</v>
      </c>
      <c r="R75">
        <v>3.4054769495246003E-2</v>
      </c>
      <c r="S75">
        <v>1.8451493713197601E-2</v>
      </c>
      <c r="T75">
        <v>1.90328024560215E-2</v>
      </c>
      <c r="U75">
        <v>3.0102198300036302E-2</v>
      </c>
      <c r="V75">
        <v>3.0322053441342998E-2</v>
      </c>
      <c r="W75">
        <v>2.7002258164113498E-2</v>
      </c>
      <c r="X75">
        <v>2.2364531954350699E-2</v>
      </c>
      <c r="Y75">
        <v>1.09585492863493E-2</v>
      </c>
      <c r="Z75">
        <v>7.9542764068523501E-3</v>
      </c>
      <c r="AA75">
        <v>1.0832690334221899E-2</v>
      </c>
      <c r="AB75">
        <v>1.5077477809267799E-2</v>
      </c>
      <c r="AC75">
        <v>1.27922924108005E-2</v>
      </c>
      <c r="AD75">
        <v>6.7300314246420204E-3</v>
      </c>
      <c r="AE75">
        <v>1.40349033815617E-2</v>
      </c>
      <c r="AF75">
        <f t="shared" si="1"/>
        <v>1.7168270115313189E-2</v>
      </c>
      <c r="AG75">
        <v>0</v>
      </c>
    </row>
    <row r="76" spans="1:33" x14ac:dyDescent="0.3">
      <c r="A76" t="s">
        <v>493</v>
      </c>
      <c r="B76" s="1" t="s">
        <v>494</v>
      </c>
      <c r="C76" t="s">
        <v>182</v>
      </c>
      <c r="D76" s="1" t="s">
        <v>183</v>
      </c>
      <c r="E76">
        <v>0.22797782415061599</v>
      </c>
      <c r="F76">
        <v>0.37461179107405801</v>
      </c>
      <c r="G76">
        <v>0.29045479328697998</v>
      </c>
      <c r="H76">
        <v>0.12803908570287301</v>
      </c>
      <c r="I76">
        <v>0.246256638723101</v>
      </c>
      <c r="J76">
        <v>0.98934172895140404</v>
      </c>
      <c r="K76">
        <v>0.67705337136024601</v>
      </c>
      <c r="L76">
        <v>0.61634832637028902</v>
      </c>
      <c r="M76">
        <v>0.50647385502826403</v>
      </c>
      <c r="N76">
        <v>0.62047307741087498</v>
      </c>
      <c r="O76">
        <v>0.69940346822294097</v>
      </c>
      <c r="P76">
        <v>0.43925630734770599</v>
      </c>
      <c r="Q76">
        <v>0.42165431854637198</v>
      </c>
      <c r="R76">
        <v>0.50772636862013398</v>
      </c>
      <c r="S76">
        <v>0.26659106626012602</v>
      </c>
      <c r="T76">
        <v>0.39137289018877602</v>
      </c>
      <c r="U76">
        <v>5.08048685091895</v>
      </c>
      <c r="V76">
        <v>4.7815570312478703</v>
      </c>
      <c r="W76">
        <v>3.5147440710018101</v>
      </c>
      <c r="X76">
        <v>3.4210339435824402</v>
      </c>
      <c r="Y76">
        <v>1.29146546233544</v>
      </c>
      <c r="Z76">
        <v>1.00121845985195</v>
      </c>
      <c r="AA76">
        <v>2.6056494491505302</v>
      </c>
      <c r="AB76">
        <v>4.1465494257116999</v>
      </c>
      <c r="AC76">
        <v>4.0691020059329999</v>
      </c>
      <c r="AD76">
        <v>2.2528494721620098</v>
      </c>
      <c r="AE76">
        <v>4.0550191779643097</v>
      </c>
      <c r="AF76">
        <f t="shared" si="1"/>
        <v>1.6156559355964732</v>
      </c>
      <c r="AG76">
        <v>0</v>
      </c>
    </row>
    <row r="77" spans="1:33" x14ac:dyDescent="0.3">
      <c r="A77" t="s">
        <v>493</v>
      </c>
      <c r="B77" s="1" t="s">
        <v>494</v>
      </c>
      <c r="C77" t="s">
        <v>184</v>
      </c>
      <c r="D77" s="1" t="s">
        <v>185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tr">
        <f t="shared" si="1"/>
        <v>NA</v>
      </c>
      <c r="AG77">
        <v>0</v>
      </c>
    </row>
    <row r="78" spans="1:33" x14ac:dyDescent="0.3">
      <c r="A78" t="s">
        <v>493</v>
      </c>
      <c r="B78" s="1" t="s">
        <v>494</v>
      </c>
      <c r="C78" t="s">
        <v>186</v>
      </c>
      <c r="D78" s="1" t="s">
        <v>187</v>
      </c>
      <c r="E78">
        <v>1.6782454059165501E-2</v>
      </c>
      <c r="F78">
        <v>2.8361222747863998E-2</v>
      </c>
      <c r="G78">
        <v>1.99893340891594E-2</v>
      </c>
      <c r="H78">
        <v>4.7851897736694397E-3</v>
      </c>
      <c r="I78">
        <v>8.5549447131841002E-4</v>
      </c>
      <c r="J78">
        <v>2.3256695633381799E-2</v>
      </c>
      <c r="K78">
        <v>1.45861146476774E-2</v>
      </c>
      <c r="L78">
        <v>1.2162710043815399E-2</v>
      </c>
      <c r="M78">
        <v>7.9429315668772E-3</v>
      </c>
      <c r="N78">
        <v>5.9975558721724496E-3</v>
      </c>
      <c r="O78">
        <v>1.04685935888285E-2</v>
      </c>
      <c r="P78">
        <v>9.4138052022079907E-3</v>
      </c>
      <c r="Q78">
        <v>5.5358429967853496E-3</v>
      </c>
      <c r="R78">
        <v>6.8041400508131802E-3</v>
      </c>
      <c r="S78">
        <v>4.4785244563224098E-3</v>
      </c>
      <c r="T78">
        <v>1.1192934454183999E-2</v>
      </c>
      <c r="U78">
        <v>1.5063918086911999E-2</v>
      </c>
      <c r="V78">
        <v>1.8570397878743001E-2</v>
      </c>
      <c r="W78">
        <v>1.41521711708186E-2</v>
      </c>
      <c r="X78">
        <v>1.4429324687019299E-2</v>
      </c>
      <c r="Y78">
        <v>5.6584753292537298E-3</v>
      </c>
      <c r="Z78">
        <v>1.0638270704244101E-2</v>
      </c>
      <c r="AA78">
        <v>1.2557854796171299E-2</v>
      </c>
      <c r="AB78">
        <v>2.7550447701928701E-2</v>
      </c>
      <c r="AC78">
        <v>2.08423218441195E-2</v>
      </c>
      <c r="AD78">
        <v>6.5235819853923403E-3</v>
      </c>
      <c r="AE78">
        <v>1.16928580271195E-2</v>
      </c>
      <c r="AF78">
        <f t="shared" si="1"/>
        <v>1.2603450587628316E-2</v>
      </c>
      <c r="AG78">
        <v>0</v>
      </c>
    </row>
    <row r="79" spans="1:33" x14ac:dyDescent="0.3">
      <c r="A79" t="s">
        <v>493</v>
      </c>
      <c r="B79" s="1" t="s">
        <v>494</v>
      </c>
      <c r="C79" t="s">
        <v>188</v>
      </c>
      <c r="D79" s="1" t="s">
        <v>189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34</v>
      </c>
      <c r="AF79">
        <f t="shared" si="1"/>
        <v>0</v>
      </c>
      <c r="AG79">
        <v>0</v>
      </c>
    </row>
    <row r="80" spans="1:33" x14ac:dyDescent="0.3">
      <c r="A80" t="s">
        <v>493</v>
      </c>
      <c r="B80" s="1" t="s">
        <v>494</v>
      </c>
      <c r="C80" t="s">
        <v>190</v>
      </c>
      <c r="D80" s="1" t="s">
        <v>191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f t="shared" si="1"/>
        <v>0</v>
      </c>
      <c r="AG80">
        <v>0</v>
      </c>
    </row>
    <row r="81" spans="1:33" x14ac:dyDescent="0.3">
      <c r="A81" t="s">
        <v>493</v>
      </c>
      <c r="B81" s="1" t="s">
        <v>494</v>
      </c>
      <c r="C81" t="s">
        <v>192</v>
      </c>
      <c r="D81" s="1" t="s">
        <v>193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f t="shared" si="1"/>
        <v>0</v>
      </c>
      <c r="AG81">
        <v>0</v>
      </c>
    </row>
    <row r="82" spans="1:33" x14ac:dyDescent="0.3">
      <c r="A82" t="s">
        <v>493</v>
      </c>
      <c r="B82" s="1" t="s">
        <v>494</v>
      </c>
      <c r="C82" t="s">
        <v>194</v>
      </c>
      <c r="D82" s="1" t="s">
        <v>195</v>
      </c>
      <c r="E82">
        <v>0.23555884853685399</v>
      </c>
      <c r="F82">
        <v>0.47490614854534702</v>
      </c>
      <c r="G82">
        <v>0.49053754925146897</v>
      </c>
      <c r="H82">
        <v>0.31390362110712</v>
      </c>
      <c r="I82">
        <v>0.52323815345972002</v>
      </c>
      <c r="J82">
        <v>0.80374546831009597</v>
      </c>
      <c r="K82">
        <v>0.63116113410965802</v>
      </c>
      <c r="L82">
        <v>0.70999019114428896</v>
      </c>
      <c r="M82">
        <v>0.74143185046302196</v>
      </c>
      <c r="N82">
        <v>0.72937479591874499</v>
      </c>
      <c r="O82">
        <v>0.88786874805349902</v>
      </c>
      <c r="P82">
        <v>0.85158147541859397</v>
      </c>
      <c r="Q82">
        <v>0.75024454560668496</v>
      </c>
      <c r="R82">
        <v>0.83543046713519198</v>
      </c>
      <c r="S82">
        <v>0.41256107844335499</v>
      </c>
      <c r="T82">
        <v>0.470505869677804</v>
      </c>
      <c r="U82">
        <v>0.59211078523787597</v>
      </c>
      <c r="V82">
        <v>0.52103175226705101</v>
      </c>
      <c r="W82">
        <v>0.41879555966306298</v>
      </c>
      <c r="X82">
        <v>0.36376572238644</v>
      </c>
      <c r="Y82">
        <v>0.123828267830097</v>
      </c>
      <c r="Z82">
        <v>8.0715321544338706E-2</v>
      </c>
      <c r="AA82">
        <v>0.119195049269519</v>
      </c>
      <c r="AB82">
        <v>0.17663465979784701</v>
      </c>
      <c r="AC82">
        <v>0.139922256710481</v>
      </c>
      <c r="AD82">
        <v>5.3289217758707298E-2</v>
      </c>
      <c r="AE82">
        <v>0.118140036355359</v>
      </c>
      <c r="AF82">
        <f t="shared" ref="AF82:AF113" si="2">IFERROR(AVERAGE(E82:AE82),"NA")</f>
        <v>0.46553587311119365</v>
      </c>
      <c r="AG82">
        <v>0</v>
      </c>
    </row>
    <row r="83" spans="1:33" x14ac:dyDescent="0.3">
      <c r="A83" t="s">
        <v>493</v>
      </c>
      <c r="B83" s="1" t="s">
        <v>494</v>
      </c>
      <c r="C83" t="s">
        <v>196</v>
      </c>
      <c r="D83" s="1" t="s">
        <v>197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f t="shared" si="2"/>
        <v>0</v>
      </c>
      <c r="AG83">
        <v>0</v>
      </c>
    </row>
    <row r="84" spans="1:33" x14ac:dyDescent="0.3">
      <c r="A84" t="s">
        <v>493</v>
      </c>
      <c r="B84" s="1" t="s">
        <v>494</v>
      </c>
      <c r="C84" t="s">
        <v>198</v>
      </c>
      <c r="D84" s="1" t="s">
        <v>199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f t="shared" si="2"/>
        <v>0</v>
      </c>
      <c r="AG84">
        <v>0</v>
      </c>
    </row>
    <row r="85" spans="1:33" x14ac:dyDescent="0.3">
      <c r="A85" t="s">
        <v>493</v>
      </c>
      <c r="B85" s="1" t="s">
        <v>494</v>
      </c>
      <c r="C85" t="s">
        <v>200</v>
      </c>
      <c r="D85" s="1" t="s">
        <v>201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8.4900643978291404E-2</v>
      </c>
      <c r="AD85">
        <v>7.3763575857274004</v>
      </c>
      <c r="AE85">
        <v>22.082175309830401</v>
      </c>
      <c r="AF85">
        <f t="shared" si="2"/>
        <v>1.0942012422050404</v>
      </c>
      <c r="AG85">
        <v>0</v>
      </c>
    </row>
    <row r="86" spans="1:33" x14ac:dyDescent="0.3">
      <c r="A86" t="s">
        <v>493</v>
      </c>
      <c r="B86" s="1" t="s">
        <v>494</v>
      </c>
      <c r="C86" t="s">
        <v>202</v>
      </c>
      <c r="D86" s="1" t="s">
        <v>203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f t="shared" si="2"/>
        <v>0</v>
      </c>
      <c r="AG86">
        <v>0</v>
      </c>
    </row>
    <row r="87" spans="1:33" x14ac:dyDescent="0.3">
      <c r="A87" t="s">
        <v>493</v>
      </c>
      <c r="B87" s="1" t="s">
        <v>494</v>
      </c>
      <c r="C87" t="s">
        <v>204</v>
      </c>
      <c r="D87" s="1" t="s">
        <v>205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1.3224623503475699E-4</v>
      </c>
      <c r="P87">
        <v>2.87259146590747E-3</v>
      </c>
      <c r="Q87">
        <v>2.66481464163262E-3</v>
      </c>
      <c r="R87">
        <v>3.2878914982759702E-3</v>
      </c>
      <c r="S87">
        <v>1.55437298676852E-3</v>
      </c>
      <c r="T87">
        <v>2.0222635719966899E-3</v>
      </c>
      <c r="U87">
        <v>2.8650360528408802E-3</v>
      </c>
      <c r="V87">
        <v>2.6315283445152099E-3</v>
      </c>
      <c r="W87">
        <v>2.4028896400638501E-3</v>
      </c>
      <c r="X87">
        <v>2.05052417069276E-3</v>
      </c>
      <c r="Y87">
        <v>0</v>
      </c>
      <c r="Z87">
        <v>0</v>
      </c>
      <c r="AA87">
        <v>7.6579841903896199E-4</v>
      </c>
      <c r="AB87">
        <v>1.1680190121189299E-3</v>
      </c>
      <c r="AC87">
        <v>8.9686064480635303E-4</v>
      </c>
      <c r="AD87">
        <v>4.45541908214536E-4</v>
      </c>
      <c r="AE87">
        <v>1.01153040386899E-3</v>
      </c>
      <c r="AF87">
        <f t="shared" si="2"/>
        <v>9.9155218502875917E-4</v>
      </c>
      <c r="AG87">
        <v>0</v>
      </c>
    </row>
    <row r="88" spans="1:33" x14ac:dyDescent="0.3">
      <c r="A88" t="s">
        <v>493</v>
      </c>
      <c r="B88" s="1" t="s">
        <v>494</v>
      </c>
      <c r="C88" t="s">
        <v>206</v>
      </c>
      <c r="D88" s="1" t="s">
        <v>207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6.3869727800360096E-4</v>
      </c>
      <c r="U88">
        <v>6.6843256857796298E-3</v>
      </c>
      <c r="V88">
        <v>1.00349590596334E-3</v>
      </c>
      <c r="W88">
        <v>2.6579247870943202E-3</v>
      </c>
      <c r="X88">
        <v>1.5787378894444301E-2</v>
      </c>
      <c r="Y88">
        <v>1.9750485494289199E-4</v>
      </c>
      <c r="Z88">
        <v>1.5282106787697201E-4</v>
      </c>
      <c r="AA88">
        <v>2.8255725717155598E-4</v>
      </c>
      <c r="AB88">
        <v>4.0106296478181698E-4</v>
      </c>
      <c r="AC88">
        <v>2.93788423858794E-4</v>
      </c>
      <c r="AD88">
        <v>1.1978734728514E-4</v>
      </c>
      <c r="AE88">
        <v>3.5629289325356998E-4</v>
      </c>
      <c r="AF88">
        <f t="shared" si="2"/>
        <v>1.0583569392761459E-3</v>
      </c>
      <c r="AG88">
        <v>0</v>
      </c>
    </row>
    <row r="89" spans="1:33" x14ac:dyDescent="0.3">
      <c r="A89" t="s">
        <v>493</v>
      </c>
      <c r="B89" s="1" t="s">
        <v>494</v>
      </c>
      <c r="C89" t="s">
        <v>208</v>
      </c>
      <c r="D89" s="1" t="s">
        <v>209</v>
      </c>
      <c r="E89">
        <v>0.30440845049137499</v>
      </c>
      <c r="F89">
        <v>0.36282515366346302</v>
      </c>
      <c r="G89">
        <v>0.21923341122082399</v>
      </c>
      <c r="H89">
        <v>6.2436089648229401E-2</v>
      </c>
      <c r="I89">
        <v>0.17841263496096399</v>
      </c>
      <c r="J89">
        <v>0.37362643564213299</v>
      </c>
      <c r="K89">
        <v>0.23443669269169801</v>
      </c>
      <c r="L89">
        <v>0.187700537212006</v>
      </c>
      <c r="M89">
        <v>0.17971724484931001</v>
      </c>
      <c r="N89">
        <v>0.18878037425393299</v>
      </c>
      <c r="O89">
        <v>0.214107473091597</v>
      </c>
      <c r="P89">
        <v>0.23833609170237699</v>
      </c>
      <c r="Q89">
        <v>0.19476724976933801</v>
      </c>
      <c r="R89">
        <v>0.240895210564367</v>
      </c>
      <c r="S89">
        <v>0.14897246061695199</v>
      </c>
      <c r="T89">
        <v>0.152616225507853</v>
      </c>
      <c r="U89">
        <v>0.22705236995029199</v>
      </c>
      <c r="V89">
        <v>0.237336346667221</v>
      </c>
      <c r="W89">
        <v>0.194311507285997</v>
      </c>
      <c r="X89">
        <v>0.16853700564024901</v>
      </c>
      <c r="Y89">
        <v>8.3804182670620606E-2</v>
      </c>
      <c r="Z89">
        <v>7.0338664366938294E-2</v>
      </c>
      <c r="AA89">
        <v>9.2698400407082299E-2</v>
      </c>
      <c r="AB89">
        <v>0.13363636842823901</v>
      </c>
      <c r="AC89">
        <v>0.14428254467730101</v>
      </c>
      <c r="AD89">
        <v>8.3351250676237096E-2</v>
      </c>
      <c r="AE89">
        <v>0.18388756030127101</v>
      </c>
      <c r="AF89">
        <f t="shared" si="2"/>
        <v>0.18890770136880988</v>
      </c>
      <c r="AG89">
        <v>0</v>
      </c>
    </row>
    <row r="90" spans="1:33" x14ac:dyDescent="0.3">
      <c r="A90" t="s">
        <v>493</v>
      </c>
      <c r="B90" s="1" t="s">
        <v>494</v>
      </c>
      <c r="C90" t="s">
        <v>210</v>
      </c>
      <c r="D90" s="1" t="s">
        <v>211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f t="shared" si="2"/>
        <v>0</v>
      </c>
      <c r="AG90">
        <v>0</v>
      </c>
    </row>
    <row r="91" spans="1:33" x14ac:dyDescent="0.3">
      <c r="A91" t="s">
        <v>493</v>
      </c>
      <c r="B91" s="1" t="s">
        <v>494</v>
      </c>
      <c r="C91" t="s">
        <v>212</v>
      </c>
      <c r="D91" s="1" t="s">
        <v>213</v>
      </c>
      <c r="E91">
        <v>0.86583352089918697</v>
      </c>
      <c r="F91">
        <v>0.960764449555637</v>
      </c>
      <c r="G91">
        <v>0.85099509733614498</v>
      </c>
      <c r="H91">
        <v>0.42973669349544902</v>
      </c>
      <c r="I91">
        <v>0.70843039067170999</v>
      </c>
      <c r="J91">
        <v>1.1988089693578099</v>
      </c>
      <c r="K91">
        <v>0.86987119722419104</v>
      </c>
      <c r="L91">
        <v>0.89851592374001699</v>
      </c>
      <c r="M91">
        <v>0.86036335931196795</v>
      </c>
      <c r="N91">
        <v>1.0604312379465399</v>
      </c>
      <c r="O91">
        <v>1.28780837185882</v>
      </c>
      <c r="P91">
        <v>1.3314682191293099</v>
      </c>
      <c r="Q91">
        <v>1.1521469724778099</v>
      </c>
      <c r="R91">
        <v>1.58498271088646</v>
      </c>
      <c r="S91">
        <v>0.63879318762936399</v>
      </c>
      <c r="T91">
        <v>0.815747227430213</v>
      </c>
      <c r="U91">
        <v>1.3485270575645301</v>
      </c>
      <c r="V91">
        <v>1.31387208215422</v>
      </c>
      <c r="W91">
        <v>1.1933541557937699</v>
      </c>
      <c r="X91">
        <v>0.94519292317249204</v>
      </c>
      <c r="Y91">
        <v>0.35994070885217599</v>
      </c>
      <c r="Z91">
        <v>0.220297977730946</v>
      </c>
      <c r="AA91">
        <v>0.31322522627049898</v>
      </c>
      <c r="AB91">
        <v>0.44662959468281799</v>
      </c>
      <c r="AC91">
        <v>0.30502831579147999</v>
      </c>
      <c r="AD91">
        <v>0.14434386854363701</v>
      </c>
      <c r="AE91">
        <v>0.32561019410060799</v>
      </c>
      <c r="AF91">
        <f t="shared" si="2"/>
        <v>0.83076739383732612</v>
      </c>
      <c r="AG91">
        <v>0</v>
      </c>
    </row>
    <row r="92" spans="1:33" x14ac:dyDescent="0.3">
      <c r="A92" t="s">
        <v>493</v>
      </c>
      <c r="B92" s="1" t="s">
        <v>494</v>
      </c>
      <c r="C92" t="s">
        <v>214</v>
      </c>
      <c r="D92" s="1" t="s">
        <v>215</v>
      </c>
      <c r="E92">
        <v>2.9733252636663998</v>
      </c>
      <c r="F92">
        <v>3.2982961466002401</v>
      </c>
      <c r="G92">
        <v>2.9527366047691999</v>
      </c>
      <c r="H92">
        <v>3.1051387052427399</v>
      </c>
      <c r="I92">
        <v>3.7780928159413998</v>
      </c>
      <c r="J92">
        <v>6.5139612422782296</v>
      </c>
      <c r="K92">
        <v>4.5027903918887198</v>
      </c>
      <c r="L92">
        <v>3.5012544811522099</v>
      </c>
      <c r="M92">
        <v>3.0609286603222299</v>
      </c>
      <c r="N92">
        <v>3.9423753953995799</v>
      </c>
      <c r="O92">
        <v>5.2063696464979703</v>
      </c>
      <c r="P92">
        <v>4.5528918431629597</v>
      </c>
      <c r="Q92">
        <v>3.6879578095142</v>
      </c>
      <c r="R92">
        <v>4.6020233104943404</v>
      </c>
      <c r="S92">
        <v>2.1219149290471599</v>
      </c>
      <c r="T92">
        <v>2.31580791993823</v>
      </c>
      <c r="U92">
        <v>2.96041980198707</v>
      </c>
      <c r="V92">
        <v>2.5194483380145098</v>
      </c>
      <c r="W92">
        <v>2.2422881644347901</v>
      </c>
      <c r="X92">
        <v>1.9750254982014199</v>
      </c>
      <c r="Y92">
        <v>0.796675128718901</v>
      </c>
      <c r="Z92">
        <v>0.62227933803086</v>
      </c>
      <c r="AA92">
        <v>0.799367966127144</v>
      </c>
      <c r="AB92">
        <v>1.13230201999671</v>
      </c>
      <c r="AC92">
        <v>0.74013460951467802</v>
      </c>
      <c r="AD92">
        <v>0.287189045702826</v>
      </c>
      <c r="AE92">
        <v>0.76602833962963501</v>
      </c>
      <c r="AF92">
        <f t="shared" si="2"/>
        <v>2.7761860524546069</v>
      </c>
      <c r="AG92">
        <v>0</v>
      </c>
    </row>
    <row r="93" spans="1:33" x14ac:dyDescent="0.3">
      <c r="A93" t="s">
        <v>493</v>
      </c>
      <c r="B93" s="1" t="s">
        <v>494</v>
      </c>
      <c r="C93" s="7" t="s">
        <v>216</v>
      </c>
      <c r="D93" s="1" t="s">
        <v>217</v>
      </c>
      <c r="E93">
        <v>19.304058575950499</v>
      </c>
      <c r="F93">
        <v>19.668561458430801</v>
      </c>
      <c r="G93">
        <v>18.043698024013398</v>
      </c>
      <c r="H93">
        <v>11.649210760303699</v>
      </c>
      <c r="I93">
        <v>16.7896155043784</v>
      </c>
      <c r="J93">
        <v>30.663774670772298</v>
      </c>
      <c r="K93">
        <v>21.488216845832099</v>
      </c>
      <c r="L93">
        <v>20.4437414632993</v>
      </c>
      <c r="M93">
        <v>22.0449174416527</v>
      </c>
      <c r="N93">
        <v>25.1990020398231</v>
      </c>
      <c r="O93">
        <v>31.6076762648214</v>
      </c>
      <c r="P93">
        <v>31.558203805852699</v>
      </c>
      <c r="Q93">
        <v>26.125240116915599</v>
      </c>
      <c r="R93">
        <v>30.565973898031299</v>
      </c>
      <c r="S93">
        <v>17.551258799385401</v>
      </c>
      <c r="T93">
        <v>20.224836352926101</v>
      </c>
      <c r="U93">
        <v>22.351458922128099</v>
      </c>
      <c r="V93">
        <v>18.412072340282599</v>
      </c>
      <c r="W93">
        <v>21.256566552395501</v>
      </c>
      <c r="X93">
        <v>21.235375826579901</v>
      </c>
      <c r="Y93">
        <v>12.266352739347401</v>
      </c>
      <c r="Z93">
        <v>10.889503150911199</v>
      </c>
      <c r="AA93">
        <v>14.6204399688795</v>
      </c>
      <c r="AB93">
        <v>27.6646471563106</v>
      </c>
      <c r="AC93">
        <v>20.078049050865701</v>
      </c>
      <c r="AD93">
        <v>13.2733495355914</v>
      </c>
      <c r="AE93">
        <v>18.265898092923301</v>
      </c>
      <c r="AF93">
        <f t="shared" si="2"/>
        <v>20.860803679948294</v>
      </c>
      <c r="AG93">
        <v>1</v>
      </c>
    </row>
    <row r="94" spans="1:33" x14ac:dyDescent="0.3">
      <c r="A94" t="s">
        <v>493</v>
      </c>
      <c r="B94" s="1" t="s">
        <v>494</v>
      </c>
      <c r="C94" s="7" t="s">
        <v>218</v>
      </c>
      <c r="D94" s="1" t="s">
        <v>219</v>
      </c>
      <c r="E94">
        <v>22.2780163741492</v>
      </c>
      <c r="F94">
        <v>35.369010095281503</v>
      </c>
      <c r="G94">
        <v>31.581543975153899</v>
      </c>
      <c r="H94">
        <v>36.610581376731503</v>
      </c>
      <c r="I94">
        <v>36.719435347493999</v>
      </c>
      <c r="J94">
        <v>48.580717816688498</v>
      </c>
      <c r="K94">
        <v>49.196031722495697</v>
      </c>
      <c r="L94">
        <v>46.671992753911098</v>
      </c>
      <c r="M94">
        <v>53.0047978158982</v>
      </c>
      <c r="N94">
        <v>64.655092482372496</v>
      </c>
      <c r="O94">
        <v>65.157595198030407</v>
      </c>
      <c r="P94">
        <v>63.555140267683498</v>
      </c>
      <c r="Q94">
        <v>52.927380256739902</v>
      </c>
      <c r="R94">
        <v>55.3793146361864</v>
      </c>
      <c r="S94">
        <v>39.114592800696499</v>
      </c>
      <c r="T94">
        <v>43.2562312170542</v>
      </c>
      <c r="U94">
        <v>50.9263659501053</v>
      </c>
      <c r="V94">
        <v>49.611099381802902</v>
      </c>
      <c r="W94">
        <v>45.331360218461199</v>
      </c>
      <c r="X94">
        <v>46.603852799550801</v>
      </c>
      <c r="Y94">
        <v>37.257541672335201</v>
      </c>
      <c r="Z94">
        <v>32.965056056014198</v>
      </c>
      <c r="AA94">
        <v>38.920312084343301</v>
      </c>
      <c r="AB94">
        <v>45.765863135444597</v>
      </c>
      <c r="AC94">
        <v>40.231278305102599</v>
      </c>
      <c r="AD94">
        <v>27.035001916172</v>
      </c>
      <c r="AE94">
        <v>42.787098491507599</v>
      </c>
      <c r="AF94">
        <f t="shared" si="2"/>
        <v>44.49971496842246</v>
      </c>
      <c r="AG94">
        <v>1</v>
      </c>
    </row>
    <row r="95" spans="1:33" x14ac:dyDescent="0.3">
      <c r="A95" t="s">
        <v>493</v>
      </c>
      <c r="B95" s="1" t="s">
        <v>494</v>
      </c>
      <c r="C95" t="s">
        <v>220</v>
      </c>
      <c r="D95" s="1" t="s">
        <v>221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1.04554774481391E-4</v>
      </c>
      <c r="P95">
        <v>2.20340993296497E-4</v>
      </c>
      <c r="Q95">
        <v>0</v>
      </c>
      <c r="R95">
        <v>0</v>
      </c>
      <c r="S95">
        <v>0</v>
      </c>
      <c r="T95">
        <v>8.4342457466574008E-3</v>
      </c>
      <c r="U95">
        <v>5.1812534442973596E-3</v>
      </c>
      <c r="V95">
        <v>5.80802788099242E-3</v>
      </c>
      <c r="W95">
        <v>4.2598855963756196E-3</v>
      </c>
      <c r="X95">
        <v>3.9316133352251701E-3</v>
      </c>
      <c r="Y95">
        <v>1.27546010473342E-3</v>
      </c>
      <c r="Z95">
        <v>1.03242097431613E-3</v>
      </c>
      <c r="AA95">
        <v>1.3727324876272201E-3</v>
      </c>
      <c r="AB95">
        <v>2.22636273443113E-3</v>
      </c>
      <c r="AC95">
        <v>1.92075459732704E-3</v>
      </c>
      <c r="AD95">
        <v>9.6047242789137996E-4</v>
      </c>
      <c r="AE95">
        <v>1.9446568064729699E-3</v>
      </c>
      <c r="AF95">
        <f t="shared" si="2"/>
        <v>1.4323252557083388E-3</v>
      </c>
      <c r="AG95">
        <v>0</v>
      </c>
    </row>
    <row r="96" spans="1:33" x14ac:dyDescent="0.3">
      <c r="A96" t="s">
        <v>493</v>
      </c>
      <c r="B96" s="1" t="s">
        <v>494</v>
      </c>
      <c r="C96" t="s">
        <v>222</v>
      </c>
      <c r="D96" s="1" t="s">
        <v>223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34</v>
      </c>
      <c r="AE96" t="s">
        <v>34</v>
      </c>
      <c r="AF96" t="str">
        <f t="shared" si="2"/>
        <v>NA</v>
      </c>
      <c r="AG96">
        <v>0</v>
      </c>
    </row>
    <row r="97" spans="1:33" x14ac:dyDescent="0.3">
      <c r="A97" t="s">
        <v>493</v>
      </c>
      <c r="B97" s="1" t="s">
        <v>494</v>
      </c>
      <c r="C97" t="s">
        <v>224</v>
      </c>
      <c r="D97" s="1" t="s">
        <v>225</v>
      </c>
      <c r="E97">
        <v>6.6166119891777799E-4</v>
      </c>
      <c r="F97">
        <v>4.3369458055803203E-4</v>
      </c>
      <c r="G97">
        <v>1.25681503040013E-3</v>
      </c>
      <c r="H97">
        <v>2.93178918507522E-4</v>
      </c>
      <c r="I97">
        <v>3.5853839062173698E-4</v>
      </c>
      <c r="J97">
        <v>5.3802985164142197E-4</v>
      </c>
      <c r="K97">
        <v>4.4300918148921001E-4</v>
      </c>
      <c r="L97">
        <v>6.0727215481684105E-4</v>
      </c>
      <c r="M97">
        <v>4.0586861219109598E-4</v>
      </c>
      <c r="N97">
        <v>3.3623760064505997E-4</v>
      </c>
      <c r="O97">
        <v>4.7218285967134802E-4</v>
      </c>
      <c r="P97">
        <v>1.8314801442047401E-3</v>
      </c>
      <c r="Q97">
        <v>9.8265966384253811E-4</v>
      </c>
      <c r="R97">
        <v>1.6717099523263701E-3</v>
      </c>
      <c r="S97">
        <v>1.0385914844318199E-3</v>
      </c>
      <c r="T97">
        <v>8.2957758466304396E-4</v>
      </c>
      <c r="U97">
        <v>5.3564506932549504E-3</v>
      </c>
      <c r="V97">
        <v>3.2913846396943102E-3</v>
      </c>
      <c r="W97">
        <v>1.1885027058698301E-2</v>
      </c>
      <c r="X97">
        <v>1.1796606211914499E-2</v>
      </c>
      <c r="Y97">
        <v>6.4472044027384604E-3</v>
      </c>
      <c r="Z97">
        <v>7.3820403232374701E-3</v>
      </c>
      <c r="AA97">
        <v>5.8293245500582701E-3</v>
      </c>
      <c r="AB97">
        <v>8.7876889369425497E-3</v>
      </c>
      <c r="AC97">
        <v>8.2623749417630298E-3</v>
      </c>
      <c r="AD97">
        <v>7.6086822303689699E-3</v>
      </c>
      <c r="AE97">
        <v>1.15224616168168E-2</v>
      </c>
      <c r="AF97">
        <f t="shared" si="2"/>
        <v>3.7159167709043075E-3</v>
      </c>
      <c r="AG97">
        <v>0</v>
      </c>
    </row>
    <row r="98" spans="1:33" x14ac:dyDescent="0.3">
      <c r="A98" t="s">
        <v>493</v>
      </c>
      <c r="B98" s="1" t="s">
        <v>494</v>
      </c>
      <c r="C98" t="s">
        <v>226</v>
      </c>
      <c r="D98" s="1" t="s">
        <v>227</v>
      </c>
      <c r="E98">
        <v>2.4327274803402601E-2</v>
      </c>
      <c r="F98">
        <v>3.2795011040490298E-2</v>
      </c>
      <c r="G98">
        <v>2.96277236320651E-2</v>
      </c>
      <c r="H98">
        <v>8.6039880194592605E-3</v>
      </c>
      <c r="I98">
        <v>2.38337432543426E-2</v>
      </c>
      <c r="J98">
        <v>4.91103009051332E-2</v>
      </c>
      <c r="K98">
        <v>3.2284728417945698E-2</v>
      </c>
      <c r="L98">
        <v>4.0790166742497198E-2</v>
      </c>
      <c r="M98">
        <v>4.0084793490214099E-2</v>
      </c>
      <c r="N98">
        <v>4.6373354512562602E-2</v>
      </c>
      <c r="O98">
        <v>7.4743623986735605E-2</v>
      </c>
      <c r="P98">
        <v>7.7749953690034401E-2</v>
      </c>
      <c r="Q98">
        <v>7.7069006698657697E-2</v>
      </c>
      <c r="R98">
        <v>9.3555630234529105E-2</v>
      </c>
      <c r="S98">
        <v>4.8036487144922001E-2</v>
      </c>
      <c r="T98">
        <v>6.3241973488066205E-2</v>
      </c>
      <c r="U98">
        <v>0.101021789830648</v>
      </c>
      <c r="V98">
        <v>0.108313381680821</v>
      </c>
      <c r="W98">
        <v>9.9816037494531204E-2</v>
      </c>
      <c r="X98">
        <v>9.67846101416793E-2</v>
      </c>
      <c r="Y98">
        <v>4.6200328945181397E-2</v>
      </c>
      <c r="Z98">
        <v>2.38823821426404E-2</v>
      </c>
      <c r="AA98">
        <v>3.8672573326515101E-2</v>
      </c>
      <c r="AB98">
        <v>6.6028868286318598E-2</v>
      </c>
      <c r="AC98">
        <v>5.5800623981932002E-2</v>
      </c>
      <c r="AD98">
        <v>3.9853142279699397E-2</v>
      </c>
      <c r="AE98">
        <v>7.7005203060733995E-2</v>
      </c>
      <c r="AF98">
        <f t="shared" si="2"/>
        <v>5.6133581527102155E-2</v>
      </c>
      <c r="AG98">
        <v>0</v>
      </c>
    </row>
    <row r="99" spans="1:33" x14ac:dyDescent="0.3">
      <c r="A99" t="s">
        <v>493</v>
      </c>
      <c r="B99" s="1" t="s">
        <v>494</v>
      </c>
      <c r="C99" t="s">
        <v>228</v>
      </c>
      <c r="D99" s="1" t="s">
        <v>229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0.11501979991378999</v>
      </c>
      <c r="M99">
        <v>0.17838188791398299</v>
      </c>
      <c r="N99">
        <v>0.165049939416478</v>
      </c>
      <c r="O99">
        <v>0.25246901117910198</v>
      </c>
      <c r="P99">
        <v>0.68347557709146101</v>
      </c>
      <c r="Q99">
        <v>0.62434451592378903</v>
      </c>
      <c r="R99">
        <v>1.0691769228052801</v>
      </c>
      <c r="S99">
        <v>0.64541039823561397</v>
      </c>
      <c r="T99">
        <v>0.242284268785806</v>
      </c>
      <c r="U99">
        <v>0.52691486864130899</v>
      </c>
      <c r="V99">
        <v>0.49393788378898001</v>
      </c>
      <c r="W99">
        <v>0.46745790103747598</v>
      </c>
      <c r="X99">
        <v>0.43719514815024701</v>
      </c>
      <c r="Y99">
        <v>0</v>
      </c>
      <c r="Z99">
        <v>6.8739190454786298E-2</v>
      </c>
      <c r="AA99">
        <v>0.179462172017927</v>
      </c>
      <c r="AB99">
        <v>0.26805662505622901</v>
      </c>
      <c r="AC99">
        <v>0.21321339673190401</v>
      </c>
      <c r="AD99">
        <v>0.11529077951409</v>
      </c>
      <c r="AE99">
        <v>0.294903461359937</v>
      </c>
      <c r="AF99">
        <f t="shared" si="2"/>
        <v>0.26076976844511801</v>
      </c>
      <c r="AG99">
        <v>0</v>
      </c>
    </row>
    <row r="100" spans="1:33" x14ac:dyDescent="0.3">
      <c r="A100" t="s">
        <v>493</v>
      </c>
      <c r="B100" s="1" t="s">
        <v>494</v>
      </c>
      <c r="C100" t="s">
        <v>230</v>
      </c>
      <c r="D100" s="1" t="s">
        <v>231</v>
      </c>
      <c r="E100">
        <v>1.2694526503513001E-3</v>
      </c>
      <c r="F100">
        <v>1.6809144090308E-3</v>
      </c>
      <c r="G100">
        <v>1.34733119219593E-3</v>
      </c>
      <c r="H100">
        <v>7.1469204119123104E-4</v>
      </c>
      <c r="I100">
        <v>1.0895373971705599E-3</v>
      </c>
      <c r="J100">
        <v>2.0460072848765198E-3</v>
      </c>
      <c r="K100">
        <v>1.13511914094131E-3</v>
      </c>
      <c r="L100">
        <v>1.12559597627164E-3</v>
      </c>
      <c r="M100">
        <v>1.1508719842473699E-3</v>
      </c>
      <c r="N100">
        <v>1.1240016271445901E-3</v>
      </c>
      <c r="O100">
        <v>1.9079926144148201E-3</v>
      </c>
      <c r="P100">
        <v>2.1472029958577799E-3</v>
      </c>
      <c r="Q100">
        <v>2.4890621835490299E-3</v>
      </c>
      <c r="R100">
        <v>2.5418789008744501E-3</v>
      </c>
      <c r="S100">
        <v>1.2121453968408501E-3</v>
      </c>
      <c r="T100">
        <v>1.5807909918811899E-3</v>
      </c>
      <c r="U100">
        <v>2.3460232142381702E-3</v>
      </c>
      <c r="V100">
        <v>2.4863866562075099E-3</v>
      </c>
      <c r="W100">
        <v>2.7988858049721801E-3</v>
      </c>
      <c r="X100">
        <v>3.6977302079416298E-3</v>
      </c>
      <c r="Y100">
        <v>1.9760449394356501E-3</v>
      </c>
      <c r="Z100">
        <v>1.2056707749437501E-3</v>
      </c>
      <c r="AA100">
        <v>1.8821884916651399E-3</v>
      </c>
      <c r="AB100">
        <v>2.5412292342122801E-3</v>
      </c>
      <c r="AC100">
        <v>1.93344998804187E-3</v>
      </c>
      <c r="AD100">
        <v>7.1079250571074804E-4</v>
      </c>
      <c r="AE100">
        <v>2.23132111964285E-3</v>
      </c>
      <c r="AF100">
        <f t="shared" si="2"/>
        <v>1.7915673971796722E-3</v>
      </c>
      <c r="AG100">
        <v>0</v>
      </c>
    </row>
    <row r="101" spans="1:33" x14ac:dyDescent="0.3">
      <c r="A101" t="s">
        <v>493</v>
      </c>
      <c r="B101" s="1" t="s">
        <v>494</v>
      </c>
      <c r="C101" t="s">
        <v>232</v>
      </c>
      <c r="D101" s="1" t="s">
        <v>233</v>
      </c>
      <c r="E101">
        <v>1.9996615050287699E-3</v>
      </c>
      <c r="F101">
        <v>3.1698526154232101E-3</v>
      </c>
      <c r="G101">
        <v>2.7432474742950502E-3</v>
      </c>
      <c r="H101">
        <v>1.6900846715067E-3</v>
      </c>
      <c r="I101">
        <v>2.34588325602697E-3</v>
      </c>
      <c r="J101">
        <v>3.82518728310133E-3</v>
      </c>
      <c r="K101">
        <v>2.7049773145521902E-3</v>
      </c>
      <c r="L101">
        <v>2.3658101689277098E-3</v>
      </c>
      <c r="M101">
        <v>2.36399852541283E-3</v>
      </c>
      <c r="N101">
        <v>2.5250709342341201E-3</v>
      </c>
      <c r="O101">
        <v>2.99417370715913E-3</v>
      </c>
      <c r="P101">
        <v>3.3669546922726499E-3</v>
      </c>
      <c r="Q101">
        <v>3.2269913821268998E-3</v>
      </c>
      <c r="R101">
        <v>4.7965442664045996E-3</v>
      </c>
      <c r="S101">
        <v>2.2318051309287898E-3</v>
      </c>
      <c r="T101">
        <v>2.22485703710613E-3</v>
      </c>
      <c r="U101">
        <v>2.2986497041862898E-3</v>
      </c>
      <c r="V101">
        <v>2.4752289881027401E-3</v>
      </c>
      <c r="W101">
        <v>1.91267840155804E-3</v>
      </c>
      <c r="X101">
        <v>1.6199879026499199E-3</v>
      </c>
      <c r="Y101">
        <v>4.2991104327841698E-4</v>
      </c>
      <c r="Z101">
        <v>2.5081259346326198E-4</v>
      </c>
      <c r="AA101">
        <v>2.1179465755803801E-4</v>
      </c>
      <c r="AB101">
        <v>9.8051594567563193E-4</v>
      </c>
      <c r="AC101">
        <v>7.8773141294043495E-4</v>
      </c>
      <c r="AD101">
        <v>4.67720334463903E-4</v>
      </c>
      <c r="AE101">
        <v>1.4363313536704199E-2</v>
      </c>
      <c r="AF101">
        <f t="shared" si="2"/>
        <v>2.6064238698180722E-3</v>
      </c>
      <c r="AG101">
        <v>0</v>
      </c>
    </row>
    <row r="102" spans="1:33" x14ac:dyDescent="0.3">
      <c r="A102" t="s">
        <v>493</v>
      </c>
      <c r="B102" s="1" t="s">
        <v>494</v>
      </c>
      <c r="C102" t="s">
        <v>234</v>
      </c>
      <c r="D102" s="1" t="s">
        <v>235</v>
      </c>
      <c r="E102">
        <v>5.8293072427258297</v>
      </c>
      <c r="F102">
        <v>8.6122801741244892</v>
      </c>
      <c r="G102">
        <v>7.1586066843478804</v>
      </c>
      <c r="H102">
        <v>2.25218755062942</v>
      </c>
      <c r="I102">
        <v>10.6811071898123</v>
      </c>
      <c r="J102">
        <v>24.702212727168899</v>
      </c>
      <c r="K102">
        <v>16.8769158317887</v>
      </c>
      <c r="L102">
        <v>18.663679662836</v>
      </c>
      <c r="M102">
        <v>19.056188683031301</v>
      </c>
      <c r="N102">
        <v>21.3287460118204</v>
      </c>
      <c r="O102">
        <v>24.611944989911301</v>
      </c>
      <c r="P102">
        <v>21.140040087988901</v>
      </c>
      <c r="Q102">
        <v>18.718377737154398</v>
      </c>
      <c r="R102">
        <v>22.937946847030901</v>
      </c>
      <c r="S102">
        <v>15.4811753728879</v>
      </c>
      <c r="T102">
        <v>14.3876480168855</v>
      </c>
      <c r="U102">
        <v>18.352953297680401</v>
      </c>
      <c r="V102">
        <v>16.1210271615703</v>
      </c>
      <c r="W102">
        <v>13.575329365067001</v>
      </c>
      <c r="X102">
        <v>13.4439854013249</v>
      </c>
      <c r="Y102">
        <v>6.7739639833760403</v>
      </c>
      <c r="Z102">
        <v>6.9499320090465</v>
      </c>
      <c r="AA102">
        <v>9.6634623117539604</v>
      </c>
      <c r="AB102">
        <v>15.0881830400628</v>
      </c>
      <c r="AC102">
        <v>13.332921832423899</v>
      </c>
      <c r="AD102">
        <v>7.1257772457505899</v>
      </c>
      <c r="AE102">
        <v>14.8448016221428</v>
      </c>
      <c r="AF102">
        <f t="shared" si="2"/>
        <v>14.359655632605309</v>
      </c>
      <c r="AG102">
        <v>0</v>
      </c>
    </row>
    <row r="103" spans="1:33" x14ac:dyDescent="0.3">
      <c r="A103" t="s">
        <v>493</v>
      </c>
      <c r="B103" s="1" t="s">
        <v>494</v>
      </c>
      <c r="C103" t="s">
        <v>236</v>
      </c>
      <c r="D103" s="1" t="s">
        <v>237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1.6638218781855299E-2</v>
      </c>
      <c r="U103">
        <v>2.8812387070770201E-2</v>
      </c>
      <c r="V103">
        <v>2.3087817733818801E-2</v>
      </c>
      <c r="W103">
        <v>2.5194778024364501E-2</v>
      </c>
      <c r="X103">
        <v>2.2527367113645499E-2</v>
      </c>
      <c r="Y103">
        <v>7.6633080251844298E-3</v>
      </c>
      <c r="Z103">
        <v>6.5870720582815404E-3</v>
      </c>
      <c r="AA103">
        <v>0</v>
      </c>
      <c r="AB103">
        <v>1.46974382203769E-3</v>
      </c>
      <c r="AC103">
        <v>2.8424927071065802E-3</v>
      </c>
      <c r="AD103">
        <v>0</v>
      </c>
      <c r="AE103">
        <v>0</v>
      </c>
      <c r="AF103">
        <f t="shared" si="2"/>
        <v>4.9934513087801675E-3</v>
      </c>
      <c r="AG103">
        <v>0</v>
      </c>
    </row>
    <row r="104" spans="1:33" x14ac:dyDescent="0.3">
      <c r="A104" t="s">
        <v>493</v>
      </c>
      <c r="B104" s="1" t="s">
        <v>494</v>
      </c>
      <c r="C104" t="s">
        <v>238</v>
      </c>
      <c r="D104" s="1" t="s">
        <v>239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f t="shared" si="2"/>
        <v>0</v>
      </c>
      <c r="AG104">
        <v>0</v>
      </c>
    </row>
    <row r="105" spans="1:33" x14ac:dyDescent="0.3">
      <c r="A105" t="s">
        <v>493</v>
      </c>
      <c r="B105" s="1" t="s">
        <v>494</v>
      </c>
      <c r="C105" t="s">
        <v>240</v>
      </c>
      <c r="D105" s="1" t="s">
        <v>241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 t="s">
        <v>34</v>
      </c>
      <c r="AF105" t="str">
        <f t="shared" si="2"/>
        <v>NA</v>
      </c>
      <c r="AG105">
        <v>0</v>
      </c>
    </row>
    <row r="106" spans="1:33" x14ac:dyDescent="0.3">
      <c r="A106" t="s">
        <v>493</v>
      </c>
      <c r="B106" s="1" t="s">
        <v>494</v>
      </c>
      <c r="C106" t="s">
        <v>242</v>
      </c>
      <c r="D106" s="1" t="s">
        <v>243</v>
      </c>
      <c r="E106">
        <v>0</v>
      </c>
      <c r="F106">
        <v>0</v>
      </c>
      <c r="G106">
        <v>4.5441462305219902E-3</v>
      </c>
      <c r="H106">
        <v>4.23666970660155E-3</v>
      </c>
      <c r="I106">
        <v>6.6875501861200903E-3</v>
      </c>
      <c r="J106">
        <v>1.7111438412370499E-2</v>
      </c>
      <c r="K106">
        <v>1.1708452996308599E-2</v>
      </c>
      <c r="L106">
        <v>9.5743357150873207E-3</v>
      </c>
      <c r="M106">
        <v>8.9188228034681998E-3</v>
      </c>
      <c r="N106">
        <v>1.04071686453881E-2</v>
      </c>
      <c r="O106">
        <v>1.52754218373255E-2</v>
      </c>
      <c r="P106">
        <v>1.8650834676096399E-2</v>
      </c>
      <c r="Q106">
        <v>1.9819398963168901E-2</v>
      </c>
      <c r="R106">
        <v>3.2798174976139897E-2</v>
      </c>
      <c r="S106">
        <v>2.3956728591914001E-2</v>
      </c>
      <c r="T106">
        <v>4.3844810674393102E-2</v>
      </c>
      <c r="U106">
        <v>5.9670310778638699E-2</v>
      </c>
      <c r="V106">
        <v>5.69097069190274E-2</v>
      </c>
      <c r="W106">
        <v>4.6138458438472703E-2</v>
      </c>
      <c r="X106">
        <v>4.0319127563859199E-2</v>
      </c>
      <c r="Y106">
        <v>1.84101263141833E-2</v>
      </c>
      <c r="Z106">
        <v>1.54774466539604E-2</v>
      </c>
      <c r="AA106">
        <v>1.5612916221688901E-2</v>
      </c>
      <c r="AB106">
        <v>2.5134670867227399E-2</v>
      </c>
      <c r="AC106">
        <v>1.9164199980252501E-2</v>
      </c>
      <c r="AD106">
        <v>8.9868127458981803E-3</v>
      </c>
      <c r="AE106">
        <v>2.8312416235557102E-2</v>
      </c>
      <c r="AF106">
        <f t="shared" si="2"/>
        <v>2.080259804198778E-2</v>
      </c>
      <c r="AG106">
        <v>0</v>
      </c>
    </row>
    <row r="107" spans="1:33" x14ac:dyDescent="0.3">
      <c r="A107" t="s">
        <v>493</v>
      </c>
      <c r="B107" s="1" t="s">
        <v>494</v>
      </c>
      <c r="C107" t="s">
        <v>244</v>
      </c>
      <c r="D107" s="1" t="s">
        <v>245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f t="shared" si="2"/>
        <v>0</v>
      </c>
      <c r="AG107">
        <v>0</v>
      </c>
    </row>
    <row r="108" spans="1:33" x14ac:dyDescent="0.3">
      <c r="A108" t="s">
        <v>493</v>
      </c>
      <c r="B108" s="1" t="s">
        <v>494</v>
      </c>
      <c r="C108" s="7" t="s">
        <v>246</v>
      </c>
      <c r="D108" s="1" t="s">
        <v>247</v>
      </c>
      <c r="E108">
        <v>36.227064016638998</v>
      </c>
      <c r="F108">
        <v>40.136409114512603</v>
      </c>
      <c r="G108">
        <v>38.392918585483301</v>
      </c>
      <c r="H108">
        <v>27.927039066816999</v>
      </c>
      <c r="I108">
        <v>33.880532466768798</v>
      </c>
      <c r="J108">
        <v>50.289238118724697</v>
      </c>
      <c r="K108">
        <v>42.7980143074398</v>
      </c>
      <c r="L108">
        <v>37.200371619414298</v>
      </c>
      <c r="M108">
        <v>39.816851302288001</v>
      </c>
      <c r="N108">
        <v>46.1128336408051</v>
      </c>
      <c r="O108">
        <v>53.3164834648164</v>
      </c>
      <c r="P108">
        <v>51.039454075835799</v>
      </c>
      <c r="Q108">
        <v>48.155001570946297</v>
      </c>
      <c r="R108">
        <v>52.891293555566698</v>
      </c>
      <c r="S108">
        <v>38.854853146545999</v>
      </c>
      <c r="T108">
        <v>48.190606929004801</v>
      </c>
      <c r="U108">
        <v>58.368929580833303</v>
      </c>
      <c r="V108">
        <v>57.412963730467403</v>
      </c>
      <c r="W108">
        <v>55.5579394462588</v>
      </c>
      <c r="X108">
        <v>53.239569150435997</v>
      </c>
      <c r="Y108">
        <v>36.4482994431389</v>
      </c>
      <c r="Z108">
        <v>31.673210619504399</v>
      </c>
      <c r="AA108">
        <v>36.009090824560801</v>
      </c>
      <c r="AB108">
        <v>44.049067135429802</v>
      </c>
      <c r="AC108">
        <v>38.655347311501799</v>
      </c>
      <c r="AD108">
        <v>27.581689139001899</v>
      </c>
      <c r="AE108" t="s">
        <v>34</v>
      </c>
      <c r="AF108">
        <f t="shared" si="2"/>
        <v>43.239425821643906</v>
      </c>
      <c r="AG108">
        <v>1</v>
      </c>
    </row>
    <row r="109" spans="1:33" x14ac:dyDescent="0.3">
      <c r="A109" t="s">
        <v>493</v>
      </c>
      <c r="B109" s="1" t="s">
        <v>494</v>
      </c>
      <c r="C109" t="s">
        <v>248</v>
      </c>
      <c r="D109" s="1" t="s">
        <v>249</v>
      </c>
      <c r="E109">
        <v>0.31522046396522002</v>
      </c>
      <c r="F109">
        <v>0.40065564219821498</v>
      </c>
      <c r="G109">
        <v>0.393096429371806</v>
      </c>
      <c r="H109">
        <v>9.1713922237507003E-2</v>
      </c>
      <c r="I109">
        <v>0.34630164542650599</v>
      </c>
      <c r="J109">
        <v>0.90016352976230896</v>
      </c>
      <c r="K109">
        <v>0.58973623755023197</v>
      </c>
      <c r="L109">
        <v>0.44596936919625302</v>
      </c>
      <c r="M109">
        <v>0.39856092492599099</v>
      </c>
      <c r="N109">
        <v>0.47511465106012102</v>
      </c>
      <c r="O109">
        <v>0.900674260856272</v>
      </c>
      <c r="P109">
        <v>0.901919856447568</v>
      </c>
      <c r="Q109">
        <v>0.372572936622736</v>
      </c>
      <c r="R109">
        <v>0.41978569671788102</v>
      </c>
      <c r="S109">
        <v>0.24038253742153901</v>
      </c>
      <c r="T109">
        <v>0.29398287615928897</v>
      </c>
      <c r="U109">
        <v>0.38666488261406401</v>
      </c>
      <c r="V109">
        <v>0.35881790897142302</v>
      </c>
      <c r="W109">
        <v>0.30854839571440601</v>
      </c>
      <c r="X109">
        <v>0.29080818847906598</v>
      </c>
      <c r="Y109">
        <v>3.5056120577002602E-2</v>
      </c>
      <c r="Z109">
        <v>5.2474899373549898E-2</v>
      </c>
      <c r="AA109">
        <v>9.25684065781225E-2</v>
      </c>
      <c r="AB109">
        <v>0.13468203718974101</v>
      </c>
      <c r="AC109">
        <v>0.103713879600644</v>
      </c>
      <c r="AD109">
        <v>5.1487123091180698E-2</v>
      </c>
      <c r="AE109">
        <v>8.2429657035669804E-2</v>
      </c>
      <c r="AF109">
        <f t="shared" si="2"/>
        <v>0.34752231404238204</v>
      </c>
      <c r="AG109">
        <v>0</v>
      </c>
    </row>
    <row r="110" spans="1:33" x14ac:dyDescent="0.3">
      <c r="A110" t="s">
        <v>493</v>
      </c>
      <c r="B110" s="1" t="s">
        <v>494</v>
      </c>
      <c r="C110" t="s">
        <v>250</v>
      </c>
      <c r="D110" s="1" t="s">
        <v>251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f t="shared" si="2"/>
        <v>0</v>
      </c>
      <c r="AG110">
        <v>0</v>
      </c>
    </row>
    <row r="111" spans="1:33" x14ac:dyDescent="0.3">
      <c r="A111" t="s">
        <v>493</v>
      </c>
      <c r="B111" s="1" t="s">
        <v>494</v>
      </c>
      <c r="C111" t="s">
        <v>252</v>
      </c>
      <c r="D111" s="1" t="s">
        <v>253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1.03677175607095E-2</v>
      </c>
      <c r="O111">
        <v>1.95425675565115E-2</v>
      </c>
      <c r="P111">
        <v>1.77881524248426E-2</v>
      </c>
      <c r="Q111">
        <v>2.2766876586720702E-2</v>
      </c>
      <c r="R111">
        <v>5.2576754766430901E-2</v>
      </c>
      <c r="S111">
        <v>5.1168618578856198E-2</v>
      </c>
      <c r="T111">
        <v>6.3816194831814096E-2</v>
      </c>
      <c r="U111">
        <v>9.5178623083451305E-2</v>
      </c>
      <c r="V111">
        <v>0.13767537224807799</v>
      </c>
      <c r="W111">
        <v>8.9616535448356099E-2</v>
      </c>
      <c r="X111">
        <v>8.9108278557931395E-2</v>
      </c>
      <c r="Y111">
        <v>3.4582440429826902E-2</v>
      </c>
      <c r="Z111">
        <v>1.9091673943790601E-2</v>
      </c>
      <c r="AA111">
        <v>3.6360085832959001E-2</v>
      </c>
      <c r="AB111">
        <v>7.9536907990876204E-2</v>
      </c>
      <c r="AC111">
        <v>5.9368195434784103E-2</v>
      </c>
      <c r="AD111">
        <v>3.1423559299933901E-2</v>
      </c>
      <c r="AE111">
        <v>6.5399401860005202E-2</v>
      </c>
      <c r="AF111">
        <f t="shared" si="2"/>
        <v>3.6124739127254751E-2</v>
      </c>
      <c r="AG111">
        <v>0</v>
      </c>
    </row>
    <row r="112" spans="1:33" x14ac:dyDescent="0.3">
      <c r="A112" t="s">
        <v>493</v>
      </c>
      <c r="B112" s="1" t="s">
        <v>494</v>
      </c>
      <c r="C112" t="s">
        <v>254</v>
      </c>
      <c r="D112" s="1" t="s">
        <v>255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f t="shared" si="2"/>
        <v>0</v>
      </c>
      <c r="AG112">
        <v>0</v>
      </c>
    </row>
    <row r="113" spans="1:33" x14ac:dyDescent="0.3">
      <c r="A113" t="s">
        <v>493</v>
      </c>
      <c r="B113" s="1" t="s">
        <v>494</v>
      </c>
      <c r="C113" t="s">
        <v>256</v>
      </c>
      <c r="D113" s="1" t="s">
        <v>257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f t="shared" si="2"/>
        <v>0</v>
      </c>
      <c r="AG113">
        <v>0</v>
      </c>
    </row>
    <row r="114" spans="1:33" x14ac:dyDescent="0.3">
      <c r="A114" t="s">
        <v>493</v>
      </c>
      <c r="B114" s="1" t="s">
        <v>494</v>
      </c>
      <c r="C114" t="s">
        <v>258</v>
      </c>
      <c r="D114" s="1" t="s">
        <v>259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f t="shared" ref="AF114:AF145" si="3">IFERROR(AVERAGE(E114:AE114),"NA")</f>
        <v>0</v>
      </c>
      <c r="AG114">
        <v>0</v>
      </c>
    </row>
    <row r="115" spans="1:33" x14ac:dyDescent="0.3">
      <c r="A115" t="s">
        <v>493</v>
      </c>
      <c r="B115" s="1" t="s">
        <v>494</v>
      </c>
      <c r="C115" s="7" t="s">
        <v>260</v>
      </c>
      <c r="D115" s="1" t="s">
        <v>261</v>
      </c>
      <c r="E115">
        <v>26.776455072760101</v>
      </c>
      <c r="F115">
        <v>31.0343606030664</v>
      </c>
      <c r="G115">
        <v>26.3375156857295</v>
      </c>
      <c r="H115">
        <v>17.8086785928772</v>
      </c>
      <c r="I115">
        <v>19.697846835725201</v>
      </c>
      <c r="J115">
        <v>33.585283899761798</v>
      </c>
      <c r="K115">
        <v>29.491488045803099</v>
      </c>
      <c r="L115">
        <v>48.382292874060198</v>
      </c>
      <c r="M115">
        <v>47.842162156194199</v>
      </c>
      <c r="N115">
        <v>54.786951967977103</v>
      </c>
      <c r="O115">
        <v>61.017173810283602</v>
      </c>
      <c r="P115">
        <v>60.929574129003498</v>
      </c>
      <c r="Q115">
        <v>59.929283014471899</v>
      </c>
      <c r="R115">
        <v>64.816436299556898</v>
      </c>
      <c r="S115">
        <v>49.912282998105297</v>
      </c>
      <c r="T115">
        <v>54.526429982548002</v>
      </c>
      <c r="U115">
        <v>36.330555973444099</v>
      </c>
      <c r="V115">
        <v>57.630093504639397</v>
      </c>
      <c r="W115">
        <v>45.801613705165103</v>
      </c>
      <c r="X115">
        <v>28.6305298163822</v>
      </c>
      <c r="Y115">
        <v>14.4264442000075</v>
      </c>
      <c r="Z115">
        <v>10.793141766628599</v>
      </c>
      <c r="AA115">
        <v>20.946616750479901</v>
      </c>
      <c r="AB115">
        <v>30.034529843881302</v>
      </c>
      <c r="AC115">
        <v>32.751562309383097</v>
      </c>
      <c r="AD115">
        <v>9.24399152945122</v>
      </c>
      <c r="AE115">
        <v>56.3779371892049</v>
      </c>
      <c r="AF115">
        <f t="shared" si="3"/>
        <v>38.142267872466348</v>
      </c>
      <c r="AG115">
        <v>1</v>
      </c>
    </row>
    <row r="116" spans="1:33" x14ac:dyDescent="0.3">
      <c r="A116" t="s">
        <v>493</v>
      </c>
      <c r="B116" s="1" t="s">
        <v>494</v>
      </c>
      <c r="C116" t="s">
        <v>262</v>
      </c>
      <c r="D116" s="1" t="s">
        <v>263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  <c r="AD116" t="s">
        <v>34</v>
      </c>
      <c r="AE116" t="s">
        <v>34</v>
      </c>
      <c r="AF116" t="str">
        <f t="shared" si="3"/>
        <v>NA</v>
      </c>
      <c r="AG116">
        <v>0</v>
      </c>
    </row>
    <row r="117" spans="1:33" x14ac:dyDescent="0.3">
      <c r="A117" t="s">
        <v>493</v>
      </c>
      <c r="B117" s="1" t="s">
        <v>494</v>
      </c>
      <c r="C117" t="s">
        <v>264</v>
      </c>
      <c r="D117" s="1" t="s">
        <v>265</v>
      </c>
      <c r="E117">
        <v>9.0622373869319497E-2</v>
      </c>
      <c r="F117">
        <v>0.14514393938084999</v>
      </c>
      <c r="G117">
        <v>0.13519422993800201</v>
      </c>
      <c r="H117">
        <v>4.9179324033604997E-2</v>
      </c>
      <c r="I117">
        <v>0.124753394103413</v>
      </c>
      <c r="J117">
        <v>0.35037440302005601</v>
      </c>
      <c r="K117">
        <v>0.35695438345665897</v>
      </c>
      <c r="L117">
        <v>0.29824565469012498</v>
      </c>
      <c r="M117">
        <v>0.23628517921091799</v>
      </c>
      <c r="N117">
        <v>0.213297786959526</v>
      </c>
      <c r="O117">
        <v>0.19903552053565299</v>
      </c>
      <c r="P117">
        <v>0.163827335648741</v>
      </c>
      <c r="Q117">
        <v>0.111123246183541</v>
      </c>
      <c r="R117">
        <v>0.120394867137278</v>
      </c>
      <c r="S117">
        <v>7.1572890499175298E-2</v>
      </c>
      <c r="T117">
        <v>8.0374399786143594E-2</v>
      </c>
      <c r="U117">
        <v>0.11161981453278801</v>
      </c>
      <c r="V117">
        <v>9.7471512885994302E-2</v>
      </c>
      <c r="W117">
        <v>7.3934910505591506E-2</v>
      </c>
      <c r="X117">
        <v>6.2423515005251902E-2</v>
      </c>
      <c r="Y117">
        <v>2.8369813462493999E-2</v>
      </c>
      <c r="Z117">
        <v>1.8135231855762698E-2</v>
      </c>
      <c r="AA117">
        <v>2.27232483962868E-2</v>
      </c>
      <c r="AB117">
        <v>2.6789829770484799E-2</v>
      </c>
      <c r="AC117">
        <v>1.6874439386732599E-2</v>
      </c>
      <c r="AD117">
        <v>8.4436111860400394E-3</v>
      </c>
      <c r="AE117">
        <v>1.5948543146471001E-2</v>
      </c>
      <c r="AF117">
        <f t="shared" si="3"/>
        <v>0.11959679254025568</v>
      </c>
      <c r="AG117">
        <v>0</v>
      </c>
    </row>
    <row r="118" spans="1:33" x14ac:dyDescent="0.3">
      <c r="A118" t="s">
        <v>493</v>
      </c>
      <c r="B118" s="1" t="s">
        <v>494</v>
      </c>
      <c r="C118" t="s">
        <v>266</v>
      </c>
      <c r="D118" s="1" t="s">
        <v>267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f t="shared" si="3"/>
        <v>0</v>
      </c>
      <c r="AG118">
        <v>0</v>
      </c>
    </row>
    <row r="119" spans="1:33" x14ac:dyDescent="0.3">
      <c r="A119" t="s">
        <v>493</v>
      </c>
      <c r="B119" s="1" t="s">
        <v>494</v>
      </c>
      <c r="C119" t="s">
        <v>268</v>
      </c>
      <c r="D119" s="1" t="s">
        <v>269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f t="shared" si="3"/>
        <v>0</v>
      </c>
      <c r="AG119">
        <v>0</v>
      </c>
    </row>
    <row r="120" spans="1:33" x14ac:dyDescent="0.3">
      <c r="A120" t="s">
        <v>493</v>
      </c>
      <c r="B120" s="1" t="s">
        <v>494</v>
      </c>
      <c r="C120" t="s">
        <v>270</v>
      </c>
      <c r="D120" s="1" t="s">
        <v>271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8.6283121241583202E-2</v>
      </c>
      <c r="Y120">
        <v>6.5733337532038999E-2</v>
      </c>
      <c r="Z120">
        <v>5.8311086080068998E-2</v>
      </c>
      <c r="AA120">
        <v>9.5525436250641499E-2</v>
      </c>
      <c r="AB120">
        <v>0.129091659780245</v>
      </c>
      <c r="AC120">
        <v>9.3270905586300107E-2</v>
      </c>
      <c r="AD120">
        <v>4.9486818294872899E-2</v>
      </c>
      <c r="AE120">
        <v>8.38298700394072E-2</v>
      </c>
      <c r="AF120">
        <f t="shared" si="3"/>
        <v>2.4501193881672514E-2</v>
      </c>
      <c r="AG120">
        <v>0</v>
      </c>
    </row>
    <row r="121" spans="1:33" x14ac:dyDescent="0.3">
      <c r="A121" t="s">
        <v>493</v>
      </c>
      <c r="B121" s="1" t="s">
        <v>494</v>
      </c>
      <c r="C121" t="s">
        <v>272</v>
      </c>
      <c r="D121" s="1" t="s">
        <v>273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8.0788160358549202E-2</v>
      </c>
      <c r="K121">
        <v>5.9897161204551901E-2</v>
      </c>
      <c r="L121">
        <v>3.1063099081226699E-2</v>
      </c>
      <c r="M121">
        <v>3.4419361967294698E-2</v>
      </c>
      <c r="N121">
        <v>4.5294264831849798E-2</v>
      </c>
      <c r="O121">
        <v>6.8517950360744095E-2</v>
      </c>
      <c r="P121">
        <v>7.4860312428238707E-2</v>
      </c>
      <c r="Q121">
        <v>7.8719578276897698E-2</v>
      </c>
      <c r="R121">
        <v>9.12165620723904E-2</v>
      </c>
      <c r="S121">
        <v>3.7387873478739501E-2</v>
      </c>
      <c r="T121">
        <v>8.2356686655321906E-2</v>
      </c>
      <c r="U121">
        <v>0.112587609355475</v>
      </c>
      <c r="V121">
        <v>0.144130794366265</v>
      </c>
      <c r="W121">
        <v>0.14097541577724501</v>
      </c>
      <c r="X121">
        <v>0.101801477666212</v>
      </c>
      <c r="Y121">
        <v>4.2157256981181203E-2</v>
      </c>
      <c r="Z121">
        <v>5.4402913787233401E-2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f t="shared" si="3"/>
        <v>4.7428758468496895E-2</v>
      </c>
      <c r="AG121">
        <v>0</v>
      </c>
    </row>
    <row r="122" spans="1:33" x14ac:dyDescent="0.3">
      <c r="A122" t="s">
        <v>493</v>
      </c>
      <c r="B122" s="1" t="s">
        <v>494</v>
      </c>
      <c r="C122" t="s">
        <v>274</v>
      </c>
      <c r="D122" s="1" t="s">
        <v>275</v>
      </c>
      <c r="E122">
        <v>3.1711611094130201</v>
      </c>
      <c r="F122">
        <v>3.5641034023554701</v>
      </c>
      <c r="G122">
        <v>3.0902555525409499</v>
      </c>
      <c r="H122">
        <v>2.0250566884991001</v>
      </c>
      <c r="I122">
        <v>3.0853808811935299</v>
      </c>
      <c r="J122">
        <v>5.0030527184563702</v>
      </c>
      <c r="K122">
        <v>3.8061219171130798</v>
      </c>
      <c r="L122">
        <v>3.7943040184146999</v>
      </c>
      <c r="M122">
        <v>4.2364066664589597</v>
      </c>
      <c r="N122">
        <v>5.6113753021941601</v>
      </c>
      <c r="O122">
        <v>7.0894406279399096</v>
      </c>
      <c r="P122">
        <v>7.0188270940270403</v>
      </c>
      <c r="Q122">
        <v>5.8956611916629296</v>
      </c>
      <c r="R122">
        <v>7.1261146750354198</v>
      </c>
      <c r="S122">
        <v>3.9290131252617502</v>
      </c>
      <c r="T122">
        <v>4.6350198836674297</v>
      </c>
      <c r="U122">
        <v>5.4816916116785199</v>
      </c>
      <c r="V122">
        <v>4.8995775760097704</v>
      </c>
      <c r="W122">
        <v>4.3470595902254399</v>
      </c>
      <c r="X122">
        <v>3.8554315355273601</v>
      </c>
      <c r="Y122">
        <v>1.8652895644302401</v>
      </c>
      <c r="Z122">
        <v>1.5297271888571999</v>
      </c>
      <c r="AA122">
        <v>2.0791129706725302</v>
      </c>
      <c r="AB122">
        <v>2.7132959901921101</v>
      </c>
      <c r="AC122">
        <v>1.8302022223843499</v>
      </c>
      <c r="AD122">
        <v>0.68556364905384803</v>
      </c>
      <c r="AE122">
        <v>1.8456118530196799</v>
      </c>
      <c r="AF122">
        <f t="shared" si="3"/>
        <v>3.8597725409735126</v>
      </c>
      <c r="AG122">
        <v>0</v>
      </c>
    </row>
    <row r="123" spans="1:33" x14ac:dyDescent="0.3">
      <c r="A123" t="s">
        <v>493</v>
      </c>
      <c r="B123" s="1" t="s">
        <v>494</v>
      </c>
      <c r="C123" t="s">
        <v>276</v>
      </c>
      <c r="D123" s="1" t="s">
        <v>277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f t="shared" si="3"/>
        <v>0</v>
      </c>
      <c r="AG123">
        <v>0</v>
      </c>
    </row>
    <row r="124" spans="1:33" x14ac:dyDescent="0.3">
      <c r="A124" t="s">
        <v>493</v>
      </c>
      <c r="B124" s="1" t="s">
        <v>494</v>
      </c>
      <c r="C124" t="s">
        <v>278</v>
      </c>
      <c r="D124" s="1" t="s">
        <v>279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f t="shared" si="3"/>
        <v>0</v>
      </c>
      <c r="AG124">
        <v>0</v>
      </c>
    </row>
    <row r="125" spans="1:33" x14ac:dyDescent="0.3">
      <c r="A125" t="s">
        <v>493</v>
      </c>
      <c r="B125" s="1" t="s">
        <v>494</v>
      </c>
      <c r="C125" t="s">
        <v>280</v>
      </c>
      <c r="D125" s="1" t="s">
        <v>281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1.0736353167173199E-2</v>
      </c>
      <c r="P125">
        <v>1.2132867549481501E-2</v>
      </c>
      <c r="Q125">
        <v>5.6509041515729001E-3</v>
      </c>
      <c r="R125">
        <v>6.7133791839848796E-3</v>
      </c>
      <c r="S125">
        <v>4.1791563907397702E-3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f t="shared" si="3"/>
        <v>1.4597281645537872E-3</v>
      </c>
      <c r="AG125">
        <v>0</v>
      </c>
    </row>
    <row r="126" spans="1:33" x14ac:dyDescent="0.3">
      <c r="A126" t="s">
        <v>493</v>
      </c>
      <c r="B126" s="1" t="s">
        <v>494</v>
      </c>
      <c r="C126" t="s">
        <v>282</v>
      </c>
      <c r="D126" s="1" t="s">
        <v>283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34</v>
      </c>
      <c r="AA126" t="s">
        <v>34</v>
      </c>
      <c r="AB126" t="s">
        <v>34</v>
      </c>
      <c r="AC126" t="s">
        <v>34</v>
      </c>
      <c r="AD126" t="s">
        <v>34</v>
      </c>
      <c r="AE126" t="s">
        <v>34</v>
      </c>
      <c r="AF126" t="str">
        <f t="shared" si="3"/>
        <v>NA</v>
      </c>
      <c r="AG126">
        <v>0</v>
      </c>
    </row>
    <row r="127" spans="1:33" x14ac:dyDescent="0.3">
      <c r="A127" t="s">
        <v>493</v>
      </c>
      <c r="B127" s="1" t="s">
        <v>494</v>
      </c>
      <c r="C127" t="s">
        <v>284</v>
      </c>
      <c r="D127" s="1" t="s">
        <v>285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11.4339025984773</v>
      </c>
      <c r="Q127">
        <v>5.9449022143255297</v>
      </c>
      <c r="R127">
        <v>5.46163646578312</v>
      </c>
      <c r="S127">
        <v>2.6589818501952101</v>
      </c>
      <c r="T127">
        <v>2.4304451198291099</v>
      </c>
      <c r="U127">
        <v>2.8048950895573599</v>
      </c>
      <c r="V127">
        <v>2.3492105400308598</v>
      </c>
      <c r="W127">
        <v>1.92187619455113</v>
      </c>
      <c r="X127">
        <v>1.48326200444495</v>
      </c>
      <c r="Y127">
        <v>0.51381983762170502</v>
      </c>
      <c r="Z127">
        <v>0.40754488853805698</v>
      </c>
      <c r="AA127">
        <v>0.541318938190263</v>
      </c>
      <c r="AB127">
        <v>0</v>
      </c>
      <c r="AC127">
        <v>0</v>
      </c>
      <c r="AD127">
        <v>0</v>
      </c>
      <c r="AE127">
        <v>0</v>
      </c>
      <c r="AF127">
        <f t="shared" si="3"/>
        <v>1.4056220645016515</v>
      </c>
      <c r="AG127">
        <v>0</v>
      </c>
    </row>
    <row r="128" spans="1:33" x14ac:dyDescent="0.3">
      <c r="A128" t="s">
        <v>493</v>
      </c>
      <c r="B128" s="1" t="s">
        <v>494</v>
      </c>
      <c r="C128" t="s">
        <v>286</v>
      </c>
      <c r="D128" s="1" t="s">
        <v>287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9.0587863438550006E-2</v>
      </c>
      <c r="U128">
        <v>0.10930342094524299</v>
      </c>
      <c r="V128">
        <v>9.3025371991319994E-2</v>
      </c>
      <c r="W128">
        <v>7.5948511699122007E-2</v>
      </c>
      <c r="X128">
        <v>8.2307165577876804E-2</v>
      </c>
      <c r="Y128">
        <v>2.68410183705881E-2</v>
      </c>
      <c r="Z128">
        <v>2.3469089104975902E-2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f t="shared" si="3"/>
        <v>1.8573423745469473E-2</v>
      </c>
      <c r="AG128">
        <v>0</v>
      </c>
    </row>
    <row r="129" spans="1:33" x14ac:dyDescent="0.3">
      <c r="A129" t="s">
        <v>493</v>
      </c>
      <c r="B129" s="1" t="s">
        <v>494</v>
      </c>
      <c r="C129" t="s">
        <v>288</v>
      </c>
      <c r="D129" s="1" t="s">
        <v>289</v>
      </c>
      <c r="E129">
        <v>3.18458587486466</v>
      </c>
      <c r="F129">
        <v>3.7205934274697299</v>
      </c>
      <c r="G129">
        <v>2.8431285775368198</v>
      </c>
      <c r="H129">
        <v>1.4676713999008499</v>
      </c>
      <c r="I129">
        <v>2.1311082380075002</v>
      </c>
      <c r="J129">
        <v>3.33837327328532</v>
      </c>
      <c r="K129">
        <v>2.3926577830978601</v>
      </c>
      <c r="L129">
        <v>2.5612310795028601</v>
      </c>
      <c r="M129">
        <v>3.1725015637449201</v>
      </c>
      <c r="N129">
        <v>3.9131154934569699</v>
      </c>
      <c r="O129">
        <v>5.1985463622717596</v>
      </c>
      <c r="P129">
        <v>5.5380025787238898</v>
      </c>
      <c r="Q129">
        <v>5.0808405496298104</v>
      </c>
      <c r="R129">
        <v>6.0443656226573701</v>
      </c>
      <c r="S129">
        <v>3.4360440449131602</v>
      </c>
      <c r="T129">
        <v>4.0853189393578999</v>
      </c>
      <c r="U129">
        <v>5.7299079307168101</v>
      </c>
      <c r="V129">
        <v>5.4026541507458896</v>
      </c>
      <c r="W129">
        <v>4.5950845390310304</v>
      </c>
      <c r="X129">
        <v>3.9014361869158001</v>
      </c>
      <c r="Y129">
        <v>1.5460733913893601</v>
      </c>
      <c r="Z129">
        <v>1.2371953159720099</v>
      </c>
      <c r="AA129">
        <v>1.55624412694841</v>
      </c>
      <c r="AB129">
        <v>2.2073515018989802</v>
      </c>
      <c r="AC129">
        <v>1.58229584530394</v>
      </c>
      <c r="AD129">
        <v>0.86738455462008901</v>
      </c>
      <c r="AE129">
        <v>2.0659437471981601</v>
      </c>
      <c r="AF129">
        <f t="shared" si="3"/>
        <v>3.2888761518208103</v>
      </c>
      <c r="AG129">
        <v>0</v>
      </c>
    </row>
    <row r="130" spans="1:33" x14ac:dyDescent="0.3">
      <c r="A130" t="s">
        <v>493</v>
      </c>
      <c r="B130" s="1" t="s">
        <v>494</v>
      </c>
      <c r="C130" t="s">
        <v>290</v>
      </c>
      <c r="D130" s="1" t="s">
        <v>291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  <c r="AD130" t="s">
        <v>34</v>
      </c>
      <c r="AE130" t="s">
        <v>34</v>
      </c>
      <c r="AF130" t="str">
        <f t="shared" si="3"/>
        <v>NA</v>
      </c>
      <c r="AG130">
        <v>0</v>
      </c>
    </row>
    <row r="131" spans="1:33" x14ac:dyDescent="0.3">
      <c r="A131" t="s">
        <v>493</v>
      </c>
      <c r="B131" s="1" t="s">
        <v>494</v>
      </c>
      <c r="C131" t="s">
        <v>292</v>
      </c>
      <c r="D131" s="1" t="s">
        <v>293</v>
      </c>
      <c r="E131">
        <v>1.9860240669932201E-2</v>
      </c>
      <c r="F131">
        <v>2.7368035018493001E-2</v>
      </c>
      <c r="G131">
        <v>1.7819529181518499E-2</v>
      </c>
      <c r="H131">
        <v>5.9528029594244497E-3</v>
      </c>
      <c r="I131">
        <v>2.45114225787651E-2</v>
      </c>
      <c r="J131">
        <v>4.62293945531825E-2</v>
      </c>
      <c r="K131">
        <v>2.7932952617252E-2</v>
      </c>
      <c r="L131">
        <v>2.46158649690204E-2</v>
      </c>
      <c r="M131">
        <v>2.3068303018443401E-2</v>
      </c>
      <c r="N131">
        <v>2.24885889043192E-2</v>
      </c>
      <c r="O131">
        <v>3.7572958570616502E-2</v>
      </c>
      <c r="P131">
        <v>2.9815059880219302E-2</v>
      </c>
      <c r="Q131">
        <v>5.1933177181205201E-2</v>
      </c>
      <c r="R131">
        <v>0.104253032464958</v>
      </c>
      <c r="S131">
        <v>7.0903920317202801E-2</v>
      </c>
      <c r="T131">
        <v>4.1012146440082699E-2</v>
      </c>
      <c r="U131">
        <v>6.5815104007029196E-2</v>
      </c>
      <c r="V131">
        <v>5.2012165156408802E-2</v>
      </c>
      <c r="W131">
        <v>3.9892211713842302E-2</v>
      </c>
      <c r="X131">
        <v>2.99660461211061E-2</v>
      </c>
      <c r="Y131">
        <v>1.36446165022722E-2</v>
      </c>
      <c r="Z131">
        <v>8.6219649039266603E-3</v>
      </c>
      <c r="AA131">
        <v>9.2364999527787504E-3</v>
      </c>
      <c r="AB131">
        <v>1.2763579863878501E-2</v>
      </c>
      <c r="AC131">
        <v>1.02511321031361E-2</v>
      </c>
      <c r="AD131">
        <v>6.1908936452655904E-3</v>
      </c>
      <c r="AE131">
        <v>1.17069637364196E-2</v>
      </c>
      <c r="AF131">
        <f t="shared" si="3"/>
        <v>3.0942170630766631E-2</v>
      </c>
      <c r="AG131">
        <v>0</v>
      </c>
    </row>
    <row r="132" spans="1:33" x14ac:dyDescent="0.3">
      <c r="A132" t="s">
        <v>493</v>
      </c>
      <c r="B132" s="1" t="s">
        <v>494</v>
      </c>
      <c r="C132" t="s">
        <v>294</v>
      </c>
      <c r="D132" s="1" t="s">
        <v>295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34</v>
      </c>
      <c r="AA132" t="s">
        <v>34</v>
      </c>
      <c r="AB132" t="s">
        <v>34</v>
      </c>
      <c r="AC132" t="s">
        <v>34</v>
      </c>
      <c r="AD132" t="s">
        <v>34</v>
      </c>
      <c r="AE132" t="s">
        <v>34</v>
      </c>
      <c r="AF132" t="str">
        <f t="shared" si="3"/>
        <v>NA</v>
      </c>
      <c r="AG132">
        <v>0</v>
      </c>
    </row>
    <row r="133" spans="1:33" x14ac:dyDescent="0.3">
      <c r="A133" t="s">
        <v>493</v>
      </c>
      <c r="B133" s="1" t="s">
        <v>494</v>
      </c>
      <c r="C133" t="s">
        <v>296</v>
      </c>
      <c r="D133" s="1" t="s">
        <v>297</v>
      </c>
      <c r="E133">
        <v>0</v>
      </c>
      <c r="F133">
        <v>0</v>
      </c>
      <c r="G133">
        <v>0</v>
      </c>
      <c r="H133">
        <v>1.8053944447316901E-2</v>
      </c>
      <c r="I133">
        <v>6.9922322154067101E-2</v>
      </c>
      <c r="J133">
        <v>0.11940765494059601</v>
      </c>
      <c r="K133">
        <v>8.5125703419528895E-2</v>
      </c>
      <c r="L133">
        <v>0.148943183083729</v>
      </c>
      <c r="M133">
        <v>0.19682682244514399</v>
      </c>
      <c r="N133">
        <v>0.27118801977138102</v>
      </c>
      <c r="O133">
        <v>0.30515674781983099</v>
      </c>
      <c r="P133">
        <v>0.49897437902860198</v>
      </c>
      <c r="Q133">
        <v>0.91831320898542601</v>
      </c>
      <c r="R133">
        <v>1.3677443197846899</v>
      </c>
      <c r="S133">
        <v>1.34708748725095</v>
      </c>
      <c r="T133">
        <v>1.5172806352624399</v>
      </c>
      <c r="U133">
        <v>1.9213122714038899</v>
      </c>
      <c r="V133">
        <v>2.1298823237664402</v>
      </c>
      <c r="W133">
        <v>2.7278590828164</v>
      </c>
      <c r="X133">
        <v>3.6358489199923301</v>
      </c>
      <c r="Y133">
        <v>1.7165782379001899</v>
      </c>
      <c r="Z133">
        <v>1.44692568738784</v>
      </c>
      <c r="AA133">
        <v>1.7498207808030399</v>
      </c>
      <c r="AB133">
        <v>2.2257406534870201</v>
      </c>
      <c r="AC133">
        <v>1.4439172194730101</v>
      </c>
      <c r="AD133">
        <v>0.56777492110316097</v>
      </c>
      <c r="AE133">
        <v>1.49715573696848</v>
      </c>
      <c r="AF133">
        <f t="shared" si="3"/>
        <v>1.0343274171665</v>
      </c>
      <c r="AG133">
        <v>0</v>
      </c>
    </row>
    <row r="134" spans="1:33" x14ac:dyDescent="0.3">
      <c r="A134" t="s">
        <v>493</v>
      </c>
      <c r="B134" s="1" t="s">
        <v>494</v>
      </c>
      <c r="C134" t="s">
        <v>298</v>
      </c>
      <c r="D134" s="1" t="s">
        <v>299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f t="shared" si="3"/>
        <v>0</v>
      </c>
      <c r="AG134">
        <v>0</v>
      </c>
    </row>
    <row r="135" spans="1:33" x14ac:dyDescent="0.3">
      <c r="A135" t="s">
        <v>493</v>
      </c>
      <c r="B135" s="1" t="s">
        <v>494</v>
      </c>
      <c r="C135" t="s">
        <v>300</v>
      </c>
      <c r="D135" s="1" t="s">
        <v>301</v>
      </c>
      <c r="E135">
        <v>1.3097799250287501E-3</v>
      </c>
      <c r="F135">
        <v>1.48310457793269E-3</v>
      </c>
      <c r="G135">
        <v>3.5620276937522199E-3</v>
      </c>
      <c r="H135">
        <v>2.0837017807730299E-3</v>
      </c>
      <c r="I135">
        <v>2.9532185556764398E-3</v>
      </c>
      <c r="J135">
        <v>6.3127252230029598E-3</v>
      </c>
      <c r="K135">
        <v>3.8967899367192901E-3</v>
      </c>
      <c r="L135">
        <v>4.8209432798179304E-3</v>
      </c>
      <c r="M135">
        <v>3.5183313822751E-3</v>
      </c>
      <c r="N135">
        <v>4.4767617318117901E-3</v>
      </c>
      <c r="O135">
        <v>4.0207024300055703E-3</v>
      </c>
      <c r="P135">
        <v>6.2368292429595996E-3</v>
      </c>
      <c r="Q135">
        <v>6.4888645629307398E-3</v>
      </c>
      <c r="R135">
        <v>6.1644205483407004E-3</v>
      </c>
      <c r="S135">
        <v>3.2583737265042302E-3</v>
      </c>
      <c r="T135">
        <v>5.4687744644496402E-3</v>
      </c>
      <c r="U135">
        <v>7.2686592110911804E-3</v>
      </c>
      <c r="V135">
        <v>5.28452503464482E-3</v>
      </c>
      <c r="W135">
        <v>5.3581787411086396E-3</v>
      </c>
      <c r="X135">
        <v>2.72007561344937E-3</v>
      </c>
      <c r="Y135">
        <v>1.42730898853635E-3</v>
      </c>
      <c r="Z135">
        <v>1.13281093648473E-3</v>
      </c>
      <c r="AA135">
        <v>1.31078372177982E-3</v>
      </c>
      <c r="AB135">
        <v>1.75486944296997E-3</v>
      </c>
      <c r="AC135">
        <v>1.37237053657597E-3</v>
      </c>
      <c r="AD135">
        <v>8.3957270887058204E-4</v>
      </c>
      <c r="AE135">
        <v>1.01118511153249E-3</v>
      </c>
      <c r="AF135">
        <f t="shared" si="3"/>
        <v>3.538358855889801E-3</v>
      </c>
      <c r="AG135">
        <v>0</v>
      </c>
    </row>
    <row r="136" spans="1:33" x14ac:dyDescent="0.3">
      <c r="A136" t="s">
        <v>493</v>
      </c>
      <c r="B136" s="1" t="s">
        <v>494</v>
      </c>
      <c r="C136" t="s">
        <v>302</v>
      </c>
      <c r="D136" s="1" t="s">
        <v>303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7.84873173881835E-2</v>
      </c>
      <c r="O136">
        <v>0.232148890251788</v>
      </c>
      <c r="P136">
        <v>0.36782081784456999</v>
      </c>
      <c r="Q136">
        <v>0.37173231792704098</v>
      </c>
      <c r="R136">
        <v>0.48128590297878598</v>
      </c>
      <c r="S136">
        <v>7.7844640512786403E-2</v>
      </c>
      <c r="T136">
        <v>0.14400760317542</v>
      </c>
      <c r="U136">
        <v>0.20889229843624099</v>
      </c>
      <c r="V136">
        <v>0.239401568530512</v>
      </c>
      <c r="W136">
        <v>0.26036239376237502</v>
      </c>
      <c r="X136">
        <v>0.114254490571332</v>
      </c>
      <c r="Y136">
        <v>5.0045182177423E-2</v>
      </c>
      <c r="Z136">
        <v>6.3324809264075396E-2</v>
      </c>
      <c r="AA136">
        <v>8.7296092759771293E-2</v>
      </c>
      <c r="AB136">
        <v>0.11025673875252</v>
      </c>
      <c r="AC136">
        <v>8.2143760492350407E-2</v>
      </c>
      <c r="AD136">
        <v>4.7354533765766101E-2</v>
      </c>
      <c r="AE136">
        <v>7.9312566208932803E-2</v>
      </c>
      <c r="AF136">
        <f t="shared" si="3"/>
        <v>0.11466562684443976</v>
      </c>
      <c r="AG136">
        <v>0</v>
      </c>
    </row>
    <row r="137" spans="1:33" x14ac:dyDescent="0.3">
      <c r="A137" t="s">
        <v>493</v>
      </c>
      <c r="B137" s="1" t="s">
        <v>494</v>
      </c>
      <c r="C137" t="s">
        <v>304</v>
      </c>
      <c r="D137" s="1" t="s">
        <v>305</v>
      </c>
      <c r="E137">
        <v>0.78003574050082503</v>
      </c>
      <c r="F137">
        <v>0.71492725969703397</v>
      </c>
      <c r="G137">
        <v>0.68879402613043805</v>
      </c>
      <c r="H137">
        <v>0.48360292752074002</v>
      </c>
      <c r="I137">
        <v>0.62209105270159704</v>
      </c>
      <c r="J137">
        <v>1.3284777052521199</v>
      </c>
      <c r="K137">
        <v>0.978658400478298</v>
      </c>
      <c r="L137">
        <v>1.34949335508262</v>
      </c>
      <c r="M137">
        <v>1.3677409741701501</v>
      </c>
      <c r="N137">
        <v>1.74505333251524</v>
      </c>
      <c r="O137">
        <v>2.9149452851785398</v>
      </c>
      <c r="P137">
        <v>3.19885684353995</v>
      </c>
      <c r="Q137">
        <v>2.3101648355841302</v>
      </c>
      <c r="R137">
        <v>2.1533454537752501</v>
      </c>
      <c r="S137">
        <v>0.71610793071979595</v>
      </c>
      <c r="T137">
        <v>0.97633626148736796</v>
      </c>
      <c r="U137">
        <v>1.00643883600724</v>
      </c>
      <c r="V137">
        <v>0.77152710907977795</v>
      </c>
      <c r="W137">
        <v>0.66109484151368703</v>
      </c>
      <c r="X137">
        <v>0.52893628137695403</v>
      </c>
      <c r="Y137">
        <v>0.14660410233912799</v>
      </c>
      <c r="Z137">
        <v>0.10353084075017301</v>
      </c>
      <c r="AA137">
        <v>0.15234768297787599</v>
      </c>
      <c r="AB137">
        <v>0.15681434683775</v>
      </c>
      <c r="AC137">
        <v>0.101384700071059</v>
      </c>
      <c r="AD137">
        <v>2.59006705691479E-2</v>
      </c>
      <c r="AE137">
        <v>6.2797022786546905E-2</v>
      </c>
      <c r="AF137">
        <f t="shared" si="3"/>
        <v>0.96466695624605325</v>
      </c>
      <c r="AG137">
        <v>0</v>
      </c>
    </row>
    <row r="138" spans="1:33" x14ac:dyDescent="0.3">
      <c r="A138" t="s">
        <v>493</v>
      </c>
      <c r="B138" s="1" t="s">
        <v>494</v>
      </c>
      <c r="C138" t="s">
        <v>306</v>
      </c>
      <c r="D138" s="1" t="s">
        <v>307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f t="shared" si="3"/>
        <v>0</v>
      </c>
      <c r="AG138">
        <v>0</v>
      </c>
    </row>
    <row r="139" spans="1:33" x14ac:dyDescent="0.3">
      <c r="A139" t="s">
        <v>493</v>
      </c>
      <c r="B139" s="1" t="s">
        <v>494</v>
      </c>
      <c r="C139" t="s">
        <v>308</v>
      </c>
      <c r="D139" s="1" t="s">
        <v>309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f t="shared" si="3"/>
        <v>0</v>
      </c>
      <c r="AG139">
        <v>0</v>
      </c>
    </row>
    <row r="140" spans="1:33" x14ac:dyDescent="0.3">
      <c r="A140" t="s">
        <v>493</v>
      </c>
      <c r="B140" s="1" t="s">
        <v>494</v>
      </c>
      <c r="C140" t="s">
        <v>310</v>
      </c>
      <c r="D140" s="1" t="s">
        <v>311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f t="shared" si="3"/>
        <v>0</v>
      </c>
      <c r="AG140">
        <v>0</v>
      </c>
    </row>
    <row r="141" spans="1:33" x14ac:dyDescent="0.3">
      <c r="A141" t="s">
        <v>493</v>
      </c>
      <c r="B141" s="1" t="s">
        <v>494</v>
      </c>
      <c r="C141" t="s">
        <v>312</v>
      </c>
      <c r="D141" s="1" t="s">
        <v>313</v>
      </c>
      <c r="E141">
        <v>3.3702618174493E-2</v>
      </c>
      <c r="F141">
        <v>3.8734451349252401E-2</v>
      </c>
      <c r="G141">
        <v>3.0465526142126099E-2</v>
      </c>
      <c r="H141">
        <v>7.4630304410427404E-3</v>
      </c>
      <c r="I141">
        <v>2.0326907967871101E-2</v>
      </c>
      <c r="J141">
        <v>4.2866170375464301E-2</v>
      </c>
      <c r="K141">
        <v>2.8883590537152198E-2</v>
      </c>
      <c r="L141">
        <v>4.47970205533278E-2</v>
      </c>
      <c r="M141">
        <v>4.44408788956073E-2</v>
      </c>
      <c r="N141">
        <v>4.82013400128872E-2</v>
      </c>
      <c r="O141">
        <v>4.86888872963133E-2</v>
      </c>
      <c r="P141">
        <v>4.7430335353458503E-2</v>
      </c>
      <c r="Q141">
        <v>6.95823476637214E-2</v>
      </c>
      <c r="R141">
        <v>7.6700471662370706E-2</v>
      </c>
      <c r="S141">
        <v>3.42324179411298E-2</v>
      </c>
      <c r="T141">
        <v>3.1329944253353399E-2</v>
      </c>
      <c r="U141">
        <v>5.1302358709940897E-2</v>
      </c>
      <c r="V141">
        <v>5.4433492442750399E-2</v>
      </c>
      <c r="W141">
        <v>4.8923099064556198E-2</v>
      </c>
      <c r="X141">
        <v>6.1056568226485898E-2</v>
      </c>
      <c r="Y141">
        <v>2.77934109206209E-2</v>
      </c>
      <c r="Z141">
        <v>1.4292711631848601E-2</v>
      </c>
      <c r="AA141">
        <v>2.0588459636612499E-2</v>
      </c>
      <c r="AB141">
        <v>2.85323898225818E-2</v>
      </c>
      <c r="AC141">
        <v>2.1176577653047101E-2</v>
      </c>
      <c r="AD141">
        <v>1.1124498789851899E-2</v>
      </c>
      <c r="AE141">
        <v>2.4399192645775E-2</v>
      </c>
      <c r="AF141">
        <f t="shared" si="3"/>
        <v>3.7461803635690467E-2</v>
      </c>
      <c r="AG141">
        <v>0</v>
      </c>
    </row>
    <row r="142" spans="1:33" x14ac:dyDescent="0.3">
      <c r="A142" t="s">
        <v>493</v>
      </c>
      <c r="B142" s="1" t="s">
        <v>494</v>
      </c>
      <c r="C142" t="s">
        <v>314</v>
      </c>
      <c r="D142" s="1" t="s">
        <v>315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f t="shared" si="3"/>
        <v>0</v>
      </c>
      <c r="AG142">
        <v>0</v>
      </c>
    </row>
    <row r="143" spans="1:33" x14ac:dyDescent="0.3">
      <c r="A143" t="s">
        <v>493</v>
      </c>
      <c r="B143" s="1" t="s">
        <v>494</v>
      </c>
      <c r="C143" t="s">
        <v>316</v>
      </c>
      <c r="D143" s="1" t="s">
        <v>317</v>
      </c>
      <c r="E143">
        <v>0.208650223142853</v>
      </c>
      <c r="F143">
        <v>0.31996677793850797</v>
      </c>
      <c r="G143">
        <v>0.38445708195175599</v>
      </c>
      <c r="H143">
        <v>0.169233561075115</v>
      </c>
      <c r="I143">
        <v>0.25812685183940898</v>
      </c>
      <c r="J143">
        <v>0.52002563434626403</v>
      </c>
      <c r="K143">
        <v>0.33350707501364801</v>
      </c>
      <c r="L143">
        <v>0.30399725320892401</v>
      </c>
      <c r="M143">
        <v>0.200234078312301</v>
      </c>
      <c r="N143">
        <v>0.211058993281138</v>
      </c>
      <c r="O143">
        <v>0.27811155218546701</v>
      </c>
      <c r="P143">
        <v>0.27855238834549201</v>
      </c>
      <c r="Q143">
        <v>0.50651457758948104</v>
      </c>
      <c r="R143">
        <v>1.05778347154292</v>
      </c>
      <c r="S143">
        <v>0.54477902448027404</v>
      </c>
      <c r="T143">
        <v>0.66097599030766796</v>
      </c>
      <c r="U143">
        <v>0.77791212195698001</v>
      </c>
      <c r="V143">
        <v>0.60773911345612697</v>
      </c>
      <c r="W143">
        <v>0.45308203585923701</v>
      </c>
      <c r="X143">
        <v>0.427387592230975</v>
      </c>
      <c r="Y143">
        <v>0.196512069556291</v>
      </c>
      <c r="Z143">
        <v>0.12717110647080901</v>
      </c>
      <c r="AA143">
        <v>0.15038633556146899</v>
      </c>
      <c r="AB143">
        <v>0.17443020202545301</v>
      </c>
      <c r="AC143">
        <v>0.12988820598751999</v>
      </c>
      <c r="AD143">
        <v>4.3907740567164399E-2</v>
      </c>
      <c r="AE143">
        <v>0.102256581182383</v>
      </c>
      <c r="AF143">
        <f t="shared" si="3"/>
        <v>0.34913509775613438</v>
      </c>
      <c r="AG143">
        <v>0</v>
      </c>
    </row>
    <row r="144" spans="1:33" x14ac:dyDescent="0.3">
      <c r="A144" t="s">
        <v>493</v>
      </c>
      <c r="B144" s="1" t="s">
        <v>494</v>
      </c>
      <c r="C144" t="s">
        <v>318</v>
      </c>
      <c r="D144" s="1" t="s">
        <v>319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0.24171844324260799</v>
      </c>
      <c r="S144">
        <v>0.13661455998477101</v>
      </c>
      <c r="T144">
        <v>2.5234077077150099E-2</v>
      </c>
      <c r="U144">
        <v>5.1912313838586903E-2</v>
      </c>
      <c r="V144">
        <v>4.62955853539498E-2</v>
      </c>
      <c r="W144">
        <v>4.0474228987049499E-2</v>
      </c>
      <c r="X144">
        <v>3.4099065004829503E-2</v>
      </c>
      <c r="Y144">
        <v>0</v>
      </c>
      <c r="Z144">
        <v>7.6947579467499302E-3</v>
      </c>
      <c r="AA144">
        <v>1.28520280376942E-2</v>
      </c>
      <c r="AB144">
        <v>2.1582422732245199E-2</v>
      </c>
      <c r="AC144">
        <v>1.7863668385129101E-2</v>
      </c>
      <c r="AD144">
        <v>8.4343580954292004E-3</v>
      </c>
      <c r="AE144">
        <v>2.0564553430031898E-2</v>
      </c>
      <c r="AF144">
        <f t="shared" si="3"/>
        <v>2.4642224522823126E-2</v>
      </c>
      <c r="AG144">
        <v>0</v>
      </c>
    </row>
    <row r="145" spans="1:33" x14ac:dyDescent="0.3">
      <c r="A145" t="s">
        <v>493</v>
      </c>
      <c r="B145" s="1" t="s">
        <v>494</v>
      </c>
      <c r="C145" t="s">
        <v>320</v>
      </c>
      <c r="D145" s="1" t="s">
        <v>321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0.89728990109211504</v>
      </c>
      <c r="V145">
        <v>2.6687037220996102</v>
      </c>
      <c r="W145">
        <v>4.2304200208364904</v>
      </c>
      <c r="X145">
        <v>2.7968184181751301</v>
      </c>
      <c r="Y145">
        <v>0.90069467580531004</v>
      </c>
      <c r="Z145">
        <v>0.92091839943984799</v>
      </c>
      <c r="AA145">
        <v>1.2976888735432901</v>
      </c>
      <c r="AB145">
        <v>1.38714615007191</v>
      </c>
      <c r="AC145">
        <v>0.93368394977301405</v>
      </c>
      <c r="AD145">
        <v>0.39373849921662302</v>
      </c>
      <c r="AE145">
        <v>0.62267820553379305</v>
      </c>
      <c r="AF145">
        <f t="shared" si="3"/>
        <v>0.63147336354026418</v>
      </c>
      <c r="AG145">
        <v>0</v>
      </c>
    </row>
    <row r="146" spans="1:33" x14ac:dyDescent="0.3">
      <c r="A146" t="s">
        <v>493</v>
      </c>
      <c r="B146" s="1" t="s">
        <v>494</v>
      </c>
      <c r="C146" t="s">
        <v>322</v>
      </c>
      <c r="D146" s="1" t="s">
        <v>323</v>
      </c>
      <c r="E146">
        <v>16.2953221371822</v>
      </c>
      <c r="F146">
        <v>16.7094356163404</v>
      </c>
      <c r="G146">
        <v>14.538489437452</v>
      </c>
      <c r="H146">
        <v>7.0975965279272604</v>
      </c>
      <c r="I146">
        <v>10.109417791918499</v>
      </c>
      <c r="J146">
        <v>22.049927552403702</v>
      </c>
      <c r="K146">
        <v>15.2354705757222</v>
      </c>
      <c r="L146">
        <v>11.1446404443733</v>
      </c>
      <c r="M146">
        <v>12.1202192108891</v>
      </c>
      <c r="N146">
        <v>14.418348125340801</v>
      </c>
      <c r="O146">
        <v>17.695803965511999</v>
      </c>
      <c r="P146">
        <v>14.880376318821799</v>
      </c>
      <c r="Q146">
        <v>13.834365122842399</v>
      </c>
      <c r="R146">
        <v>15.529944090028</v>
      </c>
      <c r="S146">
        <v>8.6739881885811805</v>
      </c>
      <c r="T146">
        <v>12.0986066267503</v>
      </c>
      <c r="U146">
        <v>15.5113433318503</v>
      </c>
      <c r="V146">
        <v>13.090472713459601</v>
      </c>
      <c r="W146">
        <v>9.8801149966783601</v>
      </c>
      <c r="X146">
        <v>7.0738580847829002</v>
      </c>
      <c r="Y146">
        <v>2.7834515064340799</v>
      </c>
      <c r="Z146">
        <v>2.6842904348844501</v>
      </c>
      <c r="AA146">
        <v>5.4726288230173399</v>
      </c>
      <c r="AB146">
        <v>7.6906815346560302</v>
      </c>
      <c r="AC146">
        <v>6.51475056054778</v>
      </c>
      <c r="AD146">
        <v>3.3124171921251602</v>
      </c>
      <c r="AE146">
        <v>6.2467496900501303</v>
      </c>
      <c r="AF146">
        <f t="shared" ref="AF146:AF177" si="4">IFERROR(AVERAGE(E146:AE146),"NA")</f>
        <v>11.210841133354492</v>
      </c>
      <c r="AG146">
        <v>0</v>
      </c>
    </row>
    <row r="147" spans="1:33" x14ac:dyDescent="0.3">
      <c r="A147" t="s">
        <v>493</v>
      </c>
      <c r="B147" s="1" t="s">
        <v>494</v>
      </c>
      <c r="C147" t="s">
        <v>324</v>
      </c>
      <c r="D147" s="1" t="s">
        <v>325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8.4809264073617604E-3</v>
      </c>
      <c r="R147">
        <v>2.1136756246600999E-3</v>
      </c>
      <c r="S147">
        <v>1.19783763076804E-3</v>
      </c>
      <c r="T147">
        <v>5.4810597393638999E-3</v>
      </c>
      <c r="U147">
        <v>2.02744088961322E-2</v>
      </c>
      <c r="V147">
        <v>2.30402748269549E-2</v>
      </c>
      <c r="W147">
        <v>1.7510406466112901E-2</v>
      </c>
      <c r="X147">
        <v>2.1797032967345802E-2</v>
      </c>
      <c r="Y147">
        <v>1.73255645490176E-2</v>
      </c>
      <c r="Z147">
        <v>1.28591662869988E-2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f t="shared" si="4"/>
        <v>4.8177908664709624E-3</v>
      </c>
      <c r="AG147">
        <v>0</v>
      </c>
    </row>
    <row r="148" spans="1:33" x14ac:dyDescent="0.3">
      <c r="A148" t="s">
        <v>493</v>
      </c>
      <c r="B148" s="1" t="s">
        <v>494</v>
      </c>
      <c r="C148" t="s">
        <v>326</v>
      </c>
      <c r="D148" s="1" t="s">
        <v>327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34</v>
      </c>
      <c r="AE148" t="s">
        <v>34</v>
      </c>
      <c r="AF148" t="str">
        <f t="shared" si="4"/>
        <v>NA</v>
      </c>
      <c r="AG148">
        <v>0</v>
      </c>
    </row>
    <row r="149" spans="1:33" x14ac:dyDescent="0.3">
      <c r="A149" t="s">
        <v>493</v>
      </c>
      <c r="B149" s="1" t="s">
        <v>494</v>
      </c>
      <c r="C149" t="s">
        <v>328</v>
      </c>
      <c r="D149" s="1" t="s">
        <v>329</v>
      </c>
      <c r="E149">
        <v>5.0314009573155802</v>
      </c>
      <c r="F149">
        <v>7.3737559956226102</v>
      </c>
      <c r="G149">
        <v>5.8913093299941499</v>
      </c>
      <c r="H149">
        <v>1.8360024248529101</v>
      </c>
      <c r="I149">
        <v>5.2243202760005296</v>
      </c>
      <c r="J149">
        <v>11.563574057982001</v>
      </c>
      <c r="K149">
        <v>8.3238485310557007</v>
      </c>
      <c r="L149">
        <v>7.5123728465234301</v>
      </c>
      <c r="M149">
        <v>7.3358528146842099</v>
      </c>
      <c r="N149">
        <v>8.3587259592574998</v>
      </c>
      <c r="O149">
        <v>9.6267953797443795</v>
      </c>
      <c r="P149">
        <v>9.1950327452224698</v>
      </c>
      <c r="Q149">
        <v>7.98287863833131</v>
      </c>
      <c r="R149">
        <v>9.8735253615234093</v>
      </c>
      <c r="S149">
        <v>5.9926387055039303</v>
      </c>
      <c r="T149">
        <v>5.6179936487191799</v>
      </c>
      <c r="U149">
        <v>7.50443616793107</v>
      </c>
      <c r="V149">
        <v>6.4671314131612103</v>
      </c>
      <c r="W149">
        <v>5.5492652215009297</v>
      </c>
      <c r="X149">
        <v>5.5423363669586196</v>
      </c>
      <c r="Y149">
        <v>3.1460655773450599</v>
      </c>
      <c r="Z149">
        <v>2.60460301891109</v>
      </c>
      <c r="AA149">
        <v>3.63541371456372</v>
      </c>
      <c r="AB149">
        <v>4.9672217739447797</v>
      </c>
      <c r="AC149">
        <v>4.5380030678021397</v>
      </c>
      <c r="AD149">
        <v>3.2298181590158599</v>
      </c>
      <c r="AE149">
        <v>6.0634778833295497</v>
      </c>
      <c r="AF149">
        <f t="shared" si="4"/>
        <v>6.2958444458073073</v>
      </c>
      <c r="AG149">
        <v>0</v>
      </c>
    </row>
    <row r="150" spans="1:33" x14ac:dyDescent="0.3">
      <c r="A150" t="s">
        <v>493</v>
      </c>
      <c r="B150" s="1" t="s">
        <v>494</v>
      </c>
      <c r="C150" s="7" t="s">
        <v>330</v>
      </c>
      <c r="D150" s="1" t="s">
        <v>331</v>
      </c>
      <c r="E150">
        <v>30.879348124403599</v>
      </c>
      <c r="F150">
        <v>36.199117461475602</v>
      </c>
      <c r="G150">
        <v>32.031831054473699</v>
      </c>
      <c r="H150">
        <v>22.541911876323098</v>
      </c>
      <c r="I150">
        <v>31.143437896145301</v>
      </c>
      <c r="J150">
        <v>44.475781466106</v>
      </c>
      <c r="K150">
        <v>36.285347329678999</v>
      </c>
      <c r="L150">
        <v>33.513179093280002</v>
      </c>
      <c r="M150">
        <v>33.325511051124899</v>
      </c>
      <c r="N150">
        <v>36.796664390885901</v>
      </c>
      <c r="O150">
        <v>42.841561539357002</v>
      </c>
      <c r="P150">
        <v>40.752000098242704</v>
      </c>
      <c r="Q150">
        <v>37.798699797213501</v>
      </c>
      <c r="R150">
        <v>37.913100803786499</v>
      </c>
      <c r="S150">
        <v>30.513121501608399</v>
      </c>
      <c r="T150">
        <v>32.568865343952403</v>
      </c>
      <c r="U150">
        <v>40.407440920345302</v>
      </c>
      <c r="V150">
        <v>37.5396768679582</v>
      </c>
      <c r="W150">
        <v>35.989506533798597</v>
      </c>
      <c r="X150">
        <v>31.679118596048301</v>
      </c>
      <c r="Y150">
        <v>18.868064551909701</v>
      </c>
      <c r="Z150">
        <v>16.272487317761399</v>
      </c>
      <c r="AA150">
        <v>19.3050063067708</v>
      </c>
      <c r="AB150">
        <v>23.7087990780384</v>
      </c>
      <c r="AC150">
        <v>21.6117797561797</v>
      </c>
      <c r="AD150">
        <v>14.994277961787001</v>
      </c>
      <c r="AE150">
        <v>23.5387435070386</v>
      </c>
      <c r="AF150">
        <f t="shared" si="4"/>
        <v>31.24053260095161</v>
      </c>
      <c r="AG150">
        <v>1</v>
      </c>
    </row>
    <row r="151" spans="1:33" x14ac:dyDescent="0.3">
      <c r="A151" t="s">
        <v>493</v>
      </c>
      <c r="B151" s="1" t="s">
        <v>494</v>
      </c>
      <c r="C151" t="s">
        <v>332</v>
      </c>
      <c r="D151" s="1" t="s">
        <v>333</v>
      </c>
      <c r="E151">
        <v>0.43607956088187999</v>
      </c>
      <c r="F151">
        <v>0.52120163814929898</v>
      </c>
      <c r="G151">
        <v>0.47712380006584598</v>
      </c>
      <c r="H151">
        <v>0.23504442678229701</v>
      </c>
      <c r="I151">
        <v>0.41026265380696397</v>
      </c>
      <c r="J151">
        <v>0.57523060801742998</v>
      </c>
      <c r="K151">
        <v>0.499846315824726</v>
      </c>
      <c r="L151">
        <v>0.55283472801060995</v>
      </c>
      <c r="M151">
        <v>0.52259184606412401</v>
      </c>
      <c r="N151">
        <v>0.66127032874245695</v>
      </c>
      <c r="O151">
        <v>0.91365366520994296</v>
      </c>
      <c r="P151">
        <v>0.88359545134528905</v>
      </c>
      <c r="Q151">
        <v>0.94714722918794503</v>
      </c>
      <c r="R151">
        <v>1.0846584932923</v>
      </c>
      <c r="S151">
        <v>0.52557026060852297</v>
      </c>
      <c r="T151">
        <v>0.72864364053067998</v>
      </c>
      <c r="U151">
        <v>1.0186357547515399</v>
      </c>
      <c r="V151">
        <v>1.0633112529615001</v>
      </c>
      <c r="W151">
        <v>1.0602641301172899</v>
      </c>
      <c r="X151">
        <v>0.93400190583338005</v>
      </c>
      <c r="Y151">
        <v>0.33380425936043101</v>
      </c>
      <c r="Z151">
        <v>0.18715308139422801</v>
      </c>
      <c r="AA151">
        <v>0.30055974101129201</v>
      </c>
      <c r="AB151">
        <v>0.44349041650780502</v>
      </c>
      <c r="AC151">
        <v>0.358191529536938</v>
      </c>
      <c r="AD151">
        <v>0.159470063577414</v>
      </c>
      <c r="AE151">
        <v>0.38019743431826503</v>
      </c>
      <c r="AF151">
        <f t="shared" si="4"/>
        <v>0.60051237836631088</v>
      </c>
      <c r="AG151">
        <v>0</v>
      </c>
    </row>
    <row r="152" spans="1:33" x14ac:dyDescent="0.3">
      <c r="A152" t="s">
        <v>493</v>
      </c>
      <c r="B152" s="1" t="s">
        <v>494</v>
      </c>
      <c r="C152" t="s">
        <v>334</v>
      </c>
      <c r="D152" s="1" t="s">
        <v>335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34</v>
      </c>
      <c r="AA152" t="s">
        <v>34</v>
      </c>
      <c r="AB152" t="s">
        <v>34</v>
      </c>
      <c r="AC152" t="s">
        <v>34</v>
      </c>
      <c r="AD152" t="s">
        <v>34</v>
      </c>
      <c r="AE152" t="s">
        <v>34</v>
      </c>
      <c r="AF152" t="str">
        <f t="shared" si="4"/>
        <v>NA</v>
      </c>
      <c r="AG152">
        <v>0</v>
      </c>
    </row>
    <row r="153" spans="1:33" x14ac:dyDescent="0.3">
      <c r="A153" t="s">
        <v>493</v>
      </c>
      <c r="B153" s="1" t="s">
        <v>494</v>
      </c>
      <c r="C153" t="s">
        <v>336</v>
      </c>
      <c r="D153" s="1" t="s">
        <v>337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1.48663619351819E-2</v>
      </c>
      <c r="X153">
        <v>2.7793842937160401E-2</v>
      </c>
      <c r="Y153">
        <v>3.71461934835003E-3</v>
      </c>
      <c r="Z153">
        <v>4.5778550895998003E-3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f t="shared" si="4"/>
        <v>1.8871362707515605E-3</v>
      </c>
      <c r="AG153">
        <v>0</v>
      </c>
    </row>
    <row r="154" spans="1:33" x14ac:dyDescent="0.3">
      <c r="A154" t="s">
        <v>493</v>
      </c>
      <c r="B154" s="1" t="s">
        <v>494</v>
      </c>
      <c r="C154" t="s">
        <v>338</v>
      </c>
      <c r="D154" s="1" t="s">
        <v>339</v>
      </c>
      <c r="E154">
        <v>8.5812815969060008</v>
      </c>
      <c r="F154">
        <v>10.3285381227809</v>
      </c>
      <c r="G154">
        <v>6.63547270216546</v>
      </c>
      <c r="H154">
        <v>4.3385213842541104</v>
      </c>
      <c r="I154">
        <v>9.3501344523516803</v>
      </c>
      <c r="J154">
        <v>15.134315826100201</v>
      </c>
      <c r="K154">
        <v>10.049444571159899</v>
      </c>
      <c r="L154">
        <v>8.3007100756648295</v>
      </c>
      <c r="M154">
        <v>8.5315713263891002</v>
      </c>
      <c r="N154">
        <v>9.9826521078786605</v>
      </c>
      <c r="O154">
        <v>13.575995685337499</v>
      </c>
      <c r="P154">
        <v>9.3216511422373092</v>
      </c>
      <c r="Q154">
        <v>8.1066063010367504</v>
      </c>
      <c r="R154">
        <v>8.5278368695712903</v>
      </c>
      <c r="S154">
        <v>4.0046774904463902</v>
      </c>
      <c r="T154">
        <v>4.61457234233034</v>
      </c>
      <c r="U154">
        <v>4.85140837264189</v>
      </c>
      <c r="V154">
        <v>3.56540758499502</v>
      </c>
      <c r="W154">
        <v>3.4361743227038199</v>
      </c>
      <c r="X154">
        <v>4.5168090264406002</v>
      </c>
      <c r="Y154">
        <v>2.2712294005095299</v>
      </c>
      <c r="Z154">
        <v>1.8657664251191199</v>
      </c>
      <c r="AA154">
        <v>2.2258195493020101</v>
      </c>
      <c r="AB154">
        <v>2.22689061511957</v>
      </c>
      <c r="AC154">
        <v>1.5719422304623001</v>
      </c>
      <c r="AD154">
        <v>0.70988907475871299</v>
      </c>
      <c r="AE154">
        <v>1.87502650776602</v>
      </c>
      <c r="AF154">
        <f t="shared" si="4"/>
        <v>6.2407535224603334</v>
      </c>
      <c r="AG154">
        <v>0</v>
      </c>
    </row>
    <row r="155" spans="1:33" x14ac:dyDescent="0.3">
      <c r="A155" t="s">
        <v>493</v>
      </c>
      <c r="B155" s="1" t="s">
        <v>494</v>
      </c>
      <c r="C155" t="s">
        <v>340</v>
      </c>
      <c r="D155" s="1" t="s">
        <v>341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3.3852367083102601E-3</v>
      </c>
      <c r="K155">
        <v>1.29659487206078E-3</v>
      </c>
      <c r="L155">
        <v>1.6351759841967801E-3</v>
      </c>
      <c r="M155">
        <v>1.6823879677268999E-3</v>
      </c>
      <c r="N155">
        <v>8.8571448814193203E-3</v>
      </c>
      <c r="O155">
        <v>7.2102317079677403E-2</v>
      </c>
      <c r="P155">
        <v>9.3411156274330998E-2</v>
      </c>
      <c r="Q155">
        <v>0.10146087741243801</v>
      </c>
      <c r="R155">
        <v>0.15760664608206601</v>
      </c>
      <c r="S155">
        <v>0.111570934639677</v>
      </c>
      <c r="T155">
        <v>0.14393654756215499</v>
      </c>
      <c r="U155">
        <v>0.19834064522643899</v>
      </c>
      <c r="V155">
        <v>0.21578841647676</v>
      </c>
      <c r="W155">
        <v>0.19125676303249101</v>
      </c>
      <c r="X155">
        <v>0.179139183622576</v>
      </c>
      <c r="Y155">
        <v>0.10244119987679499</v>
      </c>
      <c r="Z155">
        <v>7.7192512554057902E-2</v>
      </c>
      <c r="AA155">
        <v>4.54333185625002E-2</v>
      </c>
      <c r="AB155">
        <v>6.9885171097440593E-2</v>
      </c>
      <c r="AC155">
        <v>5.9332925938236698E-2</v>
      </c>
      <c r="AD155">
        <v>2.99623174238903E-2</v>
      </c>
      <c r="AE155">
        <v>7.2963259304370295E-2</v>
      </c>
      <c r="AF155">
        <f t="shared" si="4"/>
        <v>7.1802990095541308E-2</v>
      </c>
      <c r="AG155">
        <v>0</v>
      </c>
    </row>
    <row r="156" spans="1:33" x14ac:dyDescent="0.3">
      <c r="A156" t="s">
        <v>493</v>
      </c>
      <c r="B156" s="1" t="s">
        <v>494</v>
      </c>
      <c r="C156" t="s">
        <v>342</v>
      </c>
      <c r="D156" s="1" t="s">
        <v>343</v>
      </c>
      <c r="E156">
        <v>0.92167159881483396</v>
      </c>
      <c r="F156">
        <v>1.1140754559625501</v>
      </c>
      <c r="G156">
        <v>0.90955027677909095</v>
      </c>
      <c r="H156">
        <v>0.50318964076563</v>
      </c>
      <c r="I156">
        <v>0.88513139027951304</v>
      </c>
      <c r="J156">
        <v>1.4708912440080499</v>
      </c>
      <c r="K156">
        <v>1.05261095605344</v>
      </c>
      <c r="L156">
        <v>1.0218011471944899</v>
      </c>
      <c r="M156">
        <v>1.0777409153231901</v>
      </c>
      <c r="N156">
        <v>1.06753835340617</v>
      </c>
      <c r="O156">
        <v>1.3404158327728399</v>
      </c>
      <c r="P156">
        <v>1.4368612931373199</v>
      </c>
      <c r="Q156">
        <v>1.3015265763791799</v>
      </c>
      <c r="R156">
        <v>1.51772504698259</v>
      </c>
      <c r="S156">
        <v>0.69797078268075197</v>
      </c>
      <c r="T156">
        <v>0.79208387715253203</v>
      </c>
      <c r="U156">
        <v>1.0312346032542701</v>
      </c>
      <c r="V156">
        <v>0.84676429346538096</v>
      </c>
      <c r="W156">
        <v>0.69755661678688197</v>
      </c>
      <c r="X156">
        <v>0.70184875028017502</v>
      </c>
      <c r="Y156">
        <v>0.235255947792189</v>
      </c>
      <c r="Z156">
        <v>0.12548213936368099</v>
      </c>
      <c r="AA156">
        <v>0.18358319014890201</v>
      </c>
      <c r="AB156">
        <v>0.30974744473013799</v>
      </c>
      <c r="AC156">
        <v>0.262076250939903</v>
      </c>
      <c r="AD156">
        <v>0.104811146749273</v>
      </c>
      <c r="AE156">
        <v>0.24910444024495401</v>
      </c>
      <c r="AF156">
        <f t="shared" si="4"/>
        <v>0.8095647856091821</v>
      </c>
      <c r="AG156">
        <v>0</v>
      </c>
    </row>
    <row r="157" spans="1:33" x14ac:dyDescent="0.3">
      <c r="A157" t="s">
        <v>493</v>
      </c>
      <c r="B157" s="1" t="s">
        <v>494</v>
      </c>
      <c r="C157" t="s">
        <v>344</v>
      </c>
      <c r="D157" s="1" t="s">
        <v>345</v>
      </c>
      <c r="E157">
        <v>1.2262060214775701E-2</v>
      </c>
      <c r="F157">
        <v>4.7987924871754099E-3</v>
      </c>
      <c r="G157">
        <v>3.7034398862424499E-3</v>
      </c>
      <c r="H157">
        <v>2.1460319530459998E-3</v>
      </c>
      <c r="I157">
        <v>3.74795547372416E-3</v>
      </c>
      <c r="J157">
        <v>1.0403824165493099E-2</v>
      </c>
      <c r="K157">
        <v>1.44915389746712E-2</v>
      </c>
      <c r="L157">
        <v>9.5321514806882807E-2</v>
      </c>
      <c r="M157">
        <v>9.9595284068641196E-2</v>
      </c>
      <c r="N157">
        <v>0.120921357203037</v>
      </c>
      <c r="O157">
        <v>0.208173196873912</v>
      </c>
      <c r="P157">
        <v>0.189561366939243</v>
      </c>
      <c r="Q157">
        <v>0.175523561601761</v>
      </c>
      <c r="R157">
        <v>0.237100244347381</v>
      </c>
      <c r="S157">
        <v>0.157110268663192</v>
      </c>
      <c r="T157">
        <v>0.174056441360051</v>
      </c>
      <c r="U157">
        <v>0.22542751119524901</v>
      </c>
      <c r="V157">
        <v>0.158243887624787</v>
      </c>
      <c r="W157">
        <v>0.13116117318605799</v>
      </c>
      <c r="X157">
        <v>0.13519005139165499</v>
      </c>
      <c r="Y157">
        <v>4.3551031001216899E-2</v>
      </c>
      <c r="Z157">
        <v>3.3170791784577103E-2</v>
      </c>
      <c r="AA157">
        <v>4.1721802756795698E-2</v>
      </c>
      <c r="AB157">
        <v>5.7120142349389197E-2</v>
      </c>
      <c r="AC157">
        <v>3.4329223911102803E-2</v>
      </c>
      <c r="AD157">
        <v>1.2054834504925701E-2</v>
      </c>
      <c r="AE157">
        <v>3.4186898241190103E-2</v>
      </c>
      <c r="AF157">
        <f t="shared" si="4"/>
        <v>8.9447193591339805E-2</v>
      </c>
      <c r="AG157">
        <v>0</v>
      </c>
    </row>
    <row r="158" spans="1:33" x14ac:dyDescent="0.3">
      <c r="A158" t="s">
        <v>493</v>
      </c>
      <c r="B158" s="1" t="s">
        <v>494</v>
      </c>
      <c r="C158" t="s">
        <v>346</v>
      </c>
      <c r="D158" s="1" t="s">
        <v>347</v>
      </c>
      <c r="E158">
        <v>1.11794366658501E-2</v>
      </c>
      <c r="F158">
        <v>1.3358359098696201E-2</v>
      </c>
      <c r="G158">
        <v>1.1582347033565E-2</v>
      </c>
      <c r="H158">
        <v>4.00105044718496E-3</v>
      </c>
      <c r="I158">
        <v>1.5048576967463499E-2</v>
      </c>
      <c r="J158">
        <v>4.6531977592072199E-2</v>
      </c>
      <c r="K158">
        <v>3.6640287733374403E-2</v>
      </c>
      <c r="L158">
        <v>3.19240191640549E-2</v>
      </c>
      <c r="M158">
        <v>3.6931336857561101E-2</v>
      </c>
      <c r="N158">
        <v>4.9391908831056597E-2</v>
      </c>
      <c r="O158">
        <v>5.7882428078038901E-2</v>
      </c>
      <c r="P158">
        <v>6.15454869644112E-2</v>
      </c>
      <c r="Q158">
        <v>4.7320523286140899E-2</v>
      </c>
      <c r="R158">
        <v>5.4781652551737697E-2</v>
      </c>
      <c r="S158">
        <v>3.1855529279931002E-2</v>
      </c>
      <c r="T158">
        <v>3.4645054199147499E-2</v>
      </c>
      <c r="U158">
        <v>4.8215184354521802E-2</v>
      </c>
      <c r="V158">
        <v>5.14476768766974E-2</v>
      </c>
      <c r="W158">
        <v>6.8019569083447196E-2</v>
      </c>
      <c r="X158">
        <v>6.0321538825371598E-2</v>
      </c>
      <c r="Y158">
        <v>2.84289039455379E-2</v>
      </c>
      <c r="Z158">
        <v>2.3551251602810699E-2</v>
      </c>
      <c r="AA158">
        <v>3.1672172575356899E-2</v>
      </c>
      <c r="AB158">
        <v>4.5611870188683498E-2</v>
      </c>
      <c r="AC158">
        <v>4.0202597403328398E-2</v>
      </c>
      <c r="AD158">
        <v>2.0719946041914902E-2</v>
      </c>
      <c r="AE158">
        <v>4.1352477261771402E-2</v>
      </c>
      <c r="AF158">
        <f t="shared" si="4"/>
        <v>3.7191228255915844E-2</v>
      </c>
      <c r="AG158">
        <v>0</v>
      </c>
    </row>
    <row r="159" spans="1:33" x14ac:dyDescent="0.3">
      <c r="A159" t="s">
        <v>493</v>
      </c>
      <c r="B159" s="1" t="s">
        <v>494</v>
      </c>
      <c r="C159" t="s">
        <v>348</v>
      </c>
      <c r="D159" s="1" t="s">
        <v>349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1.12305781976638E-4</v>
      </c>
      <c r="P159">
        <v>9.8026016417110898E-3</v>
      </c>
      <c r="Q159">
        <v>1.3225072917073401E-2</v>
      </c>
      <c r="R159">
        <v>2.9850736360129401E-2</v>
      </c>
      <c r="S159">
        <v>4.6028735659451002E-3</v>
      </c>
      <c r="T159">
        <v>3.3888683459152899E-2</v>
      </c>
      <c r="U159">
        <v>7.1439777387013501E-2</v>
      </c>
      <c r="V159">
        <v>5.6641516805335503E-2</v>
      </c>
      <c r="W159">
        <v>5.8892900086264098E-2</v>
      </c>
      <c r="X159">
        <v>5.8710585999509901E-2</v>
      </c>
      <c r="Y159">
        <v>2.4622751781599998E-2</v>
      </c>
      <c r="Z159">
        <v>1.8508838111004799E-2</v>
      </c>
      <c r="AA159">
        <v>2.8387242765108098E-2</v>
      </c>
      <c r="AB159">
        <v>4.2296496983664097E-2</v>
      </c>
      <c r="AC159">
        <v>3.7513626605960103E-2</v>
      </c>
      <c r="AD159">
        <v>2.3939484713493001E-2</v>
      </c>
      <c r="AE159">
        <v>5.1813182753517699E-2</v>
      </c>
      <c r="AF159">
        <f t="shared" si="4"/>
        <v>2.0898099174757753E-2</v>
      </c>
      <c r="AG159">
        <v>0</v>
      </c>
    </row>
    <row r="160" spans="1:33" x14ac:dyDescent="0.3">
      <c r="A160" t="s">
        <v>493</v>
      </c>
      <c r="B160" s="1" t="s">
        <v>494</v>
      </c>
      <c r="C160" t="s">
        <v>350</v>
      </c>
      <c r="D160" s="1" t="s">
        <v>351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f t="shared" si="4"/>
        <v>0</v>
      </c>
      <c r="AG160">
        <v>0</v>
      </c>
    </row>
    <row r="161" spans="1:33" x14ac:dyDescent="0.3">
      <c r="A161" t="s">
        <v>493</v>
      </c>
      <c r="B161" s="1" t="s">
        <v>494</v>
      </c>
      <c r="C161" s="7" t="s">
        <v>352</v>
      </c>
      <c r="D161" s="1" t="s">
        <v>353</v>
      </c>
      <c r="E161">
        <v>26.8649643256338</v>
      </c>
      <c r="F161">
        <v>36.869920840696601</v>
      </c>
      <c r="G161">
        <v>33.903921730521901</v>
      </c>
      <c r="H161">
        <v>26.478404310374799</v>
      </c>
      <c r="I161">
        <v>32.889605597183497</v>
      </c>
      <c r="J161">
        <v>40.766139741680597</v>
      </c>
      <c r="K161">
        <v>34.926864811619502</v>
      </c>
      <c r="L161">
        <v>31.834810851085798</v>
      </c>
      <c r="M161">
        <v>33.892972698609199</v>
      </c>
      <c r="N161">
        <v>34.825040164200999</v>
      </c>
      <c r="O161">
        <v>38.177156213411898</v>
      </c>
      <c r="P161">
        <v>34.152012621952103</v>
      </c>
      <c r="Q161">
        <v>30.800361161877099</v>
      </c>
      <c r="R161">
        <v>32.604071009391902</v>
      </c>
      <c r="S161">
        <v>23.016561895994599</v>
      </c>
      <c r="T161">
        <v>26.602603978264799</v>
      </c>
      <c r="U161">
        <v>29.946870520235102</v>
      </c>
      <c r="V161">
        <v>28.3389822463275</v>
      </c>
      <c r="W161">
        <v>25.359586991317101</v>
      </c>
      <c r="X161">
        <v>21.538818414232601</v>
      </c>
      <c r="Y161">
        <v>13.030059463557301</v>
      </c>
      <c r="Z161">
        <v>11.161557911745801</v>
      </c>
      <c r="AA161">
        <v>13.539462476811099</v>
      </c>
      <c r="AB161">
        <v>16.291160945397401</v>
      </c>
      <c r="AC161">
        <v>14.5084244384971</v>
      </c>
      <c r="AD161">
        <v>10.5957303632833</v>
      </c>
      <c r="AE161">
        <v>15.278466712698799</v>
      </c>
      <c r="AF161">
        <f t="shared" si="4"/>
        <v>26.599797497651934</v>
      </c>
      <c r="AG161">
        <v>1</v>
      </c>
    </row>
    <row r="162" spans="1:33" x14ac:dyDescent="0.3">
      <c r="A162" t="s">
        <v>493</v>
      </c>
      <c r="B162" s="1" t="s">
        <v>494</v>
      </c>
      <c r="C162" t="s">
        <v>354</v>
      </c>
      <c r="D162" s="1" t="s">
        <v>355</v>
      </c>
      <c r="E162">
        <v>1.0009914405381199</v>
      </c>
      <c r="F162">
        <v>1.42614316633189</v>
      </c>
      <c r="G162">
        <v>1.1487320627826101</v>
      </c>
      <c r="H162">
        <v>0.29806534856251599</v>
      </c>
      <c r="I162">
        <v>0.98163951443411601</v>
      </c>
      <c r="J162">
        <v>2.0519407382551198</v>
      </c>
      <c r="K162">
        <v>1.3802010261567801</v>
      </c>
      <c r="L162">
        <v>1.23167374745268</v>
      </c>
      <c r="M162">
        <v>1.1157167568148401</v>
      </c>
      <c r="N162">
        <v>1.1236125349855</v>
      </c>
      <c r="O162">
        <v>1.1970166717178601</v>
      </c>
      <c r="P162">
        <v>1.0306928081837099</v>
      </c>
      <c r="Q162">
        <v>0.811152284107306</v>
      </c>
      <c r="R162">
        <v>0.90932100465087695</v>
      </c>
      <c r="S162">
        <v>0.57279840099610202</v>
      </c>
      <c r="T162">
        <v>0.65127733584400405</v>
      </c>
      <c r="U162">
        <v>0.92859882368094104</v>
      </c>
      <c r="V162">
        <v>0.94405814945052802</v>
      </c>
      <c r="W162">
        <v>0.81802854011922599</v>
      </c>
      <c r="X162">
        <v>0.71097226024934201</v>
      </c>
      <c r="Y162">
        <v>0.33486139473849003</v>
      </c>
      <c r="Z162">
        <v>0.237281273734058</v>
      </c>
      <c r="AA162">
        <v>0.306819119328612</v>
      </c>
      <c r="AB162">
        <v>0.41789575037640703</v>
      </c>
      <c r="AC162">
        <v>0.35604974109174897</v>
      </c>
      <c r="AD162">
        <v>0.18364537995673999</v>
      </c>
      <c r="AE162">
        <v>0.37822898406835198</v>
      </c>
      <c r="AF162">
        <f t="shared" si="4"/>
        <v>0.83508941698549888</v>
      </c>
      <c r="AG162">
        <v>0</v>
      </c>
    </row>
    <row r="163" spans="1:33" x14ac:dyDescent="0.3">
      <c r="A163" t="s">
        <v>493</v>
      </c>
      <c r="B163" s="1" t="s">
        <v>494</v>
      </c>
      <c r="C163" t="s">
        <v>356</v>
      </c>
      <c r="D163" s="1" t="s">
        <v>357</v>
      </c>
      <c r="E163">
        <v>4.5459352168443496</v>
      </c>
      <c r="F163">
        <v>6.3213186425525603</v>
      </c>
      <c r="G163">
        <v>4.8277786991798903</v>
      </c>
      <c r="H163">
        <v>2.2239934879449699</v>
      </c>
      <c r="I163">
        <v>8.7603909462831204</v>
      </c>
      <c r="J163">
        <v>15.355993811466</v>
      </c>
      <c r="K163">
        <v>10.3003624423723</v>
      </c>
      <c r="L163">
        <v>10.4623662427989</v>
      </c>
      <c r="M163">
        <v>10.934498104799999</v>
      </c>
      <c r="N163">
        <v>11.6957615431619</v>
      </c>
      <c r="O163">
        <v>13.686863716874001</v>
      </c>
      <c r="P163">
        <v>12.4450132664814</v>
      </c>
      <c r="Q163">
        <v>10.732620670497701</v>
      </c>
      <c r="R163">
        <v>12.3954143055606</v>
      </c>
      <c r="S163">
        <v>9.1921446819924792</v>
      </c>
      <c r="T163">
        <v>8.5712865919327292</v>
      </c>
      <c r="U163">
        <v>10.6778918258558</v>
      </c>
      <c r="V163">
        <v>9.6130762391680697</v>
      </c>
      <c r="W163">
        <v>8.6804826150832106</v>
      </c>
      <c r="X163">
        <v>9.0874894649280709</v>
      </c>
      <c r="Y163">
        <v>5.9328584231470396</v>
      </c>
      <c r="Z163">
        <v>5.0061365953506201</v>
      </c>
      <c r="AA163">
        <v>6.2286451909182201</v>
      </c>
      <c r="AB163">
        <v>9.6547609567208799</v>
      </c>
      <c r="AC163">
        <v>8.4937074308385299</v>
      </c>
      <c r="AD163">
        <v>4.7077709693107499</v>
      </c>
      <c r="AE163">
        <v>9.6715940297861192</v>
      </c>
      <c r="AF163">
        <f t="shared" si="4"/>
        <v>8.8965243004388981</v>
      </c>
      <c r="AG163">
        <v>0</v>
      </c>
    </row>
    <row r="164" spans="1:33" x14ac:dyDescent="0.3">
      <c r="A164" t="s">
        <v>493</v>
      </c>
      <c r="B164" s="1" t="s">
        <v>494</v>
      </c>
      <c r="C164" t="s">
        <v>358</v>
      </c>
      <c r="D164" s="1" t="s">
        <v>359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2.0406358081122402E-3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f t="shared" si="4"/>
        <v>7.5579104004157042E-5</v>
      </c>
      <c r="AG164">
        <v>0</v>
      </c>
    </row>
    <row r="165" spans="1:33" x14ac:dyDescent="0.3">
      <c r="A165" t="s">
        <v>493</v>
      </c>
      <c r="B165" s="1" t="s">
        <v>494</v>
      </c>
      <c r="C165" t="s">
        <v>360</v>
      </c>
      <c r="D165" s="1" t="s">
        <v>361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f t="shared" si="4"/>
        <v>0</v>
      </c>
      <c r="AG165">
        <v>0</v>
      </c>
    </row>
    <row r="166" spans="1:33" x14ac:dyDescent="0.3">
      <c r="A166" t="s">
        <v>493</v>
      </c>
      <c r="B166" s="1" t="s">
        <v>494</v>
      </c>
      <c r="C166" t="s">
        <v>362</v>
      </c>
      <c r="D166" s="1" t="s">
        <v>363</v>
      </c>
      <c r="E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34</v>
      </c>
      <c r="AA166" t="s">
        <v>34</v>
      </c>
      <c r="AB166" t="s">
        <v>34</v>
      </c>
      <c r="AC166" t="s">
        <v>34</v>
      </c>
      <c r="AD166" t="s">
        <v>34</v>
      </c>
      <c r="AE166" t="s">
        <v>34</v>
      </c>
      <c r="AF166" t="str">
        <f t="shared" si="4"/>
        <v>NA</v>
      </c>
      <c r="AG166">
        <v>0</v>
      </c>
    </row>
    <row r="167" spans="1:33" x14ac:dyDescent="0.3">
      <c r="A167" t="s">
        <v>493</v>
      </c>
      <c r="B167" s="1" t="s">
        <v>494</v>
      </c>
      <c r="C167" t="s">
        <v>364</v>
      </c>
      <c r="D167" s="1" t="s">
        <v>365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f t="shared" si="4"/>
        <v>0</v>
      </c>
      <c r="AG167">
        <v>0</v>
      </c>
    </row>
    <row r="168" spans="1:33" x14ac:dyDescent="0.3">
      <c r="A168" t="s">
        <v>493</v>
      </c>
      <c r="B168" s="1" t="s">
        <v>494</v>
      </c>
      <c r="C168" s="7" t="s">
        <v>366</v>
      </c>
      <c r="D168" s="1" t="s">
        <v>367</v>
      </c>
      <c r="E168">
        <v>28.127034173181698</v>
      </c>
      <c r="F168">
        <v>33.465095020358397</v>
      </c>
      <c r="G168">
        <v>29.277539826398701</v>
      </c>
      <c r="H168">
        <v>21.266775895632598</v>
      </c>
      <c r="I168">
        <v>27.124767270241001</v>
      </c>
      <c r="J168">
        <v>41.669170844682498</v>
      </c>
      <c r="K168">
        <v>33.352662741396301</v>
      </c>
      <c r="L168">
        <v>31.342447837026999</v>
      </c>
      <c r="M168">
        <v>37.034522017673098</v>
      </c>
      <c r="N168">
        <v>42.6409301097693</v>
      </c>
      <c r="O168">
        <v>48.860631509054897</v>
      </c>
      <c r="P168">
        <v>49.670097284191698</v>
      </c>
      <c r="Q168">
        <v>47.439442969529402</v>
      </c>
      <c r="R168">
        <v>54.085800995618001</v>
      </c>
      <c r="S168">
        <v>34.6315417084598</v>
      </c>
      <c r="T168">
        <v>37.901131434246501</v>
      </c>
      <c r="U168">
        <v>49.1612188808623</v>
      </c>
      <c r="V168">
        <v>47.409385226355298</v>
      </c>
      <c r="W168">
        <v>44.456498548028101</v>
      </c>
      <c r="X168">
        <v>40.321968990070097</v>
      </c>
      <c r="Y168">
        <v>23.956799322338401</v>
      </c>
      <c r="Z168">
        <v>20.005177135673499</v>
      </c>
      <c r="AA168">
        <v>23.6170719123709</v>
      </c>
      <c r="AB168">
        <v>28.0842811588989</v>
      </c>
      <c r="AC168">
        <v>24.329578005500501</v>
      </c>
      <c r="AD168">
        <v>15.978910776692301</v>
      </c>
      <c r="AE168">
        <v>23.686294057449899</v>
      </c>
      <c r="AF168">
        <f t="shared" si="4"/>
        <v>34.773954653766708</v>
      </c>
      <c r="AG168">
        <v>1</v>
      </c>
    </row>
    <row r="169" spans="1:33" x14ac:dyDescent="0.3">
      <c r="A169" t="s">
        <v>493</v>
      </c>
      <c r="B169" s="1" t="s">
        <v>494</v>
      </c>
      <c r="C169" t="s">
        <v>368</v>
      </c>
      <c r="D169" s="1" t="s">
        <v>369</v>
      </c>
      <c r="E169">
        <v>9.2553492619258898E-4</v>
      </c>
      <c r="F169">
        <v>1.3201424622602601E-3</v>
      </c>
      <c r="G169">
        <v>1.6157127149988E-3</v>
      </c>
      <c r="H169">
        <v>4.8406183476576502E-4</v>
      </c>
      <c r="I169">
        <v>5.5297044081946704E-4</v>
      </c>
      <c r="J169">
        <v>9.6264273163068398E-4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f t="shared" si="4"/>
        <v>2.1707648558028019E-4</v>
      </c>
      <c r="AG169">
        <v>0</v>
      </c>
    </row>
    <row r="170" spans="1:33" x14ac:dyDescent="0.3">
      <c r="A170" t="s">
        <v>493</v>
      </c>
      <c r="B170" s="1" t="s">
        <v>494</v>
      </c>
      <c r="C170" t="s">
        <v>370</v>
      </c>
      <c r="D170" s="1" t="s">
        <v>371</v>
      </c>
      <c r="E170">
        <v>0.36040973407469501</v>
      </c>
      <c r="F170">
        <v>0.37471322730018702</v>
      </c>
      <c r="G170">
        <v>0.238803566956788</v>
      </c>
      <c r="H170">
        <v>9.1426987990608E-2</v>
      </c>
      <c r="I170">
        <v>0.288136800492102</v>
      </c>
      <c r="J170">
        <v>1.7969801995401</v>
      </c>
      <c r="K170">
        <v>0.64064870358736203</v>
      </c>
      <c r="L170">
        <v>0.38699968126374201</v>
      </c>
      <c r="M170">
        <v>0.33456465596093798</v>
      </c>
      <c r="N170">
        <v>0.38325993858922502</v>
      </c>
      <c r="O170">
        <v>0.51995842162911599</v>
      </c>
      <c r="P170">
        <v>0.51100837392924203</v>
      </c>
      <c r="Q170">
        <v>0.42016623623443999</v>
      </c>
      <c r="R170">
        <v>0.51216948615417701</v>
      </c>
      <c r="S170">
        <v>0.33504893876835201</v>
      </c>
      <c r="T170">
        <v>0.53158669566208006</v>
      </c>
      <c r="U170">
        <v>0.89062990846700396</v>
      </c>
      <c r="V170">
        <v>1.0906902877051901</v>
      </c>
      <c r="W170">
        <v>0.93964370334448799</v>
      </c>
      <c r="X170">
        <v>0.86304642112790797</v>
      </c>
      <c r="Y170">
        <v>0.40258355721089401</v>
      </c>
      <c r="Z170">
        <v>0.27662651720576997</v>
      </c>
      <c r="AA170">
        <v>0.36380837864326199</v>
      </c>
      <c r="AB170">
        <v>0.50218156526532198</v>
      </c>
      <c r="AC170">
        <v>0.42653445762640502</v>
      </c>
      <c r="AD170">
        <v>0.213906994350929</v>
      </c>
      <c r="AE170">
        <v>0.42442078759100998</v>
      </c>
      <c r="AF170">
        <f t="shared" si="4"/>
        <v>0.52296126765449391</v>
      </c>
      <c r="AG170">
        <v>0</v>
      </c>
    </row>
    <row r="171" spans="1:33" x14ac:dyDescent="0.3">
      <c r="A171" t="s">
        <v>493</v>
      </c>
      <c r="B171" s="1" t="s">
        <v>494</v>
      </c>
      <c r="C171" t="s">
        <v>372</v>
      </c>
      <c r="D171" s="1" t="s">
        <v>373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f t="shared" si="4"/>
        <v>0</v>
      </c>
      <c r="AG171">
        <v>0</v>
      </c>
    </row>
    <row r="172" spans="1:33" x14ac:dyDescent="0.3">
      <c r="A172" t="s">
        <v>493</v>
      </c>
      <c r="B172" s="1" t="s">
        <v>494</v>
      </c>
      <c r="C172" t="s">
        <v>374</v>
      </c>
      <c r="D172" s="1" t="s">
        <v>375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f t="shared" si="4"/>
        <v>0</v>
      </c>
      <c r="AG172">
        <v>0</v>
      </c>
    </row>
    <row r="173" spans="1:33" x14ac:dyDescent="0.3">
      <c r="A173" t="s">
        <v>493</v>
      </c>
      <c r="B173" s="1" t="s">
        <v>494</v>
      </c>
      <c r="C173" t="s">
        <v>376</v>
      </c>
      <c r="D173" s="1" t="s">
        <v>377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2.1909474021819899E-4</v>
      </c>
      <c r="P173">
        <v>3.3318298961492799E-3</v>
      </c>
      <c r="Q173">
        <v>6.4600151031482698E-3</v>
      </c>
      <c r="R173">
        <v>2.4765842984669401E-2</v>
      </c>
      <c r="S173">
        <v>6.2081095239492996E-3</v>
      </c>
      <c r="T173">
        <v>3.8058944582077099E-2</v>
      </c>
      <c r="U173">
        <v>0.153787333426844</v>
      </c>
      <c r="V173">
        <v>0.142898804490871</v>
      </c>
      <c r="W173">
        <v>0.11912189370539</v>
      </c>
      <c r="X173">
        <v>0.104388992582944</v>
      </c>
      <c r="Y173">
        <v>3.4008419831114099E-2</v>
      </c>
      <c r="Z173">
        <v>2.89302386437418E-2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f t="shared" si="4"/>
        <v>2.4525167389300613E-2</v>
      </c>
      <c r="AG173">
        <v>0</v>
      </c>
    </row>
    <row r="174" spans="1:33" x14ac:dyDescent="0.3">
      <c r="A174" t="s">
        <v>493</v>
      </c>
      <c r="B174" s="1" t="s">
        <v>494</v>
      </c>
      <c r="C174" t="s">
        <v>378</v>
      </c>
      <c r="D174" s="1" t="s">
        <v>379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  <c r="AD174" t="s">
        <v>34</v>
      </c>
      <c r="AE174" t="s">
        <v>34</v>
      </c>
      <c r="AF174" t="str">
        <f t="shared" si="4"/>
        <v>NA</v>
      </c>
      <c r="AG174">
        <v>0</v>
      </c>
    </row>
    <row r="175" spans="1:33" x14ac:dyDescent="0.3">
      <c r="A175" t="s">
        <v>493</v>
      </c>
      <c r="B175" s="1" t="s">
        <v>494</v>
      </c>
      <c r="C175" t="s">
        <v>380</v>
      </c>
      <c r="D175" s="1" t="s">
        <v>381</v>
      </c>
      <c r="E175">
        <v>1.49998130978498E-2</v>
      </c>
      <c r="F175">
        <v>2.2328166964178098E-2</v>
      </c>
      <c r="G175">
        <v>1.6510382368542E-2</v>
      </c>
      <c r="H175">
        <v>3.7940962216564999E-3</v>
      </c>
      <c r="I175">
        <v>8.4629982033908105E-3</v>
      </c>
      <c r="J175">
        <v>2.4159705119561802E-2</v>
      </c>
      <c r="K175">
        <v>1.58003204347444E-2</v>
      </c>
      <c r="L175">
        <v>1.3885027079844601E-2</v>
      </c>
      <c r="M175">
        <v>1.14928737044564E-2</v>
      </c>
      <c r="N175">
        <v>1.1504385023605099E-2</v>
      </c>
      <c r="O175">
        <v>1.23977111611511E-2</v>
      </c>
      <c r="P175">
        <v>1.1556767011050399E-2</v>
      </c>
      <c r="Q175">
        <v>8.2301455398637001E-3</v>
      </c>
      <c r="R175">
        <v>8.98207738807562E-3</v>
      </c>
      <c r="S175">
        <v>4.5867361308343704E-3</v>
      </c>
      <c r="T175">
        <v>4.6138618340476603E-3</v>
      </c>
      <c r="U175">
        <v>7.92826107571999E-3</v>
      </c>
      <c r="V175">
        <v>7.7126838026071896E-3</v>
      </c>
      <c r="W175">
        <v>6.0061101829395301E-3</v>
      </c>
      <c r="X175">
        <v>4.9117724875757801E-3</v>
      </c>
      <c r="Y175">
        <v>2.3961089915075801E-3</v>
      </c>
      <c r="Z175">
        <v>1.42932910460491E-3</v>
      </c>
      <c r="AA175">
        <v>1.5119312864531199E-3</v>
      </c>
      <c r="AB175">
        <v>1.9836339816227599E-3</v>
      </c>
      <c r="AC175">
        <v>1.56694289828893E-3</v>
      </c>
      <c r="AD175">
        <v>4.91874857273577E-4</v>
      </c>
      <c r="AE175">
        <v>1.76348784699933E-3</v>
      </c>
      <c r="AF175">
        <f t="shared" si="4"/>
        <v>8.5558223629053753E-3</v>
      </c>
      <c r="AG175">
        <v>0</v>
      </c>
    </row>
    <row r="176" spans="1:33" x14ac:dyDescent="0.3">
      <c r="A176" t="s">
        <v>493</v>
      </c>
      <c r="B176" s="1" t="s">
        <v>494</v>
      </c>
      <c r="C176" t="s">
        <v>382</v>
      </c>
      <c r="D176" s="1" t="s">
        <v>383</v>
      </c>
      <c r="E176">
        <v>7.4760467655712694E-5</v>
      </c>
      <c r="F176">
        <v>8.9462887779640497E-5</v>
      </c>
      <c r="G176">
        <v>6.01617847945739E-5</v>
      </c>
      <c r="H176">
        <v>1.40135241061114E-5</v>
      </c>
      <c r="I176">
        <v>3.7464529598148002E-5</v>
      </c>
      <c r="J176">
        <v>7.4846691437901802E-5</v>
      </c>
      <c r="K176">
        <v>5.3225555766336401E-5</v>
      </c>
      <c r="L176">
        <v>4.39489545980475E-5</v>
      </c>
      <c r="M176">
        <v>3.5860045294912798E-5</v>
      </c>
      <c r="N176">
        <v>4.1701466114840301E-5</v>
      </c>
      <c r="O176">
        <v>4.19073137576575E-5</v>
      </c>
      <c r="P176">
        <v>4.4376197501831699E-5</v>
      </c>
      <c r="Q176" t="s">
        <v>34</v>
      </c>
      <c r="R176" t="s">
        <v>34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  <c r="AA176">
        <v>8.5612954799971095E-5</v>
      </c>
      <c r="AB176">
        <v>2.8275461089031199E-4</v>
      </c>
      <c r="AC176">
        <v>6.4461183176180297E-5</v>
      </c>
      <c r="AD176">
        <v>1.39101147863392E-5</v>
      </c>
      <c r="AE176">
        <v>2.90014634526052E-5</v>
      </c>
      <c r="AF176">
        <f t="shared" si="4"/>
        <v>6.3968808559477776E-5</v>
      </c>
      <c r="AG176">
        <v>0</v>
      </c>
    </row>
    <row r="177" spans="1:33" x14ac:dyDescent="0.3">
      <c r="A177" t="s">
        <v>493</v>
      </c>
      <c r="B177" s="1" t="s">
        <v>494</v>
      </c>
      <c r="C177" t="s">
        <v>384</v>
      </c>
      <c r="D177" s="1" t="s">
        <v>385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f t="shared" si="4"/>
        <v>0</v>
      </c>
      <c r="AG177">
        <v>0</v>
      </c>
    </row>
    <row r="178" spans="1:33" x14ac:dyDescent="0.3">
      <c r="A178" t="s">
        <v>493</v>
      </c>
      <c r="B178" s="1" t="s">
        <v>494</v>
      </c>
      <c r="C178" t="s">
        <v>386</v>
      </c>
      <c r="D178" s="1" t="s">
        <v>387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f t="shared" ref="AF178:AF209" si="5">IFERROR(AVERAGE(E178:AE178),"NA")</f>
        <v>0</v>
      </c>
      <c r="AG178">
        <v>0</v>
      </c>
    </row>
    <row r="179" spans="1:33" x14ac:dyDescent="0.3">
      <c r="A179" t="s">
        <v>493</v>
      </c>
      <c r="B179" s="1" t="s">
        <v>494</v>
      </c>
      <c r="C179" t="s">
        <v>388</v>
      </c>
      <c r="D179" s="1" t="s">
        <v>389</v>
      </c>
      <c r="E179">
        <v>0.41195733050031602</v>
      </c>
      <c r="F179">
        <v>0.51724020713473395</v>
      </c>
      <c r="G179">
        <v>0.464343725618029</v>
      </c>
      <c r="H179">
        <v>0.24919631208274401</v>
      </c>
      <c r="I179">
        <v>0.37993782003795401</v>
      </c>
      <c r="J179">
        <v>0.87573933921817504</v>
      </c>
      <c r="K179">
        <v>0.74523022525018701</v>
      </c>
      <c r="L179">
        <v>0.83263491174646298</v>
      </c>
      <c r="M179">
        <v>0.53603218115096596</v>
      </c>
      <c r="N179">
        <v>0.66789547474167399</v>
      </c>
      <c r="O179">
        <v>0.86890702401243503</v>
      </c>
      <c r="P179">
        <v>0.92171355501248498</v>
      </c>
      <c r="Q179">
        <v>0.95369683953937001</v>
      </c>
      <c r="R179">
        <v>1.3792687773277299</v>
      </c>
      <c r="S179">
        <v>0.59329568891025897</v>
      </c>
      <c r="T179">
        <v>0.70787997815682502</v>
      </c>
      <c r="U179">
        <v>0.96414588353729203</v>
      </c>
      <c r="V179">
        <v>0.98005805325740003</v>
      </c>
      <c r="W179">
        <v>0.94906801489118497</v>
      </c>
      <c r="X179">
        <v>0.69285679973148895</v>
      </c>
      <c r="Y179">
        <v>0.19433759474603701</v>
      </c>
      <c r="Z179">
        <v>0.18213153834515899</v>
      </c>
      <c r="AA179">
        <v>0.29133279600172202</v>
      </c>
      <c r="AB179">
        <v>0.40710659056677501</v>
      </c>
      <c r="AC179">
        <v>0.37281968832444601</v>
      </c>
      <c r="AD179">
        <v>0.21303619699909701</v>
      </c>
      <c r="AE179">
        <v>0.39595420654583402</v>
      </c>
      <c r="AF179">
        <f t="shared" si="5"/>
        <v>0.62028950938469563</v>
      </c>
      <c r="AG179">
        <v>0</v>
      </c>
    </row>
    <row r="180" spans="1:33" x14ac:dyDescent="0.3">
      <c r="A180" t="s">
        <v>493</v>
      </c>
      <c r="B180" s="1" t="s">
        <v>494</v>
      </c>
      <c r="C180" s="7" t="s">
        <v>390</v>
      </c>
      <c r="D180" s="1" t="s">
        <v>391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>
        <v>58.277660142404102</v>
      </c>
      <c r="S180">
        <v>35.188657039955999</v>
      </c>
      <c r="T180">
        <v>43.709293509498799</v>
      </c>
      <c r="U180">
        <v>50.382014046306502</v>
      </c>
      <c r="V180">
        <v>3.5515059097989901</v>
      </c>
      <c r="W180">
        <v>13.308395632182201</v>
      </c>
      <c r="X180">
        <v>26.3604396814303</v>
      </c>
      <c r="Y180">
        <v>10.3913729191421</v>
      </c>
      <c r="Z180" t="s">
        <v>34</v>
      </c>
      <c r="AA180" t="s">
        <v>34</v>
      </c>
      <c r="AB180" t="s">
        <v>34</v>
      </c>
      <c r="AC180" t="s">
        <v>34</v>
      </c>
      <c r="AD180" t="s">
        <v>34</v>
      </c>
      <c r="AE180" t="s">
        <v>34</v>
      </c>
      <c r="AF180">
        <f t="shared" si="5"/>
        <v>30.146167360089873</v>
      </c>
      <c r="AG180">
        <v>0</v>
      </c>
    </row>
    <row r="181" spans="1:33" x14ac:dyDescent="0.3">
      <c r="A181" t="s">
        <v>493</v>
      </c>
      <c r="B181" s="1" t="s">
        <v>494</v>
      </c>
      <c r="C181" t="s">
        <v>392</v>
      </c>
      <c r="D181" s="1" t="s">
        <v>393</v>
      </c>
      <c r="E181">
        <v>6.0286233651504701E-3</v>
      </c>
      <c r="F181">
        <v>6.3573803908436796E-3</v>
      </c>
      <c r="G181">
        <v>3.9843224053494296E-3</v>
      </c>
      <c r="H181">
        <v>1.66037225965447E-3</v>
      </c>
      <c r="I181">
        <v>2.7374390042391198E-3</v>
      </c>
      <c r="J181">
        <v>4.8350604862431703E-3</v>
      </c>
      <c r="K181">
        <v>6.1348233895011399E-3</v>
      </c>
      <c r="L181">
        <v>4.4256137815808904E-3</v>
      </c>
      <c r="M181">
        <v>4.0117888311545996E-3</v>
      </c>
      <c r="N181">
        <v>3.6654446717559902E-3</v>
      </c>
      <c r="O181">
        <v>3.2744655840555199E-3</v>
      </c>
      <c r="P181">
        <v>2.91549084293319E-3</v>
      </c>
      <c r="Q181">
        <v>2.8466450350846701E-3</v>
      </c>
      <c r="R181">
        <v>3.3744712688285102E-3</v>
      </c>
      <c r="S181">
        <v>1.65951114306765E-3</v>
      </c>
      <c r="T181">
        <v>2.2176314385651298E-3</v>
      </c>
      <c r="U181">
        <v>2.8817985927768902E-3</v>
      </c>
      <c r="V181">
        <v>4.4266059857127902E-3</v>
      </c>
      <c r="W181">
        <v>1.0347316151722999E-2</v>
      </c>
      <c r="X181">
        <v>7.9086346486516492E-3</v>
      </c>
      <c r="Y181">
        <v>2.93077580087329E-3</v>
      </c>
      <c r="Z181">
        <v>1.3292731433236899E-3</v>
      </c>
      <c r="AA181">
        <v>1.63989363655383E-3</v>
      </c>
      <c r="AB181">
        <v>1.7649124946450901E-3</v>
      </c>
      <c r="AC181">
        <v>7.44000510159429E-4</v>
      </c>
      <c r="AD181">
        <v>2.9573498798740502E-4</v>
      </c>
      <c r="AE181">
        <v>1.5149355829105601E-4</v>
      </c>
      <c r="AF181">
        <f t="shared" si="5"/>
        <v>3.501834200322435E-3</v>
      </c>
      <c r="AG181">
        <v>0</v>
      </c>
    </row>
    <row r="182" spans="1:33" x14ac:dyDescent="0.3">
      <c r="A182" t="s">
        <v>493</v>
      </c>
      <c r="B182" s="1" t="s">
        <v>494</v>
      </c>
      <c r="C182" t="s">
        <v>394</v>
      </c>
      <c r="D182" s="1" t="s">
        <v>395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f t="shared" si="5"/>
        <v>0</v>
      </c>
      <c r="AG182">
        <v>0</v>
      </c>
    </row>
    <row r="183" spans="1:33" x14ac:dyDescent="0.3">
      <c r="A183" t="s">
        <v>493</v>
      </c>
      <c r="B183" s="1" t="s">
        <v>494</v>
      </c>
      <c r="C183" t="s">
        <v>396</v>
      </c>
      <c r="D183" s="1" t="s">
        <v>397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f t="shared" si="5"/>
        <v>0</v>
      </c>
      <c r="AG183">
        <v>0</v>
      </c>
    </row>
    <row r="184" spans="1:33" x14ac:dyDescent="0.3">
      <c r="A184" t="s">
        <v>493</v>
      </c>
      <c r="B184" s="1" t="s">
        <v>494</v>
      </c>
      <c r="C184" t="s">
        <v>398</v>
      </c>
      <c r="D184" s="1" t="s">
        <v>399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f t="shared" si="5"/>
        <v>0</v>
      </c>
      <c r="AG184">
        <v>0</v>
      </c>
    </row>
    <row r="185" spans="1:33" x14ac:dyDescent="0.3">
      <c r="A185" t="s">
        <v>493</v>
      </c>
      <c r="B185" s="1" t="s">
        <v>494</v>
      </c>
      <c r="C185" t="s">
        <v>400</v>
      </c>
      <c r="D185" s="1" t="s">
        <v>401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  <c r="AD185" t="s">
        <v>34</v>
      </c>
      <c r="AE185" t="s">
        <v>34</v>
      </c>
      <c r="AF185" t="str">
        <f t="shared" si="5"/>
        <v>NA</v>
      </c>
      <c r="AG185">
        <v>0</v>
      </c>
    </row>
    <row r="186" spans="1:33" x14ac:dyDescent="0.3">
      <c r="A186" t="s">
        <v>493</v>
      </c>
      <c r="B186" s="1" t="s">
        <v>494</v>
      </c>
      <c r="C186" t="s">
        <v>402</v>
      </c>
      <c r="D186" s="1" t="s">
        <v>403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f t="shared" si="5"/>
        <v>0</v>
      </c>
      <c r="AG186">
        <v>0</v>
      </c>
    </row>
    <row r="187" spans="1:33" x14ac:dyDescent="0.3">
      <c r="A187" t="s">
        <v>493</v>
      </c>
      <c r="B187" s="1" t="s">
        <v>494</v>
      </c>
      <c r="C187" t="s">
        <v>404</v>
      </c>
      <c r="D187" s="1" t="s">
        <v>405</v>
      </c>
      <c r="E187">
        <v>5.3287606501896201E-3</v>
      </c>
      <c r="F187">
        <v>9.5657568951302896E-2</v>
      </c>
      <c r="G187">
        <v>0.17063553835013701</v>
      </c>
      <c r="H187">
        <v>0.17028062004671099</v>
      </c>
      <c r="I187">
        <v>2.04975331963217</v>
      </c>
      <c r="J187">
        <v>10.686985936802801</v>
      </c>
      <c r="K187">
        <v>6.8404504199038403</v>
      </c>
      <c r="L187">
        <v>7.14772574801421</v>
      </c>
      <c r="M187">
        <v>6.9751587403198601</v>
      </c>
      <c r="N187">
        <v>10.1194980180566</v>
      </c>
      <c r="O187">
        <v>12.4599426156015</v>
      </c>
      <c r="P187">
        <v>12.500471606345</v>
      </c>
      <c r="Q187">
        <v>13.6134936785449</v>
      </c>
      <c r="R187">
        <v>17.885274592108001</v>
      </c>
      <c r="S187">
        <v>9.5967594355423191</v>
      </c>
      <c r="T187">
        <v>11.493125709501999</v>
      </c>
      <c r="U187">
        <v>15.1004983871528</v>
      </c>
      <c r="V187">
        <v>3.6953793190274702</v>
      </c>
      <c r="W187">
        <v>4.5995849663716903</v>
      </c>
      <c r="X187">
        <v>2.6570456674093101</v>
      </c>
      <c r="Y187">
        <v>0.79806958360320102</v>
      </c>
      <c r="Z187">
        <v>0.58671885577616101</v>
      </c>
      <c r="AA187">
        <v>0.82381948309582198</v>
      </c>
      <c r="AB187">
        <v>3.3646787980427701</v>
      </c>
      <c r="AC187">
        <v>2.9993670316215502</v>
      </c>
      <c r="AD187">
        <v>1.8751190240765101</v>
      </c>
      <c r="AE187">
        <v>3.3022684571047498</v>
      </c>
      <c r="AF187">
        <f t="shared" si="5"/>
        <v>5.9856700696908725</v>
      </c>
      <c r="AG187">
        <v>0</v>
      </c>
    </row>
    <row r="188" spans="1:33" x14ac:dyDescent="0.3">
      <c r="A188" t="s">
        <v>493</v>
      </c>
      <c r="B188" s="1" t="s">
        <v>494</v>
      </c>
      <c r="C188" t="s">
        <v>406</v>
      </c>
      <c r="D188" s="1" t="s">
        <v>407</v>
      </c>
      <c r="E188">
        <v>4.2027295277413197</v>
      </c>
      <c r="F188">
        <v>4.5730640000062097</v>
      </c>
      <c r="G188">
        <v>4.5715962435245503</v>
      </c>
      <c r="H188">
        <v>2.2279264548583302</v>
      </c>
      <c r="I188">
        <v>5.5477466124056098</v>
      </c>
      <c r="J188">
        <v>9.6570386910926</v>
      </c>
      <c r="K188">
        <v>8.5770130817434094</v>
      </c>
      <c r="L188">
        <v>6.6713651664464999</v>
      </c>
      <c r="M188">
        <v>5.9791421200923702</v>
      </c>
      <c r="N188">
        <v>6.4552224685390698</v>
      </c>
      <c r="O188">
        <v>8.6360845709489293</v>
      </c>
      <c r="P188">
        <v>7.8488011605149604</v>
      </c>
      <c r="Q188">
        <v>8.3643143547655097</v>
      </c>
      <c r="R188">
        <v>10.4429452069185</v>
      </c>
      <c r="S188">
        <v>4.7007096938180899</v>
      </c>
      <c r="T188">
        <v>5.8268353758714397</v>
      </c>
      <c r="U188">
        <v>9.4180167885212906</v>
      </c>
      <c r="V188">
        <v>7.9947167084287596</v>
      </c>
      <c r="W188">
        <v>7.0772415902464196</v>
      </c>
      <c r="X188">
        <v>6.4888527769216902</v>
      </c>
      <c r="Y188">
        <v>2.5367485668808101</v>
      </c>
      <c r="Z188">
        <v>2.9381116765052901</v>
      </c>
      <c r="AA188">
        <v>4.0126293351651796</v>
      </c>
      <c r="AB188">
        <v>5.7974579332367897</v>
      </c>
      <c r="AC188">
        <v>4.6457243024901702</v>
      </c>
      <c r="AD188">
        <v>2.9941736447105498</v>
      </c>
      <c r="AE188">
        <v>7.9325261418189799</v>
      </c>
      <c r="AF188">
        <f t="shared" si="5"/>
        <v>6.1525457108967894</v>
      </c>
      <c r="AG188">
        <v>0</v>
      </c>
    </row>
    <row r="189" spans="1:33" x14ac:dyDescent="0.3">
      <c r="A189" t="s">
        <v>493</v>
      </c>
      <c r="B189" s="1" t="s">
        <v>494</v>
      </c>
      <c r="C189" t="s">
        <v>408</v>
      </c>
      <c r="D189" s="1" t="s">
        <v>409</v>
      </c>
      <c r="E189" t="s">
        <v>34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8.5517863498841596E-4</v>
      </c>
      <c r="L189">
        <v>1.87099387688099E-3</v>
      </c>
      <c r="M189">
        <v>1.7899679501674501E-3</v>
      </c>
      <c r="N189">
        <v>2.7203525656138601E-3</v>
      </c>
      <c r="O189">
        <v>4.5184557264244104E-3</v>
      </c>
      <c r="P189">
        <v>6.9526892616705799E-3</v>
      </c>
      <c r="Q189">
        <v>1.0650077737384999E-2</v>
      </c>
      <c r="R189">
        <v>1.82062873540388E-2</v>
      </c>
      <c r="S189">
        <v>1.67686492033472E-2</v>
      </c>
      <c r="T189">
        <v>2.0367115242558301E-2</v>
      </c>
      <c r="U189">
        <v>2.9594245455340899E-2</v>
      </c>
      <c r="V189">
        <v>2.6228031109985998E-2</v>
      </c>
      <c r="W189">
        <v>2.0164251116792001E-2</v>
      </c>
      <c r="X189">
        <v>1.7402591139575901E-2</v>
      </c>
      <c r="Y189">
        <v>9.6049689495981503E-3</v>
      </c>
      <c r="Z189">
        <v>7.6934048407406403E-3</v>
      </c>
      <c r="AA189">
        <v>9.9777920128798804E-3</v>
      </c>
      <c r="AB189">
        <v>2.6172717938050202E-2</v>
      </c>
      <c r="AC189">
        <v>2.5371271040429699E-2</v>
      </c>
      <c r="AD189">
        <v>1.32039613355993E-2</v>
      </c>
      <c r="AE189">
        <v>2.7239180843143099E-2</v>
      </c>
      <c r="AF189">
        <f t="shared" si="5"/>
        <v>1.1436622435969645E-2</v>
      </c>
      <c r="AG189">
        <v>0</v>
      </c>
    </row>
    <row r="190" spans="1:33" x14ac:dyDescent="0.3">
      <c r="A190" t="s">
        <v>493</v>
      </c>
      <c r="B190" s="1" t="s">
        <v>494</v>
      </c>
      <c r="C190" t="s">
        <v>410</v>
      </c>
      <c r="D190" s="1" t="s">
        <v>411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1.85269236564892E-4</v>
      </c>
      <c r="O190">
        <v>3.17765513572658E-4</v>
      </c>
      <c r="P190">
        <v>6.3711934471554995E-4</v>
      </c>
      <c r="Q190">
        <v>7.4916445271204697E-4</v>
      </c>
      <c r="R190">
        <v>9.6001372771958805E-4</v>
      </c>
      <c r="S190">
        <v>2.0320255001187099E-4</v>
      </c>
      <c r="T190">
        <v>3.0135105229184397E-4</v>
      </c>
      <c r="U190">
        <v>3.56657639592002E-4</v>
      </c>
      <c r="V190">
        <v>4.1631875053804398E-4</v>
      </c>
      <c r="W190">
        <v>2.6821462173972499E-4</v>
      </c>
      <c r="X190">
        <v>2.4348731436469901E-4</v>
      </c>
      <c r="Y190">
        <v>1.2506411150476501E-4</v>
      </c>
      <c r="Z190">
        <v>1.16660133874781E-4</v>
      </c>
      <c r="AA190">
        <v>1.785775350507E-4</v>
      </c>
      <c r="AB190">
        <v>2.17357272570462E-4</v>
      </c>
      <c r="AC190">
        <v>4.4479482175743102E-4</v>
      </c>
      <c r="AD190">
        <v>2.31251911067443E-4</v>
      </c>
      <c r="AE190">
        <v>5.1229005787123698E-4</v>
      </c>
      <c r="AF190">
        <f t="shared" si="5"/>
        <v>2.394281499081385E-4</v>
      </c>
      <c r="AG190">
        <v>0</v>
      </c>
    </row>
    <row r="191" spans="1:33" x14ac:dyDescent="0.3">
      <c r="A191" t="s">
        <v>493</v>
      </c>
      <c r="B191" s="1" t="s">
        <v>494</v>
      </c>
      <c r="C191" t="s">
        <v>412</v>
      </c>
      <c r="D191" s="1" t="s">
        <v>413</v>
      </c>
      <c r="E191">
        <v>5.8804841670520904</v>
      </c>
      <c r="F191">
        <v>5.7983650997594101</v>
      </c>
      <c r="G191">
        <v>4.7881589535336904</v>
      </c>
      <c r="H191">
        <v>2.8231275689958499</v>
      </c>
      <c r="I191">
        <v>4.2101588333131597</v>
      </c>
      <c r="J191">
        <v>6.1396697258864403</v>
      </c>
      <c r="K191">
        <v>4.9226140406152696</v>
      </c>
      <c r="L191">
        <v>5.1845953045307596</v>
      </c>
      <c r="M191">
        <v>5.5304418274806997</v>
      </c>
      <c r="N191">
        <v>4.5764155738543497</v>
      </c>
      <c r="O191">
        <v>5.29082341663287</v>
      </c>
      <c r="P191">
        <v>5.1636960837009402</v>
      </c>
      <c r="Q191">
        <v>4.5909316134565499</v>
      </c>
      <c r="R191">
        <v>5.19652182902386</v>
      </c>
      <c r="S191">
        <v>2.9616677845766102</v>
      </c>
      <c r="T191">
        <v>3.83125650391356</v>
      </c>
      <c r="U191">
        <v>18.870800731839701</v>
      </c>
      <c r="V191">
        <v>13.5972766904663</v>
      </c>
      <c r="W191">
        <v>8.1734806575674508</v>
      </c>
      <c r="X191">
        <v>3.7584976464931601</v>
      </c>
      <c r="Y191">
        <v>1.97169808202096</v>
      </c>
      <c r="Z191">
        <v>1.8495044522780399</v>
      </c>
      <c r="AA191">
        <v>1.8857145317546</v>
      </c>
      <c r="AB191">
        <v>1.87604739024899</v>
      </c>
      <c r="AC191">
        <v>2.4651554569596601</v>
      </c>
      <c r="AD191">
        <v>4.0150449066810197</v>
      </c>
      <c r="AE191" t="s">
        <v>34</v>
      </c>
      <c r="AF191">
        <f t="shared" si="5"/>
        <v>5.2058518797167697</v>
      </c>
      <c r="AG191">
        <v>0</v>
      </c>
    </row>
    <row r="192" spans="1:33" x14ac:dyDescent="0.3">
      <c r="A192" t="s">
        <v>493</v>
      </c>
      <c r="B192" s="1" t="s">
        <v>494</v>
      </c>
      <c r="C192" t="s">
        <v>414</v>
      </c>
      <c r="D192" s="1" t="s">
        <v>415</v>
      </c>
      <c r="E192">
        <v>0.33813247994079498</v>
      </c>
      <c r="F192">
        <v>0.42894808292015602</v>
      </c>
      <c r="G192">
        <v>0.31925374391391098</v>
      </c>
      <c r="H192">
        <v>4.6719770694786299E-2</v>
      </c>
      <c r="I192">
        <v>0.12535992820196201</v>
      </c>
      <c r="J192">
        <v>0.305499130051128</v>
      </c>
      <c r="K192">
        <v>0.15992872925659099</v>
      </c>
      <c r="L192">
        <v>0.12744653634240699</v>
      </c>
      <c r="M192">
        <v>0.127382356278296</v>
      </c>
      <c r="N192">
        <v>9.2231555939362705E-2</v>
      </c>
      <c r="O192">
        <v>0.13451764136648101</v>
      </c>
      <c r="P192">
        <v>0.13445528877757301</v>
      </c>
      <c r="Q192">
        <v>0.106966593659828</v>
      </c>
      <c r="R192">
        <v>9.5839462892136795E-2</v>
      </c>
      <c r="S192">
        <v>4.9879787862124998E-2</v>
      </c>
      <c r="T192">
        <v>5.0074164031476798E-2</v>
      </c>
      <c r="U192">
        <v>7.0334387013855304E-2</v>
      </c>
      <c r="V192">
        <v>8.7185441300267397E-2</v>
      </c>
      <c r="W192">
        <v>7.5186897045560405E-2</v>
      </c>
      <c r="X192">
        <v>6.5685418132673604E-2</v>
      </c>
      <c r="Y192">
        <v>2.4252987335497699E-2</v>
      </c>
      <c r="Z192">
        <v>5.9126807808831602E-2</v>
      </c>
      <c r="AA192">
        <v>0.108282689241086</v>
      </c>
      <c r="AB192">
        <v>0.20507311835304501</v>
      </c>
      <c r="AC192">
        <v>0.19847176229541499</v>
      </c>
      <c r="AD192">
        <v>0.123761200414224</v>
      </c>
      <c r="AE192">
        <v>0.28716179274417297</v>
      </c>
      <c r="AF192">
        <f t="shared" si="5"/>
        <v>0.14619102791902383</v>
      </c>
      <c r="AG192">
        <v>0</v>
      </c>
    </row>
    <row r="193" spans="1:33" x14ac:dyDescent="0.3">
      <c r="A193" t="s">
        <v>493</v>
      </c>
      <c r="B193" s="1" t="s">
        <v>494</v>
      </c>
      <c r="C193" t="s">
        <v>416</v>
      </c>
      <c r="D193" s="1" t="s">
        <v>417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3.97968642983594E-4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f t="shared" si="5"/>
        <v>1.4739579369762741E-5</v>
      </c>
      <c r="AG193">
        <v>0</v>
      </c>
    </row>
    <row r="194" spans="1:33" x14ac:dyDescent="0.3">
      <c r="A194" t="s">
        <v>493</v>
      </c>
      <c r="B194" s="1" t="s">
        <v>494</v>
      </c>
      <c r="C194" t="s">
        <v>418</v>
      </c>
      <c r="D194" s="1" t="s">
        <v>419</v>
      </c>
      <c r="E194">
        <v>0.135055462244214</v>
      </c>
      <c r="F194">
        <v>0.18167774607103901</v>
      </c>
      <c r="G194">
        <v>0.22345976358122699</v>
      </c>
      <c r="H194">
        <v>0.14706596262972699</v>
      </c>
      <c r="I194">
        <v>0.25944493062691698</v>
      </c>
      <c r="J194">
        <v>0.68731315034831097</v>
      </c>
      <c r="K194">
        <v>0.524207577556559</v>
      </c>
      <c r="L194">
        <v>0.52634220984162705</v>
      </c>
      <c r="M194">
        <v>0.65553954447149998</v>
      </c>
      <c r="N194">
        <v>0.818270913353913</v>
      </c>
      <c r="O194">
        <v>1.3590750714862001</v>
      </c>
      <c r="P194">
        <v>1.53654839015347</v>
      </c>
      <c r="Q194">
        <v>1.36661103193532</v>
      </c>
      <c r="R194">
        <v>1.9079178668276899</v>
      </c>
      <c r="S194">
        <v>1.00735619758168</v>
      </c>
      <c r="T194">
        <v>1.3337808366326001</v>
      </c>
      <c r="U194">
        <v>1.7725107943315199</v>
      </c>
      <c r="V194">
        <v>1.6409904658213901</v>
      </c>
      <c r="W194">
        <v>1.4341697146289301</v>
      </c>
      <c r="X194">
        <v>1.25645532400063</v>
      </c>
      <c r="Y194">
        <v>0.53371242205523495</v>
      </c>
      <c r="Z194">
        <v>0.42912166616021502</v>
      </c>
      <c r="AA194">
        <v>0.52782322238369705</v>
      </c>
      <c r="AB194">
        <v>0.68080472404335701</v>
      </c>
      <c r="AC194">
        <v>0.45989094056270802</v>
      </c>
      <c r="AD194">
        <v>0.17393082048689901</v>
      </c>
      <c r="AE194">
        <v>0.48165787474701199</v>
      </c>
      <c r="AF194">
        <f t="shared" si="5"/>
        <v>0.81706424535420696</v>
      </c>
      <c r="AG194">
        <v>0</v>
      </c>
    </row>
    <row r="195" spans="1:33" x14ac:dyDescent="0.3">
      <c r="A195" t="s">
        <v>493</v>
      </c>
      <c r="B195" s="1" t="s">
        <v>494</v>
      </c>
      <c r="C195" s="11" t="s">
        <v>420</v>
      </c>
      <c r="D195" s="1" t="s">
        <v>421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>
        <v>0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>
        <v>24.289524206405702</v>
      </c>
      <c r="Z195">
        <v>12.5519849690425</v>
      </c>
      <c r="AA195">
        <v>13.2190114443342</v>
      </c>
      <c r="AB195">
        <v>14.4948180632868</v>
      </c>
      <c r="AC195">
        <v>12.5972177320814</v>
      </c>
      <c r="AD195">
        <v>2.79171478872949</v>
      </c>
      <c r="AE195">
        <v>5.2971552085998903</v>
      </c>
      <c r="AF195">
        <f t="shared" si="5"/>
        <v>10.655178301559999</v>
      </c>
      <c r="AG195">
        <v>1</v>
      </c>
    </row>
    <row r="196" spans="1:33" x14ac:dyDescent="0.3">
      <c r="A196" t="s">
        <v>493</v>
      </c>
      <c r="B196" s="1" t="s">
        <v>494</v>
      </c>
      <c r="C196" t="s">
        <v>422</v>
      </c>
      <c r="D196" s="1" t="s">
        <v>423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f t="shared" si="5"/>
        <v>0</v>
      </c>
      <c r="AG196">
        <v>0</v>
      </c>
    </row>
    <row r="197" spans="1:33" x14ac:dyDescent="0.3">
      <c r="A197" t="s">
        <v>493</v>
      </c>
      <c r="B197" s="1" t="s">
        <v>494</v>
      </c>
      <c r="C197" t="s">
        <v>424</v>
      </c>
      <c r="D197" s="1" t="s">
        <v>425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f t="shared" si="5"/>
        <v>0</v>
      </c>
      <c r="AG197">
        <v>0</v>
      </c>
    </row>
    <row r="198" spans="1:33" x14ac:dyDescent="0.3">
      <c r="A198" t="s">
        <v>493</v>
      </c>
      <c r="B198" s="1" t="s">
        <v>494</v>
      </c>
      <c r="C198" t="s">
        <v>426</v>
      </c>
      <c r="D198" s="1" t="s">
        <v>427</v>
      </c>
      <c r="E198">
        <v>10.9376607291799</v>
      </c>
      <c r="F198">
        <v>12.509468785008901</v>
      </c>
      <c r="G198">
        <v>10.823028917478201</v>
      </c>
      <c r="H198">
        <v>5.3994483198520804</v>
      </c>
      <c r="I198">
        <v>8.6186844295876792</v>
      </c>
      <c r="J198">
        <v>10.7143816589503</v>
      </c>
      <c r="K198">
        <v>6.8481205163388701</v>
      </c>
      <c r="L198">
        <v>8.9978805966647109</v>
      </c>
      <c r="M198">
        <v>7.9746895860851899</v>
      </c>
      <c r="N198">
        <v>8.4556386242273298</v>
      </c>
      <c r="O198">
        <v>11.804219919425901</v>
      </c>
      <c r="P198">
        <v>12.247324628027</v>
      </c>
      <c r="Q198">
        <v>9.2559242789234997</v>
      </c>
      <c r="R198">
        <v>9.42207714451534</v>
      </c>
      <c r="S198">
        <v>6.4887134360152903</v>
      </c>
      <c r="T198">
        <v>7.3196608487562802</v>
      </c>
      <c r="U198">
        <v>9.4688864204954797</v>
      </c>
      <c r="V198">
        <v>7.6352924028480498</v>
      </c>
      <c r="W198">
        <v>6.4493693304953599</v>
      </c>
      <c r="X198">
        <v>5.5805426952867103</v>
      </c>
      <c r="Y198">
        <v>2.2454708274053101</v>
      </c>
      <c r="Z198">
        <v>1.8255695737639399</v>
      </c>
      <c r="AA198">
        <v>2.6835517371659501</v>
      </c>
      <c r="AB198">
        <v>3.6605563910217702</v>
      </c>
      <c r="AC198">
        <v>2.7745812273373001</v>
      </c>
      <c r="AD198">
        <v>1.4292460474278701</v>
      </c>
      <c r="AE198">
        <v>2.7105417420222699</v>
      </c>
      <c r="AF198">
        <f t="shared" si="5"/>
        <v>7.195575215344685</v>
      </c>
      <c r="AG198">
        <v>0</v>
      </c>
    </row>
    <row r="199" spans="1:33" x14ac:dyDescent="0.3">
      <c r="A199" t="s">
        <v>493</v>
      </c>
      <c r="B199" s="1" t="s">
        <v>494</v>
      </c>
      <c r="C199" t="s">
        <v>428</v>
      </c>
      <c r="D199" s="1" t="s">
        <v>429</v>
      </c>
      <c r="E199">
        <v>2.42755447750049</v>
      </c>
      <c r="F199">
        <v>2.7380150609941598</v>
      </c>
      <c r="G199">
        <v>2.1304289499522602</v>
      </c>
      <c r="H199">
        <v>1.3020683663886401</v>
      </c>
      <c r="I199">
        <v>1.92733312637189</v>
      </c>
      <c r="J199">
        <v>3.2292835311579799</v>
      </c>
      <c r="K199">
        <v>2.3416223225010899</v>
      </c>
      <c r="L199">
        <v>2.3626975077068</v>
      </c>
      <c r="M199">
        <v>2.1172573000636699</v>
      </c>
      <c r="N199">
        <v>2.6086906683126099</v>
      </c>
      <c r="O199">
        <v>3.7924922360758302</v>
      </c>
      <c r="P199">
        <v>4.1077575724331004</v>
      </c>
      <c r="Q199">
        <v>5.51629477963382</v>
      </c>
      <c r="R199">
        <v>5.9351484361425797</v>
      </c>
      <c r="S199">
        <v>3.4483278522098399</v>
      </c>
      <c r="T199">
        <v>4.1271182743536201</v>
      </c>
      <c r="U199">
        <v>5.0134496410515403</v>
      </c>
      <c r="V199">
        <v>5.0659468284441296</v>
      </c>
      <c r="W199">
        <v>4.2842107812696497</v>
      </c>
      <c r="X199">
        <v>3.3550782466445699</v>
      </c>
      <c r="Y199">
        <v>1.6259629966036599</v>
      </c>
      <c r="Z199">
        <v>1.2667448687859999</v>
      </c>
      <c r="AA199">
        <v>1.48811485046411</v>
      </c>
      <c r="AB199">
        <v>1.99021548871455</v>
      </c>
      <c r="AC199">
        <v>1.6614118115133401</v>
      </c>
      <c r="AD199">
        <v>0.91667752661150204</v>
      </c>
      <c r="AE199">
        <v>1.5489621013289001</v>
      </c>
      <c r="AF199">
        <f t="shared" si="5"/>
        <v>2.9010690964159389</v>
      </c>
      <c r="AG199">
        <v>0</v>
      </c>
    </row>
    <row r="200" spans="1:33" x14ac:dyDescent="0.3">
      <c r="A200" t="s">
        <v>493</v>
      </c>
      <c r="B200" s="1" t="s">
        <v>494</v>
      </c>
      <c r="C200" t="s">
        <v>430</v>
      </c>
      <c r="D200" s="1" t="s">
        <v>431</v>
      </c>
      <c r="E200">
        <v>0.11056458677237301</v>
      </c>
      <c r="F200">
        <v>0.14499896982513599</v>
      </c>
      <c r="G200">
        <v>0.10681949958296</v>
      </c>
      <c r="H200">
        <v>2.1472213727946301E-2</v>
      </c>
      <c r="I200">
        <v>6.2998320552237294E-2</v>
      </c>
      <c r="J200">
        <v>0.119531436272842</v>
      </c>
      <c r="K200">
        <v>0.10967229215150601</v>
      </c>
      <c r="L200">
        <v>9.2405866787104704E-2</v>
      </c>
      <c r="M200">
        <v>8.0783588745995893E-2</v>
      </c>
      <c r="N200">
        <v>8.08804569350874E-2</v>
      </c>
      <c r="O200">
        <v>9.8246344839956007E-2</v>
      </c>
      <c r="P200">
        <v>9.76756856490614E-2</v>
      </c>
      <c r="Q200">
        <v>8.6911572599838199E-2</v>
      </c>
      <c r="R200">
        <v>0.12200058984840199</v>
      </c>
      <c r="S200">
        <v>8.6457877174591094E-2</v>
      </c>
      <c r="T200">
        <v>8.5534449429942094E-2</v>
      </c>
      <c r="U200">
        <v>0.123984127335917</v>
      </c>
      <c r="V200">
        <v>0.111617756938834</v>
      </c>
      <c r="W200">
        <v>9.7421883540156101E-2</v>
      </c>
      <c r="X200">
        <v>9.4498450161598399E-2</v>
      </c>
      <c r="Y200">
        <v>4.46861002184748E-2</v>
      </c>
      <c r="Z200">
        <v>3.4923761723073099E-2</v>
      </c>
      <c r="AA200">
        <v>5.37573237557546E-2</v>
      </c>
      <c r="AB200">
        <v>0.108111878645291</v>
      </c>
      <c r="AC200">
        <v>0.102518297949539</v>
      </c>
      <c r="AD200">
        <v>6.1240094502242097E-2</v>
      </c>
      <c r="AE200">
        <v>0.13797082409881001</v>
      </c>
      <c r="AF200">
        <f t="shared" si="5"/>
        <v>9.1766083324617415E-2</v>
      </c>
      <c r="AG200">
        <v>0</v>
      </c>
    </row>
    <row r="201" spans="1:33" x14ac:dyDescent="0.3">
      <c r="A201" t="s">
        <v>493</v>
      </c>
      <c r="B201" s="1" t="s">
        <v>494</v>
      </c>
      <c r="C201" s="11" t="s">
        <v>432</v>
      </c>
      <c r="D201" s="1" t="s">
        <v>433</v>
      </c>
      <c r="E201">
        <v>19.343663970826601</v>
      </c>
      <c r="F201">
        <v>25.922048776798999</v>
      </c>
      <c r="G201">
        <v>16.7788120542216</v>
      </c>
      <c r="H201">
        <v>5.1700370061914498</v>
      </c>
      <c r="I201">
        <v>16.089790283579202</v>
      </c>
      <c r="J201">
        <v>30.535152185722001</v>
      </c>
      <c r="K201">
        <v>20.35664897038</v>
      </c>
      <c r="L201">
        <v>18.1172651196065</v>
      </c>
      <c r="M201">
        <v>17.811706507881301</v>
      </c>
      <c r="N201">
        <v>20.507245893207099</v>
      </c>
      <c r="O201">
        <v>24.9081038011301</v>
      </c>
      <c r="P201">
        <v>19.476252427893801</v>
      </c>
      <c r="Q201">
        <v>20.078443332239399</v>
      </c>
      <c r="R201">
        <v>22.0912039942029</v>
      </c>
      <c r="S201">
        <v>10.273649974005499</v>
      </c>
      <c r="T201">
        <v>10.1728023386414</v>
      </c>
      <c r="U201">
        <v>14.0634051116026</v>
      </c>
      <c r="V201">
        <v>12.134956955235401</v>
      </c>
      <c r="W201">
        <v>11.113369971890499</v>
      </c>
      <c r="X201">
        <v>8.8299288617766098</v>
      </c>
      <c r="Y201">
        <v>4.8996319264045196</v>
      </c>
      <c r="Z201">
        <v>3.6553351274527501</v>
      </c>
      <c r="AA201">
        <v>5.57117152728362</v>
      </c>
      <c r="AB201">
        <v>8.5388249007846593</v>
      </c>
      <c r="AC201">
        <v>5.8462268864803297</v>
      </c>
      <c r="AD201" t="s">
        <v>34</v>
      </c>
      <c r="AE201" t="s">
        <v>34</v>
      </c>
      <c r="AF201">
        <f t="shared" si="5"/>
        <v>14.891427116217555</v>
      </c>
      <c r="AG201">
        <v>1</v>
      </c>
    </row>
    <row r="202" spans="1:33" x14ac:dyDescent="0.3">
      <c r="A202" t="s">
        <v>493</v>
      </c>
      <c r="B202" s="1" t="s">
        <v>494</v>
      </c>
      <c r="C202" t="s">
        <v>434</v>
      </c>
      <c r="D202" s="1" t="s">
        <v>435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f t="shared" si="5"/>
        <v>0</v>
      </c>
      <c r="AG202">
        <v>0</v>
      </c>
    </row>
    <row r="203" spans="1:33" x14ac:dyDescent="0.3">
      <c r="A203" t="s">
        <v>493</v>
      </c>
      <c r="B203" s="1" t="s">
        <v>494</v>
      </c>
      <c r="C203" t="s">
        <v>436</v>
      </c>
      <c r="D203" s="1" t="s">
        <v>437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  <c r="AA203" t="s">
        <v>34</v>
      </c>
      <c r="AB203" t="s">
        <v>34</v>
      </c>
      <c r="AC203" t="s">
        <v>34</v>
      </c>
      <c r="AD203" t="s">
        <v>34</v>
      </c>
      <c r="AE203" t="s">
        <v>34</v>
      </c>
      <c r="AF203" t="str">
        <f t="shared" si="5"/>
        <v>NA</v>
      </c>
      <c r="AG203">
        <v>0</v>
      </c>
    </row>
    <row r="204" spans="1:33" x14ac:dyDescent="0.3">
      <c r="A204" t="s">
        <v>493</v>
      </c>
      <c r="B204" s="1" t="s">
        <v>494</v>
      </c>
      <c r="C204" t="s">
        <v>438</v>
      </c>
      <c r="D204" s="1" t="s">
        <v>439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f t="shared" si="5"/>
        <v>0</v>
      </c>
      <c r="AG204">
        <v>0</v>
      </c>
    </row>
    <row r="205" spans="1:33" x14ac:dyDescent="0.3">
      <c r="A205" t="s">
        <v>493</v>
      </c>
      <c r="B205" s="1" t="s">
        <v>494</v>
      </c>
      <c r="C205" t="s">
        <v>440</v>
      </c>
      <c r="D205" s="1" t="s">
        <v>441</v>
      </c>
      <c r="E205">
        <v>0.48590496532278399</v>
      </c>
      <c r="F205">
        <v>0.73994461641260301</v>
      </c>
      <c r="G205">
        <v>0.51236384375525901</v>
      </c>
      <c r="H205">
        <v>0.181694617548708</v>
      </c>
      <c r="I205">
        <v>0.70240423119425899</v>
      </c>
      <c r="J205">
        <v>0.99178600616177104</v>
      </c>
      <c r="K205">
        <v>0.59577769310129403</v>
      </c>
      <c r="L205">
        <v>0.55728548802295697</v>
      </c>
      <c r="M205">
        <v>0.59624515094099995</v>
      </c>
      <c r="N205">
        <v>0.66971110889552998</v>
      </c>
      <c r="O205">
        <v>0.78175765211926695</v>
      </c>
      <c r="P205">
        <v>0.76571556505640603</v>
      </c>
      <c r="Q205">
        <v>0.62689526450660604</v>
      </c>
      <c r="R205">
        <v>0.68474001032957099</v>
      </c>
      <c r="S205">
        <v>0.53418637662551904</v>
      </c>
      <c r="T205">
        <v>0.466160187976772</v>
      </c>
      <c r="U205">
        <v>0.60456433966244305</v>
      </c>
      <c r="V205">
        <v>0.51285851667291704</v>
      </c>
      <c r="W205">
        <v>0.42972822860479298</v>
      </c>
      <c r="X205">
        <v>0.53740181709906998</v>
      </c>
      <c r="Y205">
        <v>0.29804859839770398</v>
      </c>
      <c r="Z205">
        <v>0.20040562933229999</v>
      </c>
      <c r="AA205">
        <v>0.34858254039772701</v>
      </c>
      <c r="AB205">
        <v>0.48454967801045301</v>
      </c>
      <c r="AC205">
        <v>0.36341696528338802</v>
      </c>
      <c r="AD205">
        <v>0.191284197093986</v>
      </c>
      <c r="AE205">
        <v>0.27967698801167401</v>
      </c>
      <c r="AF205">
        <f t="shared" si="5"/>
        <v>0.52381815839025048</v>
      </c>
      <c r="AG205">
        <v>0</v>
      </c>
    </row>
    <row r="206" spans="1:33" x14ac:dyDescent="0.3">
      <c r="A206" t="s">
        <v>493</v>
      </c>
      <c r="B206" s="1" t="s">
        <v>494</v>
      </c>
      <c r="C206" s="7" t="s">
        <v>442</v>
      </c>
      <c r="D206" s="1" t="s">
        <v>443</v>
      </c>
      <c r="E206">
        <v>16.3473463917171</v>
      </c>
      <c r="F206">
        <v>19.111282706721202</v>
      </c>
      <c r="G206">
        <v>16.964609062195098</v>
      </c>
      <c r="H206">
        <v>10.8323014620584</v>
      </c>
      <c r="I206">
        <v>13.374438260524601</v>
      </c>
      <c r="J206">
        <v>20.8440561536495</v>
      </c>
      <c r="K206">
        <v>15.8062390008792</v>
      </c>
      <c r="L206">
        <v>14.645324058736101</v>
      </c>
      <c r="M206">
        <v>17.8057010079321</v>
      </c>
      <c r="N206">
        <v>20.918206845277801</v>
      </c>
      <c r="O206">
        <v>23.941736987302601</v>
      </c>
      <c r="P206">
        <v>25.882027221467201</v>
      </c>
      <c r="Q206">
        <v>23.718345565051699</v>
      </c>
      <c r="R206">
        <v>26.672042741759999</v>
      </c>
      <c r="S206">
        <v>18.418263242658998</v>
      </c>
      <c r="T206">
        <v>22.679737867780698</v>
      </c>
      <c r="U206">
        <v>28.599078900178199</v>
      </c>
      <c r="V206">
        <v>27.0648520266069</v>
      </c>
      <c r="W206">
        <v>26.248064047839598</v>
      </c>
      <c r="X206">
        <v>22.945864703702401</v>
      </c>
      <c r="Y206">
        <v>13.1025344354216</v>
      </c>
      <c r="Z206">
        <v>11.0807563620506</v>
      </c>
      <c r="AA206">
        <v>13.4985731745503</v>
      </c>
      <c r="AB206">
        <v>17.098994500716302</v>
      </c>
      <c r="AC206">
        <v>15.681591549087999</v>
      </c>
      <c r="AD206">
        <v>10.494097702669601</v>
      </c>
      <c r="AE206">
        <v>15.6730945329946</v>
      </c>
      <c r="AF206">
        <f t="shared" si="5"/>
        <v>18.868487426352974</v>
      </c>
      <c r="AG206">
        <v>0</v>
      </c>
    </row>
    <row r="207" spans="1:33" x14ac:dyDescent="0.3">
      <c r="A207" t="s">
        <v>493</v>
      </c>
      <c r="B207" s="1" t="s">
        <v>494</v>
      </c>
      <c r="C207" t="s">
        <v>444</v>
      </c>
      <c r="D207" s="1" t="s">
        <v>445</v>
      </c>
      <c r="E207">
        <v>0.51007523352837403</v>
      </c>
      <c r="F207">
        <v>0.69286303905165603</v>
      </c>
      <c r="G207">
        <v>0.48646780134820999</v>
      </c>
      <c r="H207">
        <v>0.14575486713257099</v>
      </c>
      <c r="I207">
        <v>0.44261824375732101</v>
      </c>
      <c r="J207">
        <v>0.89960745788113095</v>
      </c>
      <c r="K207">
        <v>0.62306975632126205</v>
      </c>
      <c r="L207">
        <v>0.59707481885463998</v>
      </c>
      <c r="M207">
        <v>0.55975228729169402</v>
      </c>
      <c r="N207">
        <v>0.57517195651323505</v>
      </c>
      <c r="O207">
        <v>0.72022557964372402</v>
      </c>
      <c r="P207">
        <v>0.70817175976889701</v>
      </c>
      <c r="Q207">
        <v>0.68185336764869997</v>
      </c>
      <c r="R207">
        <v>0.99622210116936405</v>
      </c>
      <c r="S207">
        <v>0.61738163928542</v>
      </c>
      <c r="T207">
        <v>0.63928635611208295</v>
      </c>
      <c r="U207">
        <v>0.82160437614263004</v>
      </c>
      <c r="V207">
        <v>0.65634154836541803</v>
      </c>
      <c r="W207">
        <v>0.53599611216492304</v>
      </c>
      <c r="X207">
        <v>0.45097874846946601</v>
      </c>
      <c r="Y207">
        <v>0.24024645998182301</v>
      </c>
      <c r="Z207">
        <v>0.20568356963612799</v>
      </c>
      <c r="AA207">
        <v>0.30633610482387902</v>
      </c>
      <c r="AB207">
        <v>0.495559267583983</v>
      </c>
      <c r="AC207">
        <v>0.45712585850492199</v>
      </c>
      <c r="AD207">
        <v>0.24022812494113799</v>
      </c>
      <c r="AE207">
        <v>0.41614208326931801</v>
      </c>
      <c r="AF207">
        <f t="shared" si="5"/>
        <v>0.54525327848858918</v>
      </c>
      <c r="AG207">
        <v>0</v>
      </c>
    </row>
    <row r="208" spans="1:33" x14ac:dyDescent="0.3">
      <c r="A208" t="s">
        <v>493</v>
      </c>
      <c r="B208" s="1" t="s">
        <v>494</v>
      </c>
      <c r="C208" t="s">
        <v>446</v>
      </c>
      <c r="D208" s="1" t="s">
        <v>447</v>
      </c>
      <c r="E208">
        <v>0.29555654448132401</v>
      </c>
      <c r="F208">
        <v>0.35131163624796002</v>
      </c>
      <c r="G208">
        <v>0.203604050521625</v>
      </c>
      <c r="H208">
        <v>7.5558507291033805E-2</v>
      </c>
      <c r="I208">
        <v>0.16426451667065101</v>
      </c>
      <c r="J208">
        <v>0.307551276869583</v>
      </c>
      <c r="K208">
        <v>0.16943295765488001</v>
      </c>
      <c r="L208">
        <v>0.17281708854672401</v>
      </c>
      <c r="M208">
        <v>0.211788525599514</v>
      </c>
      <c r="N208">
        <v>0.28317063474301502</v>
      </c>
      <c r="O208">
        <v>0.350823193456479</v>
      </c>
      <c r="P208">
        <v>0.34946427296002502</v>
      </c>
      <c r="Q208">
        <v>0.35689749923457198</v>
      </c>
      <c r="R208">
        <v>0.52149889580141295</v>
      </c>
      <c r="S208">
        <v>0.25964040438764202</v>
      </c>
      <c r="T208">
        <v>0.29376270027944101</v>
      </c>
      <c r="U208">
        <v>0.37084523511023698</v>
      </c>
      <c r="V208">
        <v>0.20592584617030801</v>
      </c>
      <c r="W208">
        <v>0.30565008004911798</v>
      </c>
      <c r="X208">
        <v>0.29222656623104398</v>
      </c>
      <c r="Y208">
        <v>7.5251806478225398E-3</v>
      </c>
      <c r="Z208">
        <v>9.2295500131189395E-2</v>
      </c>
      <c r="AA208">
        <v>0.16252585089631599</v>
      </c>
      <c r="AB208">
        <v>0.31924760705406302</v>
      </c>
      <c r="AC208">
        <v>0.368544560120872</v>
      </c>
      <c r="AD208">
        <v>0.187625106322478</v>
      </c>
      <c r="AE208">
        <v>0.61148265568771998</v>
      </c>
      <c r="AF208">
        <f t="shared" si="5"/>
        <v>0.2700384034506314</v>
      </c>
      <c r="AG208">
        <v>0</v>
      </c>
    </row>
    <row r="209" spans="1:33" x14ac:dyDescent="0.3">
      <c r="A209" t="s">
        <v>493</v>
      </c>
      <c r="B209" s="1" t="s">
        <v>494</v>
      </c>
      <c r="C209" t="s">
        <v>448</v>
      </c>
      <c r="D209" s="1" t="s">
        <v>449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2.2294678021990799E-3</v>
      </c>
      <c r="P209">
        <v>3.2035069389435198E-3</v>
      </c>
      <c r="Q209">
        <v>4.2212287120060102E-3</v>
      </c>
      <c r="R209">
        <v>3.7575912602981101E-3</v>
      </c>
      <c r="S209">
        <v>5.0131491539771996E-3</v>
      </c>
      <c r="T209">
        <v>1.7333795944505799E-2</v>
      </c>
      <c r="U209">
        <v>3.3377551773215199E-2</v>
      </c>
      <c r="V209">
        <v>3.28611652405814E-2</v>
      </c>
      <c r="W209">
        <v>3.5658803715112798E-2</v>
      </c>
      <c r="X209">
        <v>4.1830483649490699E-2</v>
      </c>
      <c r="Y209">
        <v>1.2999134061170699E-2</v>
      </c>
      <c r="Z209">
        <v>9.74074357398883E-3</v>
      </c>
      <c r="AA209">
        <v>5.5166108928698899E-3</v>
      </c>
      <c r="AB209">
        <v>8.7147505921722993E-3</v>
      </c>
      <c r="AC209">
        <v>7.3499233467097099E-3</v>
      </c>
      <c r="AD209">
        <v>3.9642091130891403E-3</v>
      </c>
      <c r="AE209">
        <v>9.7159151983236096E-3</v>
      </c>
      <c r="AF209">
        <f t="shared" si="5"/>
        <v>8.7958529988390374E-3</v>
      </c>
      <c r="AG209">
        <v>0</v>
      </c>
    </row>
    <row r="210" spans="1:33" x14ac:dyDescent="0.3">
      <c r="A210" t="s">
        <v>493</v>
      </c>
      <c r="B210" s="1" t="s">
        <v>494</v>
      </c>
      <c r="C210" t="s">
        <v>450</v>
      </c>
      <c r="D210" s="1" t="s">
        <v>451</v>
      </c>
      <c r="E210">
        <v>2.9598052213158099</v>
      </c>
      <c r="F210">
        <v>3.2092857230440002</v>
      </c>
      <c r="G210">
        <v>2.3219845290822998</v>
      </c>
      <c r="H210">
        <v>0.74227607189078004</v>
      </c>
      <c r="I210">
        <v>1.7305426801378501</v>
      </c>
      <c r="J210">
        <v>5.4004698030575202</v>
      </c>
      <c r="K210">
        <v>4.19019187872677</v>
      </c>
      <c r="L210">
        <v>4.3930414148973096</v>
      </c>
      <c r="M210">
        <v>5.0743694054607804</v>
      </c>
      <c r="N210">
        <v>5.0754079582888201</v>
      </c>
      <c r="O210">
        <v>5.3716029242113503</v>
      </c>
      <c r="P210">
        <v>4.3421461785332802</v>
      </c>
      <c r="Q210">
        <v>4.1157131421112298</v>
      </c>
      <c r="R210">
        <v>4.3993183033452699</v>
      </c>
      <c r="S210">
        <v>1.4508356944779399</v>
      </c>
      <c r="T210">
        <v>1.3655685237815101</v>
      </c>
      <c r="U210">
        <v>2.0702337938374602</v>
      </c>
      <c r="V210">
        <v>2.0016001194078901</v>
      </c>
      <c r="W210">
        <v>1.81098984495042</v>
      </c>
      <c r="X210">
        <v>1.40801898329424</v>
      </c>
      <c r="Y210">
        <v>0.52667567463822595</v>
      </c>
      <c r="Z210">
        <v>0.35680176061299201</v>
      </c>
      <c r="AA210">
        <v>0.66195014199375302</v>
      </c>
      <c r="AB210">
        <v>1.1207342620057199</v>
      </c>
      <c r="AC210">
        <v>0.819211930906664</v>
      </c>
      <c r="AD210">
        <v>0.39564031069731798</v>
      </c>
      <c r="AE210">
        <v>0.86717637058683505</v>
      </c>
      <c r="AF210">
        <f t="shared" ref="AF210:AF218" si="6">IFERROR(AVERAGE(E210:AE210),"NA")</f>
        <v>2.5252441720479277</v>
      </c>
      <c r="AG210">
        <v>0</v>
      </c>
    </row>
    <row r="211" spans="1:33" x14ac:dyDescent="0.3">
      <c r="A211" t="s">
        <v>493</v>
      </c>
      <c r="B211" s="1" t="s">
        <v>494</v>
      </c>
      <c r="C211" t="s">
        <v>452</v>
      </c>
      <c r="D211" s="1" t="s">
        <v>453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f t="shared" si="6"/>
        <v>0</v>
      </c>
      <c r="AG211">
        <v>0</v>
      </c>
    </row>
    <row r="212" spans="1:33" x14ac:dyDescent="0.3">
      <c r="A212" t="s">
        <v>493</v>
      </c>
      <c r="B212" s="1" t="s">
        <v>494</v>
      </c>
      <c r="C212" s="7" t="s">
        <v>454</v>
      </c>
      <c r="D212" s="1" t="s">
        <v>455</v>
      </c>
      <c r="E212">
        <v>14.5559545074645</v>
      </c>
      <c r="F212">
        <v>23.064878109967701</v>
      </c>
      <c r="G212">
        <v>17.5046486685088</v>
      </c>
      <c r="H212">
        <v>8.57137562243914</v>
      </c>
      <c r="I212">
        <v>12.8387638257711</v>
      </c>
      <c r="J212">
        <v>20.001156968428099</v>
      </c>
      <c r="K212">
        <v>14.809781275052</v>
      </c>
      <c r="L212">
        <v>18.748048971201801</v>
      </c>
      <c r="M212">
        <v>21.177958122190699</v>
      </c>
      <c r="N212">
        <v>23.0890395880635</v>
      </c>
      <c r="O212">
        <v>28.053874586106499</v>
      </c>
      <c r="P212">
        <v>26.8186567625884</v>
      </c>
      <c r="Q212">
        <v>21.618647304942101</v>
      </c>
      <c r="R212">
        <v>22.6737847784336</v>
      </c>
      <c r="S212">
        <v>9.9584765440877696</v>
      </c>
      <c r="T212">
        <v>11.692897546764801</v>
      </c>
      <c r="U212">
        <v>23.145019525142299</v>
      </c>
      <c r="V212">
        <v>17.9387823718967</v>
      </c>
      <c r="W212">
        <v>16.777138827698199</v>
      </c>
      <c r="X212">
        <v>11.302151174750099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  <c r="AD212" t="s">
        <v>34</v>
      </c>
      <c r="AE212" t="s">
        <v>34</v>
      </c>
      <c r="AF212">
        <f t="shared" si="6"/>
        <v>18.217051754074895</v>
      </c>
      <c r="AG212">
        <v>0</v>
      </c>
    </row>
    <row r="213" spans="1:33" x14ac:dyDescent="0.3">
      <c r="A213" t="s">
        <v>493</v>
      </c>
      <c r="B213" s="1" t="s">
        <v>494</v>
      </c>
      <c r="C213" t="s">
        <v>456</v>
      </c>
      <c r="D213" s="1" t="s">
        <v>457</v>
      </c>
      <c r="E213">
        <v>3.2492785343455202</v>
      </c>
      <c r="F213">
        <v>3.55958705591895</v>
      </c>
      <c r="G213">
        <v>3.0728039355016201</v>
      </c>
      <c r="H213">
        <v>1.76176859651124</v>
      </c>
      <c r="I213">
        <v>3.7296600241547302</v>
      </c>
      <c r="J213">
        <v>7.6798708190061502</v>
      </c>
      <c r="K213">
        <v>5.8054890002601498</v>
      </c>
      <c r="L213">
        <v>5.2872744725479901</v>
      </c>
      <c r="M213">
        <v>5.5853787370338202</v>
      </c>
      <c r="N213">
        <v>8.1232104070861002</v>
      </c>
      <c r="O213">
        <v>9.0447355725738792</v>
      </c>
      <c r="P213">
        <v>8.7775680823526105</v>
      </c>
      <c r="Q213">
        <v>6.6382761142384199</v>
      </c>
      <c r="R213">
        <v>7.2434090754900504</v>
      </c>
      <c r="S213">
        <v>3.4624024790982899</v>
      </c>
      <c r="T213">
        <v>3.39330269400776</v>
      </c>
      <c r="U213">
        <v>4.5824443355752402</v>
      </c>
      <c r="V213">
        <v>4.1098839221290104</v>
      </c>
      <c r="W213">
        <v>3.1704751714702399</v>
      </c>
      <c r="X213">
        <v>2.8511796745912199</v>
      </c>
      <c r="Y213">
        <v>1.2198621803057099</v>
      </c>
      <c r="Z213">
        <v>0.82804258942933895</v>
      </c>
      <c r="AA213">
        <v>1.00099064325611</v>
      </c>
      <c r="AB213">
        <v>1.1204620709537201</v>
      </c>
      <c r="AC213">
        <v>0.72449495292673805</v>
      </c>
      <c r="AD213">
        <v>0.24264239761971901</v>
      </c>
      <c r="AE213">
        <v>0.66931421466445695</v>
      </c>
      <c r="AF213">
        <f t="shared" si="6"/>
        <v>3.9605113982610667</v>
      </c>
      <c r="AG213">
        <v>0</v>
      </c>
    </row>
    <row r="214" spans="1:33" x14ac:dyDescent="0.3">
      <c r="A214" t="s">
        <v>493</v>
      </c>
      <c r="B214" s="1" t="s">
        <v>494</v>
      </c>
      <c r="C214" t="s">
        <v>458</v>
      </c>
      <c r="D214" s="1" t="s">
        <v>459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34</v>
      </c>
      <c r="AF214">
        <f t="shared" si="6"/>
        <v>0</v>
      </c>
      <c r="AG214">
        <v>0</v>
      </c>
    </row>
    <row r="215" spans="1:33" x14ac:dyDescent="0.3">
      <c r="A215" t="s">
        <v>493</v>
      </c>
      <c r="B215" s="1" t="s">
        <v>494</v>
      </c>
      <c r="C215" t="s">
        <v>460</v>
      </c>
      <c r="D215" s="1" t="s">
        <v>461</v>
      </c>
      <c r="E215" t="s">
        <v>34</v>
      </c>
      <c r="F215" t="s">
        <v>34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f t="shared" si="6"/>
        <v>0</v>
      </c>
      <c r="AG215">
        <v>0</v>
      </c>
    </row>
    <row r="216" spans="1:33" x14ac:dyDescent="0.3">
      <c r="A216" t="s">
        <v>493</v>
      </c>
      <c r="B216" s="1" t="s">
        <v>494</v>
      </c>
      <c r="C216" s="7" t="s">
        <v>462</v>
      </c>
      <c r="D216" s="1" t="s">
        <v>463</v>
      </c>
      <c r="E216">
        <v>41.717600361410099</v>
      </c>
      <c r="F216">
        <v>37.8379037426715</v>
      </c>
      <c r="G216">
        <v>30.727175672644901</v>
      </c>
      <c r="H216">
        <v>22.212475481341801</v>
      </c>
      <c r="I216">
        <v>29.519508331819299</v>
      </c>
      <c r="J216">
        <v>42.182568591205502</v>
      </c>
      <c r="K216">
        <v>33.968283661920502</v>
      </c>
      <c r="L216">
        <v>31.7804662399612</v>
      </c>
      <c r="M216">
        <v>32.997954751507997</v>
      </c>
      <c r="N216">
        <v>34.937125780373201</v>
      </c>
      <c r="O216">
        <v>42.2991664652412</v>
      </c>
      <c r="P216">
        <v>41.5225717250662</v>
      </c>
      <c r="Q216">
        <v>33.355031604816297</v>
      </c>
      <c r="R216">
        <v>33.891156850715497</v>
      </c>
      <c r="S216">
        <v>20.237178416755299</v>
      </c>
      <c r="T216">
        <v>22.1394149247039</v>
      </c>
      <c r="U216">
        <v>23.4171236380596</v>
      </c>
      <c r="V216">
        <v>16.9784767633945</v>
      </c>
      <c r="W216">
        <v>11.0549414721125</v>
      </c>
      <c r="X216">
        <v>8.9223487721938906</v>
      </c>
      <c r="Y216">
        <v>1.67262798901198</v>
      </c>
      <c r="Z216">
        <v>0.68156588662351703</v>
      </c>
      <c r="AA216">
        <v>1.7692869187990801</v>
      </c>
      <c r="AB216">
        <v>4.5313106517113697</v>
      </c>
      <c r="AC216" t="s">
        <v>34</v>
      </c>
      <c r="AD216" t="s">
        <v>34</v>
      </c>
      <c r="AE216" t="s">
        <v>34</v>
      </c>
      <c r="AF216">
        <f t="shared" si="6"/>
        <v>25.014719362252535</v>
      </c>
      <c r="AG216">
        <v>0</v>
      </c>
    </row>
    <row r="217" spans="1:33" x14ac:dyDescent="0.3">
      <c r="A217" t="s">
        <v>493</v>
      </c>
      <c r="B217" s="1" t="s">
        <v>494</v>
      </c>
      <c r="C217" t="s">
        <v>464</v>
      </c>
      <c r="D217" s="1" t="s">
        <v>465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f t="shared" si="6"/>
        <v>0</v>
      </c>
      <c r="AG217">
        <v>0</v>
      </c>
    </row>
    <row r="218" spans="1:33" x14ac:dyDescent="0.3">
      <c r="A218" t="s">
        <v>493</v>
      </c>
      <c r="B218" s="1" t="s">
        <v>494</v>
      </c>
      <c r="C218" t="s">
        <v>466</v>
      </c>
      <c r="D218" s="1" t="s">
        <v>467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2.1983564606303699E-2</v>
      </c>
      <c r="S218">
        <v>7.1842969795101698E-3</v>
      </c>
      <c r="T218">
        <v>0</v>
      </c>
      <c r="U218">
        <v>0</v>
      </c>
      <c r="V218">
        <v>1.7658517198754099E-2</v>
      </c>
      <c r="W218">
        <v>4.6069211087680501E-3</v>
      </c>
      <c r="X218">
        <v>6.2336967168331502E-2</v>
      </c>
      <c r="Y218">
        <v>2.2608076780533701E-2</v>
      </c>
      <c r="Z218">
        <v>2.27863385971937E-2</v>
      </c>
      <c r="AA218">
        <v>4.7501054465740898E-2</v>
      </c>
      <c r="AB218">
        <v>3.7859947038595299E-2</v>
      </c>
      <c r="AC218">
        <v>5.0882518898507999E-2</v>
      </c>
      <c r="AD218">
        <v>2.9129296677649599E-2</v>
      </c>
      <c r="AE218">
        <v>4.7768808931610798E-2</v>
      </c>
      <c r="AF218">
        <f t="shared" si="6"/>
        <v>1.3789122535240721E-2</v>
      </c>
      <c r="AG218">
        <v>0</v>
      </c>
    </row>
  </sheetData>
  <sortState xmlns:xlrd2="http://schemas.microsoft.com/office/spreadsheetml/2017/richdata2" ref="A1:AF218">
    <sortCondition ref="C2:C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Tx_croissance</vt:lpstr>
      <vt:lpstr>DONNEES</vt:lpstr>
      <vt:lpstr>VATtax et trade tax et ipc </vt:lpstr>
      <vt:lpstr>vérification des erreurs </vt:lpstr>
      <vt:lpstr>Notes</vt:lpstr>
      <vt:lpstr>muette gaz naturel</vt:lpstr>
      <vt:lpstr>muette petrole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 Vigouroux</dc:creator>
  <cp:keywords/>
  <dc:description/>
  <cp:lastModifiedBy>Valentin VIGOUROUX</cp:lastModifiedBy>
  <cp:revision/>
  <dcterms:created xsi:type="dcterms:W3CDTF">2024-02-08T17:57:24Z</dcterms:created>
  <dcterms:modified xsi:type="dcterms:W3CDTF">2024-06-15T23:12:24Z</dcterms:modified>
  <cp:category/>
  <cp:contentStatus/>
</cp:coreProperties>
</file>